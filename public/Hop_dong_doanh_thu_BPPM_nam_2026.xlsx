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drawings/drawing8.xml" ContentType="application/vnd.openxmlformats-officedocument.drawing+xml"/>
  <Override PartName="/xl/drawings/vmlDrawing1.vml" ContentType="application/vnd.openxmlformats-officedocument.vmlDrawing"/>
  <Override PartName="/xl/drawings/drawing10.xml" ContentType="application/vnd.openxmlformats-officedocument.drawing+xml"/>
  <Override PartName="/xl/drawings/drawing1.xml" ContentType="application/vnd.openxmlformats-officedocument.drawing+xml"/>
  <Override PartName="/xl/drawings/drawing3.xml" ContentType="application/vnd.openxmlformats-officedocument.drawing+xml"/>
  <Override PartName="/xl/drawings/vmlDrawing2.vml" ContentType="application/vnd.openxmlformats-officedocument.vmlDrawing"/>
  <Override PartName="/xl/drawings/drawing2.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9.xml" ContentType="application/vnd.openxmlformats-officedocument.drawing+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comments8.xml" ContentType="application/vnd.openxmlformats-officedocument.spreadsheetml.comments+xml"/>
  <Override PartName="/xl/charts/chart35.xml" ContentType="application/vnd.openxmlformats-officedocument.drawingml.chart+xml"/>
  <Override PartName="/xl/charts/colors12.xml" ContentType="application/vnd.ms-office.chartcolorstyle+xml"/>
  <Override PartName="/xl/charts/colors3.xml" ContentType="application/vnd.ms-office.chartcolorstyle+xml"/>
  <Override PartName="/xl/charts/style2.xml" ContentType="application/vnd.ms-office.chartstyle+xml"/>
  <Override PartName="/xl/charts/chart1.xml" ContentType="application/vnd.openxmlformats-officedocument.drawingml.chart+xml"/>
  <Override PartName="/xl/charts/chart2.xml" ContentType="application/vnd.openxmlformats-officedocument.drawingml.chart+xml"/>
  <Override PartName="/xl/charts/colors11.xml" ContentType="application/vnd.ms-office.chartcolorstyle+xml"/>
  <Override PartName="/xl/charts/style1.xml" ContentType="application/vnd.ms-office.chartstyle+xml"/>
  <Override PartName="/xl/charts/style9.xml" ContentType="application/vnd.ms-office.chartstyle+xml"/>
  <Override PartName="/xl/charts/style54.xml" ContentType="application/vnd.ms-office.chartstyle+xml"/>
  <Override PartName="/xl/charts/colors8.xml" ContentType="application/vnd.ms-office.chartcolorstyle+xml"/>
  <Override PartName="/xl/charts/colors19.xml" ContentType="application/vnd.ms-office.chartcolorstyle+xml"/>
  <Override PartName="/xl/charts/chart36.xml" ContentType="application/vnd.openxmlformats-officedocument.drawingml.chart+xml"/>
  <Override PartName="/xl/charts/colors10.xml" ContentType="application/vnd.ms-office.chartcolorstyle+xml"/>
  <Override PartName="/xl/charts/colors1.xml" ContentType="application/vnd.ms-office.chartcolorstyle+xml"/>
  <Override PartName="/xl/charts/chart37.xml" ContentType="application/vnd.openxmlformats-officedocument.drawingml.chart+xml"/>
  <Override PartName="/xl/charts/chart3.xml" ContentType="application/vnd.openxmlformats-officedocument.drawingml.chart+xml"/>
  <Override PartName="/xl/charts/colors13.xml" ContentType="application/vnd.ms-office.chartcolorstyle+xml"/>
  <Override PartName="/xl/charts/style3.xml" ContentType="application/vnd.ms-office.chartstyle+xml"/>
  <Override PartName="/xl/charts/colors2.xml" ContentType="application/vnd.ms-office.chartcolorstyle+xml"/>
  <Override PartName="/xl/charts/style21.xml" ContentType="application/vnd.ms-office.chartstyle+xml"/>
  <Override PartName="/xl/charts/colors31.xml" ContentType="application/vnd.ms-office.chartcolorstyle+xml"/>
  <Override PartName="/xl/charts/style20.xml" ContentType="application/vnd.ms-office.chartstyle+xml"/>
  <Override PartName="/xl/charts/chart38.xml" ContentType="application/vnd.openxmlformats-officedocument.drawingml.chart+xml"/>
  <Override PartName="/xl/charts/chart4.xml" ContentType="application/vnd.openxmlformats-officedocument.drawingml.chart+xml"/>
  <Override PartName="/xl/charts/colors32.xml" ContentType="application/vnd.ms-office.chartcolorstyle+xml"/>
  <Override PartName="/xl/charts/colors22.xml" ContentType="application/vnd.ms-office.chartcolorstyle+xml"/>
  <Override PartName="/xl/charts/chart20.xml" ContentType="application/vnd.openxmlformats-officedocument.drawingml.chart+xml"/>
  <Override PartName="/xl/charts/colors5.xml" ContentType="application/vnd.ms-office.chartcolorstyle+xml"/>
  <Override PartName="/xl/charts/style4.xml" ContentType="application/vnd.ms-office.chartstyle+xml"/>
  <Override PartName="/xl/charts/style5.xml" ContentType="application/vnd.ms-office.chartstyle+xml"/>
  <Override PartName="/xl/charts/colors4.xml" ContentType="application/vnd.ms-office.chartcolorstyle+xml"/>
  <Override PartName="/xl/charts/style50.xml" ContentType="application/vnd.ms-office.chartstyle+xml"/>
  <Override PartName="/xl/charts/chart39.xml" ContentType="application/vnd.openxmlformats-officedocument.drawingml.chart+xml"/>
  <Override PartName="/xl/charts/chart5.xml" ContentType="application/vnd.openxmlformats-officedocument.drawingml.chart+xml"/>
  <Override PartName="/xl/charts/colors23.xml" ContentType="application/vnd.ms-office.chartcolorstyle+xml"/>
  <Override PartName="/xl/charts/chart21.xml" ContentType="application/vnd.openxmlformats-officedocument.drawingml.chart+xml"/>
  <Override PartName="/xl/charts/style51.xml" ContentType="application/vnd.ms-office.chartstyle+xml"/>
  <Override PartName="/xl/charts/chart6.xml" ContentType="application/vnd.openxmlformats-officedocument.drawingml.chart+xml"/>
  <Override PartName="/xl/charts/chart8.xml" ContentType="application/vnd.openxmlformats-officedocument.drawingml.chart+xml"/>
  <Override PartName="/xl/charts/chart22.xml" ContentType="application/vnd.openxmlformats-officedocument.drawingml.chart+xml"/>
  <Override PartName="/xl/charts/colors7.xml" ContentType="application/vnd.ms-office.chartcolorstyle+xml"/>
  <Override PartName="/xl/charts/style6.xml" ContentType="application/vnd.ms-office.chartstyle+xml"/>
  <Override PartName="/xl/charts/style7.xml" ContentType="application/vnd.ms-office.chartstyle+xml"/>
  <Override PartName="/xl/charts/colors6.xml" ContentType="application/vnd.ms-office.chartcolorstyle+xml"/>
  <Override PartName="/xl/charts/style52.xml" ContentType="application/vnd.ms-office.chartstyle+xml"/>
  <Override PartName="/xl/charts/chart7.xml" ContentType="application/vnd.openxmlformats-officedocument.drawingml.chart+xml"/>
  <Override PartName="/xl/charts/style53.xml" ContentType="application/vnd.ms-office.chartstyle+xml"/>
  <Override PartName="/xl/charts/colors9.xml" ContentType="application/vnd.ms-office.chartcolorstyle+xml"/>
  <Override PartName="/xl/charts/style8.xml" ContentType="application/vnd.ms-office.chartstyle+xml"/>
  <Override PartName="/xl/charts/colors21.xml" ContentType="application/vnd.ms-office.chartcolorstyle+xml"/>
  <Override PartName="/xl/charts/chart9.xml" ContentType="application/vnd.openxmlformats-officedocument.drawingml.chart+xml"/>
  <Override PartName="/xl/charts/style11.xml" ContentType="application/vnd.ms-office.chartstyle+xml"/>
  <Override PartName="/xl/charts/chart10.xml" ContentType="application/vnd.openxmlformats-officedocument.drawingml.chart+xml"/>
  <Override PartName="/xl/charts/style10.xml" ContentType="application/vnd.ms-office.chartstyle+xml"/>
  <Override PartName="/xl/charts/style12.xml" ContentType="application/vnd.ms-office.chartstyle+xml"/>
  <Override PartName="/xl/charts/chart11.xml" ContentType="application/vnd.openxmlformats-officedocument.drawingml.chart+xml"/>
  <Override PartName="/xl/charts/colors24.xml" ContentType="application/vnd.ms-office.chartcolorstyle+xml"/>
  <Override PartName="/xl/charts/style13.xml" ContentType="application/vnd.ms-office.chartstyle+xml"/>
  <Override PartName="/xl/charts/chart12.xml" ContentType="application/vnd.openxmlformats-officedocument.drawingml.chart+xml"/>
  <Override PartName="/xl/charts/colors25.xml" ContentType="application/vnd.ms-office.chartcolorstyle+xml"/>
  <Override PartName="/xl/charts/style14.xml" ContentType="application/vnd.ms-office.chartstyle+xml"/>
  <Override PartName="/xl/charts/chart13.xml" ContentType="application/vnd.openxmlformats-officedocument.drawingml.chart+xml"/>
  <Override PartName="/xl/charts/colors26.xml" ContentType="application/vnd.ms-office.chartcolorstyle+xml"/>
  <Override PartName="/xl/charts/style15.xml" ContentType="application/vnd.ms-office.chartstyle+xml"/>
  <Override PartName="/xl/charts/chart14.xml" ContentType="application/vnd.openxmlformats-officedocument.drawingml.chart+xml"/>
  <Override PartName="/xl/charts/colors14.xml" ContentType="application/vnd.ms-office.chartcolorstyle+xml"/>
  <Override PartName="/xl/charts/colors27.xml" ContentType="application/vnd.ms-office.chartcolorstyle+xml"/>
  <Override PartName="/xl/charts/style16.xml" ContentType="application/vnd.ms-office.chartstyle+xml"/>
  <Override PartName="/xl/charts/chart15.xml" ContentType="application/vnd.openxmlformats-officedocument.drawingml.chart+xml"/>
  <Override PartName="/xl/charts/colors15.xml" ContentType="application/vnd.ms-office.chartcolorstyle+xml"/>
  <Override PartName="/xl/charts/colors28.xml" ContentType="application/vnd.ms-office.chartcolorstyle+xml"/>
  <Override PartName="/xl/charts/style17.xml" ContentType="application/vnd.ms-office.chartstyle+xml"/>
  <Override PartName="/xl/charts/chart16.xml" ContentType="application/vnd.openxmlformats-officedocument.drawingml.chart+xml"/>
  <Override PartName="/xl/charts/colors16.xml" ContentType="application/vnd.ms-office.chartcolorstyle+xml"/>
  <Override PartName="/xl/charts/colors29.xml" ContentType="application/vnd.ms-office.chartcolorstyle+xml"/>
  <Override PartName="/xl/charts/style18.xml" ContentType="application/vnd.ms-office.chartstyle+xml"/>
  <Override PartName="/xl/charts/chart17.xml" ContentType="application/vnd.openxmlformats-officedocument.drawingml.chart+xml"/>
  <Override PartName="/xl/charts/colors17.xml" ContentType="application/vnd.ms-office.chartcolorstyle+xml"/>
  <Override PartName="/xl/charts/style19.xml" ContentType="application/vnd.ms-office.chartstyle+xml"/>
  <Override PartName="/xl/charts/colors40.xml" ContentType="application/vnd.ms-office.chartcolorstyle+xml"/>
  <Override PartName="/xl/charts/chart18.xml" ContentType="application/vnd.openxmlformats-officedocument.drawingml.chart+xml"/>
  <Override PartName="/xl/charts/colors18.xml" ContentType="application/vnd.ms-office.chartcolorstyle+xml"/>
  <Override PartName="/xl/charts/colors41.xml" ContentType="application/vnd.ms-office.chartcolorstyle+xml"/>
  <Override PartName="/xl/charts/style30.xml" ContentType="application/vnd.ms-office.chartstyle+xml"/>
  <Override PartName="/xl/charts/chart19.xml" ContentType="application/vnd.openxmlformats-officedocument.drawingml.chart+xml"/>
  <Override PartName="/xl/charts/colors20.xml" ContentType="application/vnd.ms-office.chartcolorstyle+xml"/>
  <Override PartName="/xl/charts/colors33.xml" ContentType="application/vnd.ms-office.chartcolorstyle+xml"/>
  <Override PartName="/xl/charts/style22.xml" ContentType="application/vnd.ms-office.chartstyle+xml"/>
  <Override PartName="/xl/charts/chart23.xml" ContentType="application/vnd.openxmlformats-officedocument.drawingml.chart+xml"/>
  <Override PartName="/xl/charts/colors34.xml" ContentType="application/vnd.ms-office.chartcolorstyle+xml"/>
  <Override PartName="/xl/charts/style23.xml" ContentType="application/vnd.ms-office.chartstyle+xml"/>
  <Override PartName="/xl/charts/chart24.xml" ContentType="application/vnd.openxmlformats-officedocument.drawingml.chart+xml"/>
  <Override PartName="/xl/charts/colors35.xml" ContentType="application/vnd.ms-office.chartcolorstyle+xml"/>
  <Override PartName="/xl/charts/style24.xml" ContentType="application/vnd.ms-office.chartstyle+xml"/>
  <Override PartName="/xl/charts/chart25.xml" ContentType="application/vnd.openxmlformats-officedocument.drawingml.chart+xml"/>
  <Override PartName="/xl/charts/colors36.xml" ContentType="application/vnd.ms-office.chartcolorstyle+xml"/>
  <Override PartName="/xl/charts/style25.xml" ContentType="application/vnd.ms-office.chartstyle+xml"/>
  <Override PartName="/xl/charts/chart26.xml" ContentType="application/vnd.openxmlformats-officedocument.drawingml.chart+xml"/>
  <Override PartName="/xl/charts/colors37.xml" ContentType="application/vnd.ms-office.chartcolorstyle+xml"/>
  <Override PartName="/xl/charts/style26.xml" ContentType="application/vnd.ms-office.chartstyle+xml"/>
  <Override PartName="/xl/charts/chart27.xml" ContentType="application/vnd.openxmlformats-officedocument.drawingml.chart+xml"/>
  <Override PartName="/xl/charts/colors38.xml" ContentType="application/vnd.ms-office.chartcolorstyle+xml"/>
  <Override PartName="/xl/charts/style27.xml" ContentType="application/vnd.ms-office.chartstyle+xml"/>
  <Override PartName="/xl/charts/colors50.xml" ContentType="application/vnd.ms-office.chartcolorstyle+xml"/>
  <Override PartName="/xl/charts/chart28.xml" ContentType="application/vnd.openxmlformats-officedocument.drawingml.chart+xml"/>
  <Override PartName="/xl/charts/colors39.xml" ContentType="application/vnd.ms-office.chartcolorstyle+xml"/>
  <Override PartName="/xl/charts/style28.xml" ContentType="application/vnd.ms-office.chartstyle+xml"/>
  <Override PartName="/xl/charts/colors51.xml" ContentType="application/vnd.ms-office.chartcolorstyle+xml"/>
  <Override PartName="/xl/charts/style40.xml" ContentType="application/vnd.ms-office.chartstyle+xml"/>
  <Override PartName="/xl/charts/chart29.xml" ContentType="application/vnd.openxmlformats-officedocument.drawingml.chart+xml"/>
  <Override PartName="/xl/charts/style29.xml" ContentType="application/vnd.ms-office.chartstyle+xml"/>
  <Override PartName="/xl/charts/chart30.xml" ContentType="application/vnd.openxmlformats-officedocument.drawingml.chart+xml"/>
  <Override PartName="/xl/charts/colors30.xml" ContentType="application/vnd.ms-office.chartcolorstyle+xml"/>
  <Override PartName="/xl/charts/chart31.xml" ContentType="application/vnd.openxmlformats-officedocument.drawingml.chart+xml"/>
  <Override PartName="/xl/charts/colors42.xml" ContentType="application/vnd.ms-office.chartcolorstyle+xml"/>
  <Override PartName="/xl/charts/style31.xml" ContentType="application/vnd.ms-office.chartstyle+xml"/>
  <Override PartName="/xl/charts/chart32.xml" ContentType="application/vnd.openxmlformats-officedocument.drawingml.chart+xml"/>
  <Override PartName="/xl/charts/colors43.xml" ContentType="application/vnd.ms-office.chartcolorstyle+xml"/>
  <Override PartName="/xl/charts/style32.xml" ContentType="application/vnd.ms-office.chartstyle+xml"/>
  <Override PartName="/xl/charts/chart33.xml" ContentType="application/vnd.openxmlformats-officedocument.drawingml.chart+xml"/>
  <Override PartName="/xl/charts/colors44.xml" ContentType="application/vnd.ms-office.chartcolorstyle+xml"/>
  <Override PartName="/xl/charts/style33.xml" ContentType="application/vnd.ms-office.chartstyle+xml"/>
  <Override PartName="/xl/charts/chart34.xml" ContentType="application/vnd.openxmlformats-officedocument.drawingml.chart+xml"/>
  <Override PartName="/xl/charts/colors45.xml" ContentType="application/vnd.ms-office.chartcolorstyle+xml"/>
  <Override PartName="/xl/charts/style34.xml" ContentType="application/vnd.ms-office.chartstyle+xml"/>
  <Override PartName="/xl/charts/colors46.xml" ContentType="application/vnd.ms-office.chartcolorstyle+xml"/>
  <Override PartName="/xl/charts/style35.xml" ContentType="application/vnd.ms-office.chartstyle+xml"/>
  <Override PartName="/xl/charts/colors47.xml" ContentType="application/vnd.ms-office.chartcolorstyle+xml"/>
  <Override PartName="/xl/charts/style36.xml" ContentType="application/vnd.ms-office.chartstyle+xml"/>
  <Override PartName="/xl/charts/colors48.xml" ContentType="application/vnd.ms-office.chartcolorstyle+xml"/>
  <Override PartName="/xl/charts/style37.xml" ContentType="application/vnd.ms-office.chartstyle+xml"/>
  <Override PartName="/xl/charts/colors49.xml" ContentType="application/vnd.ms-office.chartcolorstyle+xml"/>
  <Override PartName="/xl/charts/style38.xml" ContentType="application/vnd.ms-office.chartstyle+xml"/>
  <Override PartName="/xl/charts/style39.xml" ContentType="application/vnd.ms-office.chartstyle+xml"/>
  <Override PartName="/xl/charts/chart40.xml" ContentType="application/vnd.openxmlformats-officedocument.drawingml.chart+xml"/>
  <Override PartName="/xl/charts/chart41.xml" ContentType="application/vnd.openxmlformats-officedocument.drawingml.chart+xml"/>
  <Override PartName="/xl/charts/colors52.xml" ContentType="application/vnd.ms-office.chartcolorstyle+xml"/>
  <Override PartName="/xl/charts/style41.xml" ContentType="application/vnd.ms-office.chartstyle+xml"/>
  <Override PartName="/xl/charts/chart42.xml" ContentType="application/vnd.openxmlformats-officedocument.drawingml.chart+xml"/>
  <Override PartName="/xl/charts/colors53.xml" ContentType="application/vnd.ms-office.chartcolorstyle+xml"/>
  <Override PartName="/xl/charts/style42.xml" ContentType="application/vnd.ms-office.chartstyle+xml"/>
  <Override PartName="/xl/charts/chart43.xml" ContentType="application/vnd.openxmlformats-officedocument.drawingml.chart+xml"/>
  <Override PartName="/xl/charts/colors54.xml" ContentType="application/vnd.ms-office.chartcolorstyle+xml"/>
  <Override PartName="/xl/charts/style43.xml" ContentType="application/vnd.ms-office.chartstyle+xml"/>
  <Override PartName="/xl/charts/chart44.xml" ContentType="application/vnd.openxmlformats-officedocument.drawingml.chart+xml"/>
  <Override PartName="/xl/charts/colors55.xml" ContentType="application/vnd.ms-office.chartcolorstyle+xml"/>
  <Override PartName="/xl/charts/style44.xml" ContentType="application/vnd.ms-office.chartstyle+xml"/>
  <Override PartName="/xl/charts/chart45.xml" ContentType="application/vnd.openxmlformats-officedocument.drawingml.chart+xml"/>
  <Override PartName="/xl/charts/style45.xml" ContentType="application/vnd.ms-office.chartstyle+xml"/>
  <Override PartName="/xl/charts/chart46.xml" ContentType="application/vnd.openxmlformats-officedocument.drawingml.chart+xml"/>
  <Override PartName="/xl/charts/style46.xml" ContentType="application/vnd.ms-office.chartstyle+xml"/>
  <Override PartName="/xl/charts/chart47.xml" ContentType="application/vnd.openxmlformats-officedocument.drawingml.chart+xml"/>
  <Override PartName="/xl/charts/style47.xml" ContentType="application/vnd.ms-office.chartstyle+xml"/>
  <Override PartName="/xl/charts/chart48.xml" ContentType="application/vnd.openxmlformats-officedocument.drawingml.chart+xml"/>
  <Override PartName="/xl/charts/style48.xml" ContentType="application/vnd.ms-office.chartstyle+xml"/>
  <Override PartName="/xl/charts/chart49.xml" ContentType="application/vnd.openxmlformats-officedocument.drawingml.chart+xml"/>
  <Override PartName="/xl/charts/style49.xml" ContentType="application/vnd.ms-office.chartstyle+xml"/>
  <Override PartName="/xl/charts/chart50.xml" ContentType="application/vnd.openxmlformats-officedocument.drawingml.chart+xml"/>
  <Override PartName="/xl/charts/chart51.xml" ContentType="application/vnd.openxmlformats-officedocument.drawingml.chart+xml"/>
  <Override PartName="/xl/charts/chart52.xml" ContentType="application/vnd.openxmlformats-officedocument.drawingml.chart+xml"/>
  <Override PartName="/xl/charts/chart53.xml" ContentType="application/vnd.openxmlformats-officedocument.drawingml.chart+xml"/>
  <Override PartName="/xl/charts/chart54.xml" ContentType="application/vnd.openxmlformats-officedocument.drawingml.chart+xml"/>
  <Override PartName="/xl/charts/chart55.xml" ContentType="application/vnd.openxmlformats-officedocument.drawingml.chart+xml"/>
  <Override PartName="/xl/charts/style55.xml" ContentType="application/vnd.ms-office.chartstyle+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comments9.xml" ContentType="application/vnd.openxmlformats-officedocument.spreadsheetml.comment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6" activeTab="15"/>
  </bookViews>
  <sheets>
    <sheet name="Du lieu" sheetId="1" state="hidden" r:id="rId3"/>
    <sheet name="README" sheetId="2" state="hidden" r:id="rId4"/>
    <sheet name="BieuDo" sheetId="3" state="hidden" r:id="rId5"/>
    <sheet name="BieuDo_v2" sheetId="4" state="hidden" r:id="rId6"/>
    <sheet name="BC_Quy" sheetId="5" state="hidden" r:id="rId7"/>
    <sheet name="Tong hop (TH)" sheetId="6" state="hidden" r:id="rId8"/>
    <sheet name="TH_2026" sheetId="7" state="visible" r:id="rId9"/>
    <sheet name="TH theo khach hang" sheetId="8" state="hidden" r:id="rId10"/>
    <sheet name="Thuc te theo thang" sheetId="9" state="hidden" r:id="rId11"/>
    <sheet name="KH hieu chinh" sheetId="10" state="hidden" r:id="rId12"/>
    <sheet name="Vtiger" sheetId="11" state="hidden" r:id="rId13"/>
    <sheet name="HD_Thucte" sheetId="12" state="visible" r:id="rId14"/>
    <sheet name="DT_Thucte" sheetId="13" state="visible" r:id="rId15"/>
    <sheet name="KH DT_HD da ky" sheetId="14" state="visible" r:id="rId16"/>
    <sheet name="KH_Nam_Hieuchinh" sheetId="15" state="visible" r:id="rId17"/>
    <sheet name="KH_CoHoi" sheetId="16" state="visible" r:id="rId18"/>
    <sheet name="BaoCaoQuy" sheetId="17" state="visible" r:id="rId19"/>
  </sheets>
  <definedNames>
    <definedName function="false" hidden="true" localSheetId="12" name="_xlnm._FilterDatabase" vbProcedure="false">DT_Thucte!$A$1:$G$52</definedName>
    <definedName function="false" hidden="true" localSheetId="11" name="_xlnm._FilterDatabase" vbProcedure="false">HD_Thucte!$A$1:$N$37</definedName>
    <definedName function="false" hidden="true" localSheetId="13" name="_xlnm._FilterDatabase" vbProcedure="false">'KH DT_HD da ky'!$A$1:$F$16</definedName>
    <definedName function="false" hidden="true" localSheetId="15" name="_xlnm._FilterDatabase" vbProcedure="false">KH_CoHoi!$A$1:$M$44</definedName>
    <definedName function="false" hidden="true" localSheetId="7" name="_xlnm._FilterDatabase" vbProcedure="false">'TH theo khach hang'!$A$1:$M$308</definedName>
    <definedName function="false" hidden="true" localSheetId="8" name="_xlnm._FilterDatabase" vbProcedure="false">'Thuc te theo thang'!$H$3:$I$308</definedName>
    <definedName function="false" hidden="true" localSheetId="10" name="_xlnm._FilterDatabase" vbProcedure="false">Vtiger!$A$1:$N$6</definedName>
  </definedNames>
  <calcPr iterateCount="100" refMode="A1" iterate="false" iterateDelta="0.0001"/>
  <extLst>
    <ext xmlns:loext="http://schemas.libreoffice.org/" uri="{7626C862-2A13-11E5-B345-FEFF819CDC9F}">
      <loext:extCalcPr stringRefSyntax="ExcelA1"/>
    </ext>
  </extLst>
</workbook>
</file>

<file path=xl/comments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vtxhong</author>
  </authors>
  <commentList>
    <comment ref="F3" authorId="0">
      <text>
        <r>
          <rPr>
            <sz val="10"/>
            <rFont val="Arial"/>
            <family val="2"/>
          </rPr>
          <t xml:space="preserve">vtxhong:
</t>
        </r>
        <r>
          <rPr>
            <sz val="9"/>
            <color rgb="FF000000"/>
            <rFont val="Tahoma"/>
            <family val="2"/>
            <charset val="1"/>
          </rPr>
          <t xml:space="preserve">Đánh dấu "x" nếu doanh thu từ dự án, không từ Hợp đồng mới</t>
        </r>
      </text>
      <mc:AlternateContent>
        <mc:Choice Requires="v2">
          <commentPr autoFill="true" autoScale="false" colHidden="false" locked="false" rowHidden="false" textHAlign="justify" textVAlign="top">
            <anchor moveWithCells="false" sizeWithCells="false">
              <xdr:from>
                <xdr:col>4</xdr:col>
                <xdr:colOff>52</xdr:colOff>
                <xdr:row>1</xdr:row>
                <xdr:rowOff>20</xdr:rowOff>
              </xdr:from>
              <xdr:to>
                <xdr:col>5</xdr:col>
                <xdr:colOff>48</xdr:colOff>
                <xdr:row>4</xdr:row>
                <xdr:rowOff>24</xdr:rowOff>
              </xdr:to>
            </anchor>
          </commentPr>
        </mc:Choice>
        <mc:Fallback/>
      </mc:AlternateContent>
    </comment>
    <comment ref="J3" authorId="0">
      <text>
        <r>
          <rPr>
            <sz val="10"/>
            <rFont val="Arial"/>
            <family val="2"/>
          </rPr>
          <t xml:space="preserve">vtxhong:
</t>
        </r>
        <r>
          <rPr>
            <sz val="9"/>
            <color rgb="FF000000"/>
            <rFont val="Tahoma"/>
            <family val="2"/>
            <charset val="1"/>
          </rPr>
          <t xml:space="preserve">Chưa thu tiền nhưng hạch toán ghi doanh thu
</t>
        </r>
      </text>
      <mc:AlternateContent>
        <mc:Choice Requires="v2">
          <commentPr autoFill="true" autoScale="false" colHidden="false" locked="false" rowHidden="false" textHAlign="justify" textVAlign="top">
            <anchor moveWithCells="false" sizeWithCells="false">
              <xdr:from>
                <xdr:col>7</xdr:col>
                <xdr:colOff>6</xdr:colOff>
                <xdr:row>1</xdr:row>
                <xdr:rowOff>16</xdr:rowOff>
              </xdr:from>
              <xdr:to>
                <xdr:col>8</xdr:col>
                <xdr:colOff>-55</xdr:colOff>
                <xdr:row>5</xdr:row>
                <xdr:rowOff>11</xdr:rowOff>
              </xdr:to>
            </anchor>
          </commentPr>
        </mc:Choice>
        <mc:Fallback/>
      </mc:AlternateContent>
    </comment>
    <comment ref="L3" authorId="0">
      <text>
        <r>
          <rPr>
            <sz val="10"/>
            <rFont val="Arial"/>
            <family val="2"/>
          </rPr>
          <t xml:space="preserve">vtxhong:
</t>
        </r>
        <r>
          <rPr>
            <sz val="9"/>
            <color rgb="FF000000"/>
            <rFont val="Tahoma"/>
            <family val="2"/>
            <charset val="1"/>
          </rPr>
          <t xml:space="preserve">Theo dõi công nợ năm sau</t>
        </r>
      </text>
      <mc:AlternateContent>
        <mc:Choice Requires="v2">
          <commentPr autoFill="true" autoScale="false" colHidden="false" locked="false" rowHidden="false" textHAlign="justify" textVAlign="top">
            <anchor moveWithCells="false" sizeWithCells="false">
              <xdr:from>
                <xdr:col>8</xdr:col>
                <xdr:colOff>108</xdr:colOff>
                <xdr:row>1</xdr:row>
                <xdr:rowOff>16</xdr:rowOff>
              </xdr:from>
              <xdr:to>
                <xdr:col>9</xdr:col>
                <xdr:colOff>84</xdr:colOff>
                <xdr:row>4</xdr:row>
                <xdr:rowOff>18</xdr:rowOff>
              </xdr:to>
            </anchor>
          </commentPr>
        </mc:Choice>
        <mc:Fallback/>
      </mc:AlternateContent>
    </comment>
  </commentList>
</comments>
</file>

<file path=xl/comments9.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Windows User</author>
  </authors>
  <commentList>
    <comment ref="AE221" authorId="0">
      <text>
        <r>
          <rPr>
            <sz val="10"/>
            <rFont val="Arial"/>
            <family val="2"/>
          </rPr>
          <t xml:space="preserve">Windows User:
</t>
        </r>
        <r>
          <rPr>
            <sz val="9"/>
            <color rgb="FF000000"/>
            <rFont val="Tahoma"/>
            <family val="2"/>
            <charset val="1"/>
          </rPr>
          <t xml:space="preserve">Giảm 8tr</t>
        </r>
      </text>
      <mc:AlternateContent>
        <mc:Choice Requires="v2">
          <commentPr autoFill="true" autoScale="false" colHidden="false" locked="false" rowHidden="false" textHAlign="justify" textVAlign="top">
            <anchor moveWithCells="false" sizeWithCells="false">
              <xdr:from>
                <xdr:col>31</xdr:col>
                <xdr:colOff>14</xdr:colOff>
                <xdr:row>221</xdr:row>
                <xdr:rowOff>6</xdr:rowOff>
              </xdr:from>
              <xdr:to>
                <xdr:col>32</xdr:col>
                <xdr:colOff>14</xdr:colOff>
                <xdr:row>224</xdr:row>
                <xdr:rowOff>14</xdr:rowOff>
              </xdr:to>
            </anchor>
          </commentPr>
        </mc:Choice>
        <mc:Fallback/>
      </mc:AlternateContent>
    </comment>
  </commentList>
</comments>
</file>

<file path=xl/sharedStrings.xml><?xml version="1.0" encoding="utf-8"?>
<sst xmlns="http://schemas.openxmlformats.org/spreadsheetml/2006/main" count="3101" uniqueCount="1006">
  <si>
    <t xml:space="preserve">NĂM</t>
  </si>
  <si>
    <t xml:space="preserve">Kế hoạch hiệu chỉnh Hợp đồng</t>
  </si>
  <si>
    <t xml:space="preserve">ITO</t>
  </si>
  <si>
    <t xml:space="preserve">UNI</t>
  </si>
  <si>
    <t xml:space="preserve">BIZ</t>
  </si>
  <si>
    <t xml:space="preserve">G2B</t>
  </si>
  <si>
    <t xml:space="preserve">Tháng</t>
  </si>
  <si>
    <t xml:space="preserve">Có cộng dồn</t>
  </si>
  <si>
    <t xml:space="preserve">KH hiệu chỉnh</t>
  </si>
  <si>
    <t xml:space="preserve">Thực tế</t>
  </si>
  <si>
    <t xml:space="preserve">X</t>
  </si>
  <si>
    <t xml:space="preserve">Năm</t>
  </si>
  <si>
    <t xml:space="preserve">Kế hoạch hiệu chỉnh Doanh thu</t>
  </si>
  <si>
    <t xml:space="preserve">Kế hoạch hiệu chỉnh Doanh thu từ HĐ mới</t>
  </si>
  <si>
    <t xml:space="preserve">HƯỚNG DẪN SỬ DỤNG</t>
  </si>
  <si>
    <t xml:space="preserve">MỤC TIÊU</t>
  </si>
  <si>
    <t xml:space="preserve">THAO TÁC SỬ DỤNG</t>
  </si>
  <si>
    <t xml:space="preserve">ĐẦU NĂM</t>
  </si>
  <si>
    <t xml:space="preserve">Thông số sử dụng</t>
  </si>
  <si>
    <t xml:space="preserve">- Định đúng thông số</t>
  </si>
  <si>
    <t xml:space="preserve">- Kiểm tra thời gian thiết đặt trên máy có đúng với thực tế</t>
  </si>
  <si>
    <t xml:space="preserve">- Sheet "Du lieu" (mặc định ẩn): đặt đúng năm tại ô B1</t>
  </si>
  <si>
    <t xml:space="preserve">Sheet "TH theo khach hang"</t>
  </si>
  <si>
    <t xml:space="preserve">- Lập kế hoạch doanh thu, hợp đồng cả năm theo khách hàng</t>
  </si>
  <si>
    <t xml:space="preserve">- Nhập từ cột A-F sheet</t>
  </si>
  <si>
    <t xml:space="preserve">Sheet "Ke hoach theo thang"</t>
  </si>
  <si>
    <t xml:space="preserve">- Lập kế hoạch chi tiết vào từng tháng của năm</t>
  </si>
  <si>
    <t xml:space="preserve">- Nhập từ cột J- AG. Nếu D&amp;F khác 0, có nghĩa là chưa phân bổ đầy đủ vào tháng</t>
  </si>
  <si>
    <t xml:space="preserve">- Từ cột B-I là công thức: không nhập liệu, dùng để tham khảo và đối chiếu </t>
  </si>
  <si>
    <t xml:space="preserve">- Đối chiếu xong, có thể ẩn cột D-G</t>
  </si>
  <si>
    <t xml:space="preserve">HÀNG THÁNG</t>
  </si>
  <si>
    <t xml:space="preserve">Sheet "Thang xx"</t>
  </si>
  <si>
    <t xml:space="preserve">- Theo dõi doanh thu, hợp đồng từng tháng </t>
  </si>
  <si>
    <t xml:space="preserve">- Cột C, D, E, H là công thức: không nhập liệu</t>
  </si>
  <si>
    <t xml:space="preserve">- Cột F, I: mặc định theo kế hoạch đầu năm. Có thể nhập số liệu hiệu chỉnh theo tình hình hiện tại</t>
  </si>
  <si>
    <t xml:space="preserve">- Xác định cột J: Nếu doanh thu từ hợp đồng mới ký thì đánh dấu "x"</t>
  </si>
  <si>
    <t xml:space="preserve">- Cập nhật số liệu thực tế ở cột G, J và hiện trạng ở cột L</t>
  </si>
  <si>
    <t xml:space="preserve">QUẢN LÝ</t>
  </si>
  <si>
    <t xml:space="preserve">Sheet "Thuc te theo thang"</t>
  </si>
  <si>
    <t xml:space="preserve">- Tổng hợp số liệu thực tế doanh thu, hợp đồng chi tiết theo khách hàng trong 12 tháng </t>
  </si>
  <si>
    <t xml:space="preserve">- Tất cả các cột (trừ cột A) là công thức: không nhập liệu</t>
  </si>
  <si>
    <t xml:space="preserve">Sheet "Tong hop (TH)"</t>
  </si>
  <si>
    <t xml:space="preserve">- Tổng hợp số liệu doanh thu hợp đồng theo tháng, quý, năm</t>
  </si>
  <si>
    <t xml:space="preserve">- Tất cả các cột là công thức: không nhập liệu</t>
  </si>
  <si>
    <t xml:space="preserve">- Doanh thu, hợp đồng theo tháng, theo nhóm</t>
  </si>
  <si>
    <t xml:space="preserve">- Doanh thu theo tháng, theo nhóm phân biệt thu từ hợp đồng mới hay từ dự án</t>
  </si>
  <si>
    <t xml:space="preserve">- Doanh thu, hợp đồng theo quý theo nhóm</t>
  </si>
  <si>
    <t xml:space="preserve">- So sánh doanh thu, hợp đồng so với năm trước</t>
  </si>
  <si>
    <t xml:space="preserve">Sheet "KH hieu chinh theo thang"</t>
  </si>
  <si>
    <t xml:space="preserve">- Tổng hợp số liệu của KH hiệu chỉnh doanh thu, hợp đồng chi tiết theo khách hàng trong 12 tháng </t>
  </si>
  <si>
    <t xml:space="preserve">- Nếu cột H không bằng cột I =&gt; có khả năng chưa lên KH hiệu chỉnh Doanh thu đầy đủ</t>
  </si>
  <si>
    <t xml:space="preserve">CUỐI NĂM</t>
  </si>
  <si>
    <t xml:space="preserve">- Báo cáo doanh thu, hợp đồng thực tế trong năm và doanh thu còn lại chuyển sang năm sau theo khách hàng.</t>
  </si>
  <si>
    <t xml:space="preserve">- Cột G, H, J là công thức: không nhập liệu</t>
  </si>
  <si>
    <t xml:space="preserve">- Cập nhật các thông tin ghi doanh thu từ Kế toán, các thông tin công nợ cần thu năm sau từ Thu hồi công nợ và thông tin khác</t>
  </si>
  <si>
    <t xml:space="preserve">- Nhập từ cột I, K, L sheet</t>
  </si>
  <si>
    <t xml:space="preserve">LƯU Ý KHI SỬ DỤNG</t>
  </si>
  <si>
    <t xml:space="preserve">Nếu phát sinh thêm khách hàng so với kế hoạch đầu năm (trong vòng 40 khách hàng của nhóm UNI, BIZ, GOV)</t>
  </si>
  <si>
    <t xml:space="preserve">- Nhập thông tin khách hàng duy nhất 1 lần ở sheet "TH theo khach hang"</t>
  </si>
  <si>
    <r>
      <rPr>
        <sz val="12"/>
        <color rgb="FF000000"/>
        <rFont val="Times New Roman"/>
        <family val="1"/>
        <charset val="1"/>
      </rPr>
      <t xml:space="preserve">- </t>
    </r>
    <r>
      <rPr>
        <b val="true"/>
        <i val="true"/>
        <u val="single"/>
        <sz val="12"/>
        <color rgb="FF000000"/>
        <rFont val="Times New Roman"/>
        <family val="1"/>
        <charset val="1"/>
      </rPr>
      <t xml:space="preserve">Bước 1</t>
    </r>
    <r>
      <rPr>
        <sz val="12"/>
        <color rgb="FF000000"/>
        <rFont val="Times New Roman"/>
        <family val="1"/>
        <charset val="1"/>
      </rPr>
      <t xml:space="preserve"> - Sheet "TH theo khach hang":
      + Nhập cột A, B, C
- </t>
    </r>
    <r>
      <rPr>
        <b val="true"/>
        <i val="true"/>
        <u val="single"/>
        <sz val="12"/>
        <color rgb="FF000000"/>
        <rFont val="Times New Roman"/>
        <family val="1"/>
        <charset val="1"/>
      </rPr>
      <t xml:space="preserve">Bước 2</t>
    </r>
    <r>
      <rPr>
        <sz val="12"/>
        <color rgb="FF000000"/>
        <rFont val="Times New Roman"/>
        <family val="1"/>
        <charset val="1"/>
      </rPr>
      <t xml:space="preserve"> - Các sheet "Thang xx" (từ tháng có phát sinh đến tháng 12):
      + Nhập theo đúng nguyên tắc của sheet này</t>
    </r>
  </si>
  <si>
    <t xml:space="preserve">- Cần tập trung vào khách hàng đang thực hiện</t>
  </si>
  <si>
    <t xml:space="preserve">- Sử dụng bộ lọc</t>
  </si>
  <si>
    <t xml:space="preserve">- Giá trị có hiệu chỉnh theo thời điểm hiện tại khác so với kế hoạch đầu năm</t>
  </si>
  <si>
    <t xml:space="preserve">- Nhập vào các cột "KH hiệu chỉnh"</t>
  </si>
  <si>
    <t xml:space="preserve">- Nếu giá trị tháng trước chưa thực hiện được cần chuyển sang tháng sau</t>
  </si>
  <si>
    <t xml:space="preserve">- "KH hiệu chỉnh" của tháng trước không cần xoá số liệu. Chuyển giá trị sang "KH hiệu chỉnh" của tháng sau, có thể hiệu chỉnh giá trị theo tính hình mới </t>
  </si>
  <si>
    <t xml:space="preserve">Nếu phát sinh hơn 40 khách hàng (nhóm UNI, BIZ, GOV) hoặc hơn 1 khách hàng (nhóm ITO):</t>
  </si>
  <si>
    <t xml:space="preserve">- Cập nhật dữ liệu từ sheet "TH theo khach hang" từ đó cập nhật mã số ở tất cả sheet có liên quan đến chi tiết khách hàng</t>
  </si>
  <si>
    <r>
      <rPr>
        <sz val="12"/>
        <color rgb="FF000000"/>
        <rFont val="Times New Roman"/>
        <family val="1"/>
        <charset val="1"/>
      </rPr>
      <t xml:space="preserve">- </t>
    </r>
    <r>
      <rPr>
        <b val="true"/>
        <i val="true"/>
        <u val="single"/>
        <sz val="12"/>
        <color rgb="FF000000"/>
        <rFont val="Times New Roman"/>
        <family val="1"/>
        <charset val="1"/>
      </rPr>
      <t xml:space="preserve">Bước 1</t>
    </r>
    <r>
      <rPr>
        <sz val="12"/>
        <color rgb="FF000000"/>
        <rFont val="Times New Roman"/>
        <family val="1"/>
        <charset val="1"/>
      </rPr>
      <t xml:space="preserve"> - Sheet "TH theo khach hang":
   +</t>
    </r>
    <r>
      <rPr>
        <b val="true"/>
        <i val="true"/>
        <sz val="12"/>
        <color rgb="FF000000"/>
        <rFont val="Times New Roman"/>
        <family val="1"/>
        <charset val="1"/>
      </rPr>
      <t xml:space="preserve"> </t>
    </r>
    <r>
      <rPr>
        <b val="true"/>
        <i val="true"/>
        <sz val="12"/>
        <color rgb="FF0066CC"/>
        <rFont val="Times New Roman"/>
        <family val="1"/>
        <charset val="1"/>
      </rPr>
      <t xml:space="preserve">Thêm dòng dữ liệu trước các dòng có tô màu
</t>
    </r>
    <r>
      <rPr>
        <sz val="12"/>
        <color rgb="FF000000"/>
        <rFont val="Times New Roman"/>
        <family val="1"/>
        <charset val="1"/>
      </rPr>
      <t xml:space="preserve">   + Tạo mã số mới theo thứ tự trong nhóm dự án
   + Copy công thức cho các dòng mới
   + Tuân thủ theo các nhập liệu của sheet này.   
   + </t>
    </r>
    <r>
      <rPr>
        <b val="true"/>
        <i val="true"/>
        <sz val="12"/>
        <color rgb="FF0066CC"/>
        <rFont val="Times New Roman"/>
        <family val="1"/>
        <charset val="1"/>
      </rPr>
      <t xml:space="preserve">Nếu khách hàng phát sinh so với kế hoạch đầu năm: không nhập cột D, E, F</t>
    </r>
  </si>
  <si>
    <r>
      <rPr>
        <sz val="12"/>
        <color rgb="FF000000"/>
        <rFont val="Times New Roman"/>
        <family val="1"/>
        <charset val="1"/>
      </rPr>
      <t xml:space="preserve">- </t>
    </r>
    <r>
      <rPr>
        <b val="true"/>
        <i val="true"/>
        <u val="single"/>
        <sz val="12"/>
        <color rgb="FF000000"/>
        <rFont val="Times New Roman"/>
        <family val="1"/>
        <charset val="1"/>
      </rPr>
      <t xml:space="preserve">Bước 2</t>
    </r>
    <r>
      <rPr>
        <sz val="12"/>
        <color rgb="FF000000"/>
        <rFont val="Times New Roman"/>
        <family val="1"/>
        <charset val="1"/>
      </rPr>
      <t xml:space="preserve"> - Các sheet "Ke hoach theo thang", "Thuc te theo thang", "KH hieu chinh theo thang", các sheet "Thang xx" (từ tháng có phát sinh đến tháng 12):
   + Copy từ các dòng trước đó  
   + Insert copied cells vào trước các dòng có tô màu
   + Kéo tạo mã phù hợp với sheet "TH theo khach hang"
   + Cập nhật thông tin phù hợp</t>
    </r>
  </si>
  <si>
    <t xml:space="preserve">Thêm cột cho các sheet</t>
  </si>
  <si>
    <t xml:space="preserve">- Nếu có nhu cầu thêm cột để ghi nhận thêm thông tin</t>
  </si>
  <si>
    <t xml:space="preserve">- Thêm phía sau các cột đã định nghĩa</t>
  </si>
  <si>
    <t xml:space="preserve">- Thông tin công nợ (cột F): theo dõi chi tiết công nợ khách hàng cần thu trong năm sau</t>
  </si>
  <si>
    <t xml:space="preserve">- Có thể copy thông tin nào để Quản lý công nợ ở năm sau (nếu cần)</t>
  </si>
  <si>
    <t xml:space="preserve">Sheet "Du lieu"</t>
  </si>
  <si>
    <t xml:space="preserve">- Lưu dữ liệu trung gian để tính toán</t>
  </si>
  <si>
    <t xml:space="preserve">- Đầu năm cung cấp thông số "Năm".
- Không nhập dữ liệu vào đây. Thường ở trạng thái Hide</t>
  </si>
  <si>
    <t xml:space="preserve">I. TỔNG HỢP SỐ LIỆU KINH DOANH - BPPM</t>
  </si>
  <si>
    <t xml:space="preserve">I.1. Kết quả đạt được</t>
  </si>
  <si>
    <t xml:space="preserve">II.2. Kết quả đạt được</t>
  </si>
  <si>
    <t xml:space="preserve">TT</t>
  </si>
  <si>
    <t xml:space="preserve">Hạng mục </t>
  </si>
  <si>
    <t xml:space="preserve">HỢP ĐỒNG</t>
  </si>
  <si>
    <t xml:space="preserve">DOANH THU</t>
  </si>
  <si>
    <t xml:space="preserve">Nhóm ITO</t>
  </si>
  <si>
    <t xml:space="preserve">Nhóm UNI</t>
  </si>
  <si>
    <t xml:space="preserve">Nhón G2B</t>
  </si>
  <si>
    <t xml:space="preserve">KH dự kiến</t>
  </si>
  <si>
    <t xml:space="preserve">Tổng năm (1+2)</t>
  </si>
  <si>
    <t xml:space="preserve">Kế hoạch năm</t>
  </si>
  <si>
    <t xml:space="preserve">Tỉ lệ </t>
  </si>
  <si>
    <t xml:space="preserve">II. NHÓM ITO</t>
  </si>
  <si>
    <t xml:space="preserve">III.NHÓM UNI</t>
  </si>
  <si>
    <t xml:space="preserve">III.1. Kết quả đạt được</t>
  </si>
  <si>
    <t xml:space="preserve">III.2. Kế hoạch tiếp theo</t>
  </si>
  <si>
    <t xml:space="preserve">Dự kiến tổng giá trị hợp đồng:</t>
  </si>
  <si>
    <t xml:space="preserve">đồng</t>
  </si>
  <si>
    <t xml:space="preserve">KẾ HOẠCH NĂM</t>
  </si>
  <si>
    <t xml:space="preserve">DỰ KIẾN ĐẠT ĐƯỢC</t>
  </si>
  <si>
    <t xml:space="preserve">HỢP ĐỒNG SO VỚI KẾ HOẠCH NĂM 2023</t>
  </si>
  <si>
    <t xml:space="preserve">Dự kiến tổng giá trị doanh thu:</t>
  </si>
  <si>
    <t xml:space="preserve">DOANH THU SO VỚI KẾ HOẠCH NĂM 2023</t>
  </si>
  <si>
    <t xml:space="preserve">IV.NHÓM G2B</t>
  </si>
  <si>
    <t xml:space="preserve">IV.1. Kết quả đạt được</t>
  </si>
  <si>
    <t xml:space="preserve">IV.2. Kế hoạch tiếp theo</t>
  </si>
  <si>
    <t xml:space="preserve">KH HỢP ĐỒNG:</t>
  </si>
  <si>
    <t xml:space="preserve">KH DOANH THU:</t>
  </si>
  <si>
    <t xml:space="preserve">GIÁ TRỊ ĐẠT ĐƯỢC SO VỚI KẾ HOẠCH NĂM</t>
  </si>
  <si>
    <t xml:space="preserve">HẠNG MỤC</t>
  </si>
  <si>
    <t xml:space="preserve">Thực tế (đạt)</t>
  </si>
  <si>
    <t xml:space="preserve">Dự kiến (còn lại)</t>
  </si>
  <si>
    <t xml:space="preserve">TỔNG CỘNG</t>
  </si>
  <si>
    <t xml:space="preserve">TỈ LỆ</t>
  </si>
  <si>
    <t xml:space="preserve">II.NHÓM UNI</t>
  </si>
  <si>
    <t xml:space="preserve">KẾ HOẠCH HỢP ĐỒNG NĂM 2024</t>
  </si>
  <si>
    <t xml:space="preserve">DỰ KIẾN ĐẠT HỢP ĐỒNG NĂM 2024</t>
  </si>
  <si>
    <t xml:space="preserve"> SO VỚI KẾ HOẠCH NĂM 2024</t>
  </si>
  <si>
    <t xml:space="preserve">KẾ HOẠCH DOANH THU NĂM 2024</t>
  </si>
  <si>
    <t xml:space="preserve">DỰ KIẾN ĐẠT DOANH THU NĂM 2024</t>
  </si>
  <si>
    <t xml:space="preserve">SO VỚI KẾ HOẠCH NĂM 2024</t>
  </si>
  <si>
    <t xml:space="preserve">III.NHÓM G2B</t>
  </si>
  <si>
    <t xml:space="preserve">IV. NHÓM ITO</t>
  </si>
  <si>
    <t xml:space="preserve">KH Hợp đồng:</t>
  </si>
  <si>
    <t xml:space="preserve">KH Doanh thu:</t>
  </si>
  <si>
    <t xml:space="preserve">GIÁ TRỊ ĐẠT ĐƯỢC SO VỚI KẾ HOẠCH</t>
  </si>
  <si>
    <t xml:space="preserve">II.QUÝ I: Báo cáo kết quả thực hiện Quý I và dự kiến kế hoạch thực hiện quý II</t>
  </si>
  <si>
    <t xml:space="preserve">II.1. Báo cáo kết quả thực hiện Quý I (1,2,3)</t>
  </si>
  <si>
    <t xml:space="preserve">TỔNG HỢP THEO THÁNG</t>
  </si>
  <si>
    <t xml:space="preserve">STT</t>
  </si>
  <si>
    <t xml:space="preserve">Nhóm G2B</t>
  </si>
  <si>
    <t xml:space="preserve">BPPM</t>
  </si>
  <si>
    <t xml:space="preserve">KH đầu năm</t>
  </si>
  <si>
    <t xml:space="preserve">Tháng 01</t>
  </si>
  <si>
    <t xml:space="preserve">Tháng 02</t>
  </si>
  <si>
    <t xml:space="preserve">Tháng 03</t>
  </si>
  <si>
    <t xml:space="preserve">Tháng 04</t>
  </si>
  <si>
    <t xml:space="preserve">Tháng 05</t>
  </si>
  <si>
    <t xml:space="preserve">Tháng 06</t>
  </si>
  <si>
    <t xml:space="preserve">Tháng 07</t>
  </si>
  <si>
    <t xml:space="preserve">Tháng 08</t>
  </si>
  <si>
    <t xml:space="preserve">Tháng 09</t>
  </si>
  <si>
    <t xml:space="preserve">Tháng 10</t>
  </si>
  <si>
    <t xml:space="preserve">Tháng 11</t>
  </si>
  <si>
    <t xml:space="preserve">Tháng 12</t>
  </si>
  <si>
    <t xml:space="preserve">Tỷ lệ</t>
  </si>
  <si>
    <t xml:space="preserve">G2B+UNI</t>
  </si>
  <si>
    <t xml:space="preserve">DỰ KIẾN KẾT QUẢ ĐẠT ĐƯỢC SO VỚI KẾ HOẠCH NĂM</t>
  </si>
  <si>
    <t xml:space="preserve">PP1: Tính theo mức độ</t>
  </si>
  <si>
    <t xml:space="preserve">Giá trị</t>
  </si>
  <si>
    <t xml:space="preserve">Thực tế + Mức 1</t>
  </si>
  <si>
    <t xml:space="preserve">Thực tế + Mức 1+2</t>
  </si>
  <si>
    <t xml:space="preserve">Thực tế + Mức 1+2+3</t>
  </si>
  <si>
    <t xml:space="preserve">PP2: Tính theo thời gian</t>
  </si>
  <si>
    <t xml:space="preserve">Thực tế + Đến hết Quý III</t>
  </si>
  <si>
    <t xml:space="preserve">Thực tế + Đến hết Quý VI</t>
  </si>
  <si>
    <t xml:space="preserve">Kỳ hợp trước:</t>
  </si>
  <si>
    <t xml:space="preserve">Tăng/Giảm:</t>
  </si>
  <si>
    <t xml:space="preserve">Đến hiện tại</t>
  </si>
  <si>
    <t xml:space="preserve">01/12/2025</t>
  </si>
  <si>
    <t xml:space="preserve">Hợp đồng</t>
  </si>
  <si>
    <t xml:space="preserve">Nhóm</t>
  </si>
  <si>
    <t xml:space="preserve">KH năm</t>
  </si>
  <si>
    <t xml:space="preserve">KH hiệu chỉnh (còn lại) </t>
  </si>
  <si>
    <t xml:space="preserve">Tỷ lệ thực tế</t>
  </si>
  <si>
    <t xml:space="preserve">Tỷ lệ KH</t>
  </si>
  <si>
    <t xml:space="preserve">Doanh thu</t>
  </si>
  <si>
    <t xml:space="preserve">Cơ hội</t>
  </si>
  <si>
    <t xml:space="preserve">Đang thực hiện</t>
  </si>
  <si>
    <t xml:space="preserve">Mã số</t>
  </si>
  <si>
    <t xml:space="preserve">Tên sản phẩm, khách hàng </t>
  </si>
  <si>
    <t xml:space="preserve">Bảo trì</t>
  </si>
  <si>
    <t xml:space="preserve">Kế hoạch đầu năm</t>
  </si>
  <si>
    <t xml:space="preserve">Là DT từ dự án</t>
  </si>
  <si>
    <t xml:space="preserve">Thời gian HĐ</t>
  </si>
  <si>
    <t xml:space="preserve">Ghi doanh thu</t>
  </si>
  <si>
    <t xml:space="preserve">Doanh thu còn lại</t>
  </si>
  <si>
    <t xml:space="preserve">Công nợ</t>
  </si>
  <si>
    <t xml:space="preserve">Thời gian DT</t>
  </si>
  <si>
    <t xml:space="preserve">NHÓM ITO</t>
  </si>
  <si>
    <t xml:space="preserve">ITO01</t>
  </si>
  <si>
    <t xml:space="preserve">Hợp đồng Outsource</t>
  </si>
  <si>
    <t xml:space="preserve">NHÓM UNI</t>
  </si>
  <si>
    <t xml:space="preserve">UNI01</t>
  </si>
  <si>
    <t xml:space="preserve">UNI02</t>
  </si>
  <si>
    <t xml:space="preserve">UNI03</t>
  </si>
  <si>
    <t xml:space="preserve">UNI04</t>
  </si>
  <si>
    <t xml:space="preserve">UNI05</t>
  </si>
  <si>
    <t xml:space="preserve">UNI06</t>
  </si>
  <si>
    <t xml:space="preserve">UNI07</t>
  </si>
  <si>
    <t xml:space="preserve">UNI08</t>
  </si>
  <si>
    <t xml:space="preserve">UNI09</t>
  </si>
  <si>
    <t xml:space="preserve">UNI10</t>
  </si>
  <si>
    <t xml:space="preserve">UNI11</t>
  </si>
  <si>
    <t xml:space="preserve">UNI12</t>
  </si>
  <si>
    <t xml:space="preserve">UNI13</t>
  </si>
  <si>
    <t xml:space="preserve">UNI14</t>
  </si>
  <si>
    <t xml:space="preserve">UNI15</t>
  </si>
  <si>
    <t xml:space="preserve">UNI16</t>
  </si>
  <si>
    <t xml:space="preserve">UNI17</t>
  </si>
  <si>
    <t xml:space="preserve">UNI18</t>
  </si>
  <si>
    <t xml:space="preserve">UNI19</t>
  </si>
  <si>
    <t xml:space="preserve">UNI20</t>
  </si>
  <si>
    <t xml:space="preserve">UNI21</t>
  </si>
  <si>
    <t xml:space="preserve">UNI22</t>
  </si>
  <si>
    <t xml:space="preserve">UNI23</t>
  </si>
  <si>
    <t xml:space="preserve">UNI24</t>
  </si>
  <si>
    <t xml:space="preserve">UNI25</t>
  </si>
  <si>
    <t xml:space="preserve">UNI26</t>
  </si>
  <si>
    <t xml:space="preserve">UNI27</t>
  </si>
  <si>
    <t xml:space="preserve">UNI28</t>
  </si>
  <si>
    <t xml:space="preserve">UNI29</t>
  </si>
  <si>
    <t xml:space="preserve">UNI30</t>
  </si>
  <si>
    <t xml:space="preserve">UNI31</t>
  </si>
  <si>
    <t xml:space="preserve">UNI32</t>
  </si>
  <si>
    <t xml:space="preserve">UNI33</t>
  </si>
  <si>
    <t xml:space="preserve">UNI34</t>
  </si>
  <si>
    <t xml:space="preserve">UNI35</t>
  </si>
  <si>
    <t xml:space="preserve">UNI36</t>
  </si>
  <si>
    <t xml:space="preserve">UNI37</t>
  </si>
  <si>
    <t xml:space="preserve">UNI38</t>
  </si>
  <si>
    <t xml:space="preserve">UNI39</t>
  </si>
  <si>
    <t xml:space="preserve">UNI40</t>
  </si>
  <si>
    <t xml:space="preserve">UNI41</t>
  </si>
  <si>
    <t xml:space="preserve">UNI42</t>
  </si>
  <si>
    <t xml:space="preserve">UNI43</t>
  </si>
  <si>
    <t xml:space="preserve">UNI44</t>
  </si>
  <si>
    <t xml:space="preserve">UNI45</t>
  </si>
  <si>
    <t xml:space="preserve">UNI46</t>
  </si>
  <si>
    <t xml:space="preserve">UNI47</t>
  </si>
  <si>
    <t xml:space="preserve">UNI48</t>
  </si>
  <si>
    <t xml:space="preserve">UNI49</t>
  </si>
  <si>
    <t xml:space="preserve">UNI50</t>
  </si>
  <si>
    <t xml:space="preserve">UNI51</t>
  </si>
  <si>
    <t xml:space="preserve">UNI52</t>
  </si>
  <si>
    <t xml:space="preserve">UNI53</t>
  </si>
  <si>
    <t xml:space="preserve">UNI54</t>
  </si>
  <si>
    <t xml:space="preserve">UNI55</t>
  </si>
  <si>
    <t xml:space="preserve">UNI56</t>
  </si>
  <si>
    <t xml:space="preserve">UNI57</t>
  </si>
  <si>
    <t xml:space="preserve">UNI58</t>
  </si>
  <si>
    <t xml:space="preserve">UNI59</t>
  </si>
  <si>
    <t xml:space="preserve">UNI60</t>
  </si>
  <si>
    <t xml:space="preserve">UNI61</t>
  </si>
  <si>
    <t xml:space="preserve">UNI62</t>
  </si>
  <si>
    <t xml:space="preserve">UNI63</t>
  </si>
  <si>
    <t xml:space="preserve">UNI64</t>
  </si>
  <si>
    <t xml:space="preserve">UNI65</t>
  </si>
  <si>
    <t xml:space="preserve">UNI66</t>
  </si>
  <si>
    <t xml:space="preserve">UNI67</t>
  </si>
  <si>
    <t xml:space="preserve">UNI68</t>
  </si>
  <si>
    <t xml:space="preserve">UNI69</t>
  </si>
  <si>
    <t xml:space="preserve">UNI70</t>
  </si>
  <si>
    <t xml:space="preserve">UNI71</t>
  </si>
  <si>
    <t xml:space="preserve">UNI72</t>
  </si>
  <si>
    <t xml:space="preserve">UNI73</t>
  </si>
  <si>
    <t xml:space="preserve">UNI74</t>
  </si>
  <si>
    <t xml:space="preserve">UNI75</t>
  </si>
  <si>
    <t xml:space="preserve">UNI76</t>
  </si>
  <si>
    <t xml:space="preserve">UNI77</t>
  </si>
  <si>
    <t xml:space="preserve">UNI78</t>
  </si>
  <si>
    <t xml:space="preserve">UNI79</t>
  </si>
  <si>
    <t xml:space="preserve">UNI80</t>
  </si>
  <si>
    <t xml:space="preserve">UNI81</t>
  </si>
  <si>
    <t xml:space="preserve">UNI82</t>
  </si>
  <si>
    <t xml:space="preserve">UNI83</t>
  </si>
  <si>
    <t xml:space="preserve">UNI84</t>
  </si>
  <si>
    <t xml:space="preserve">UNI85</t>
  </si>
  <si>
    <t xml:space="preserve">UNI86</t>
  </si>
  <si>
    <t xml:space="preserve">UNI87</t>
  </si>
  <si>
    <t xml:space="preserve">UNI88</t>
  </si>
  <si>
    <t xml:space="preserve">UNI89</t>
  </si>
  <si>
    <t xml:space="preserve">UNI90</t>
  </si>
  <si>
    <t xml:space="preserve">UNI91</t>
  </si>
  <si>
    <t xml:space="preserve">UNI92</t>
  </si>
  <si>
    <t xml:space="preserve">UNI93</t>
  </si>
  <si>
    <t xml:space="preserve">UNI94</t>
  </si>
  <si>
    <t xml:space="preserve">UNI95</t>
  </si>
  <si>
    <t xml:space="preserve">UNI96</t>
  </si>
  <si>
    <t xml:space="preserve">UNI97</t>
  </si>
  <si>
    <t xml:space="preserve">UNI98</t>
  </si>
  <si>
    <t xml:space="preserve">UNI99</t>
  </si>
  <si>
    <t xml:space="preserve">UNI100</t>
  </si>
  <si>
    <t xml:space="preserve">Chuyển doanh thu từ ITO</t>
  </si>
  <si>
    <t xml:space="preserve">NHÓM BIZ</t>
  </si>
  <si>
    <t xml:space="preserve">BIZ01</t>
  </si>
  <si>
    <t xml:space="preserve">BIZ02</t>
  </si>
  <si>
    <t xml:space="preserve">BIZ03</t>
  </si>
  <si>
    <t xml:space="preserve">BIZ04</t>
  </si>
  <si>
    <t xml:space="preserve">BIZ05</t>
  </si>
  <si>
    <t xml:space="preserve">BIZ06</t>
  </si>
  <si>
    <t xml:space="preserve">BIZ07</t>
  </si>
  <si>
    <t xml:space="preserve">BIZ08</t>
  </si>
  <si>
    <t xml:space="preserve">BIZ09</t>
  </si>
  <si>
    <t xml:space="preserve">BIZ10</t>
  </si>
  <si>
    <t xml:space="preserve">BIZ11</t>
  </si>
  <si>
    <t xml:space="preserve">BIZ12</t>
  </si>
  <si>
    <t xml:space="preserve">BIZ13</t>
  </si>
  <si>
    <t xml:space="preserve">BIZ14</t>
  </si>
  <si>
    <t xml:space="preserve">BIZ15</t>
  </si>
  <si>
    <t xml:space="preserve">BIZ16</t>
  </si>
  <si>
    <t xml:space="preserve">BIZ17</t>
  </si>
  <si>
    <t xml:space="preserve">BIZ18</t>
  </si>
  <si>
    <t xml:space="preserve">BIZ19</t>
  </si>
  <si>
    <t xml:space="preserve">BIZ20</t>
  </si>
  <si>
    <t xml:space="preserve">BIZ21</t>
  </si>
  <si>
    <t xml:space="preserve">BIZ22</t>
  </si>
  <si>
    <t xml:space="preserve">BIZ23</t>
  </si>
  <si>
    <t xml:space="preserve">BIZ24</t>
  </si>
  <si>
    <t xml:space="preserve">BIZ25</t>
  </si>
  <si>
    <t xml:space="preserve">BIZ26</t>
  </si>
  <si>
    <t xml:space="preserve">BIZ27</t>
  </si>
  <si>
    <t xml:space="preserve">BIZ28</t>
  </si>
  <si>
    <t xml:space="preserve">BIZ29</t>
  </si>
  <si>
    <t xml:space="preserve">BIZ30</t>
  </si>
  <si>
    <t xml:space="preserve">BIZ31</t>
  </si>
  <si>
    <t xml:space="preserve">BIZ32</t>
  </si>
  <si>
    <t xml:space="preserve">BIZ33</t>
  </si>
  <si>
    <t xml:space="preserve">BIZ34</t>
  </si>
  <si>
    <t xml:space="preserve">BIZ35</t>
  </si>
  <si>
    <t xml:space="preserve">BIZ36</t>
  </si>
  <si>
    <t xml:space="preserve">BIZ37</t>
  </si>
  <si>
    <t xml:space="preserve">BIZ38</t>
  </si>
  <si>
    <t xml:space="preserve">BIZ39</t>
  </si>
  <si>
    <t xml:space="preserve">BIZ40</t>
  </si>
  <si>
    <t xml:space="preserve">BIZ41</t>
  </si>
  <si>
    <t xml:space="preserve">BIZ42</t>
  </si>
  <si>
    <t xml:space="preserve">BIZ43</t>
  </si>
  <si>
    <t xml:space="preserve">BIZ44</t>
  </si>
  <si>
    <t xml:space="preserve">BIZ45</t>
  </si>
  <si>
    <t xml:space="preserve">BIZ46</t>
  </si>
  <si>
    <t xml:space="preserve">BIZ47</t>
  </si>
  <si>
    <t xml:space="preserve">BIZ48</t>
  </si>
  <si>
    <t xml:space="preserve">BIZ49</t>
  </si>
  <si>
    <t xml:space="preserve">BIZ50</t>
  </si>
  <si>
    <t xml:space="preserve">BIZ51</t>
  </si>
  <si>
    <t xml:space="preserve">BIZ52</t>
  </si>
  <si>
    <t xml:space="preserve">BIZ53</t>
  </si>
  <si>
    <t xml:space="preserve">BIZ54</t>
  </si>
  <si>
    <t xml:space="preserve">BIZ55</t>
  </si>
  <si>
    <t xml:space="preserve">BIZ56</t>
  </si>
  <si>
    <t xml:space="preserve">BIZ57</t>
  </si>
  <si>
    <t xml:space="preserve">BIZ58</t>
  </si>
  <si>
    <t xml:space="preserve">BIZ59</t>
  </si>
  <si>
    <t xml:space="preserve">BIZ60</t>
  </si>
  <si>
    <t xml:space="preserve">BIZ61</t>
  </si>
  <si>
    <t xml:space="preserve">BIZ62</t>
  </si>
  <si>
    <t xml:space="preserve">BIZ63</t>
  </si>
  <si>
    <t xml:space="preserve">BIZ64</t>
  </si>
  <si>
    <t xml:space="preserve">BIZ65</t>
  </si>
  <si>
    <t xml:space="preserve">BIZ66</t>
  </si>
  <si>
    <t xml:space="preserve">BIZ67</t>
  </si>
  <si>
    <t xml:space="preserve">BIZ68</t>
  </si>
  <si>
    <t xml:space="preserve">BIZ69</t>
  </si>
  <si>
    <t xml:space="preserve">BIZ70</t>
  </si>
  <si>
    <t xml:space="preserve">BIZ71</t>
  </si>
  <si>
    <t xml:space="preserve">BIZ72</t>
  </si>
  <si>
    <t xml:space="preserve">BIZ73</t>
  </si>
  <si>
    <t xml:space="preserve">BIZ74</t>
  </si>
  <si>
    <t xml:space="preserve">BIZ75</t>
  </si>
  <si>
    <t xml:space="preserve">BIZ76</t>
  </si>
  <si>
    <t xml:space="preserve">BIZ77</t>
  </si>
  <si>
    <t xml:space="preserve">BIZ78</t>
  </si>
  <si>
    <t xml:space="preserve">BIZ79</t>
  </si>
  <si>
    <t xml:space="preserve">BIZ80</t>
  </si>
  <si>
    <t xml:space="preserve">BIZ81</t>
  </si>
  <si>
    <t xml:space="preserve">BIZ82</t>
  </si>
  <si>
    <t xml:space="preserve">BIZ83</t>
  </si>
  <si>
    <t xml:space="preserve">BIZ84</t>
  </si>
  <si>
    <t xml:space="preserve">BIZ85</t>
  </si>
  <si>
    <t xml:space="preserve">BIZ86</t>
  </si>
  <si>
    <t xml:space="preserve">BIZ87</t>
  </si>
  <si>
    <t xml:space="preserve">BIZ88</t>
  </si>
  <si>
    <t xml:space="preserve">BIZ89</t>
  </si>
  <si>
    <t xml:space="preserve">BIZ90</t>
  </si>
  <si>
    <t xml:space="preserve">BIZ91</t>
  </si>
  <si>
    <t xml:space="preserve">BIZ92</t>
  </si>
  <si>
    <t xml:space="preserve">BIZ93</t>
  </si>
  <si>
    <t xml:space="preserve">BIZ94</t>
  </si>
  <si>
    <t xml:space="preserve">BIZ95</t>
  </si>
  <si>
    <t xml:space="preserve">BIZ96</t>
  </si>
  <si>
    <t xml:space="preserve">BIZ97</t>
  </si>
  <si>
    <t xml:space="preserve">BIZ98</t>
  </si>
  <si>
    <t xml:space="preserve">BIZ99</t>
  </si>
  <si>
    <t xml:space="preserve">BIZ100</t>
  </si>
  <si>
    <t xml:space="preserve">NHÓM G2B</t>
  </si>
  <si>
    <t xml:space="preserve">G2B01</t>
  </si>
  <si>
    <t xml:space="preserve">G2B02</t>
  </si>
  <si>
    <t xml:space="preserve">G2B03</t>
  </si>
  <si>
    <t xml:space="preserve">G2B04</t>
  </si>
  <si>
    <t xml:space="preserve">G2B05</t>
  </si>
  <si>
    <t xml:space="preserve">G2B06</t>
  </si>
  <si>
    <t xml:space="preserve">G2B07</t>
  </si>
  <si>
    <t xml:space="preserve">G2B08</t>
  </si>
  <si>
    <t xml:space="preserve">G2B09</t>
  </si>
  <si>
    <t xml:space="preserve">G2B10</t>
  </si>
  <si>
    <t xml:space="preserve">G2B11</t>
  </si>
  <si>
    <t xml:space="preserve">G2B12</t>
  </si>
  <si>
    <t xml:space="preserve">G2B13</t>
  </si>
  <si>
    <t xml:space="preserve">G2B14</t>
  </si>
  <si>
    <t xml:space="preserve">G2B15</t>
  </si>
  <si>
    <t xml:space="preserve">G2B16</t>
  </si>
  <si>
    <t xml:space="preserve">G2B17</t>
  </si>
  <si>
    <t xml:space="preserve">G2B18</t>
  </si>
  <si>
    <t xml:space="preserve">G2B19</t>
  </si>
  <si>
    <t xml:space="preserve">G2B20</t>
  </si>
  <si>
    <t xml:space="preserve">G2B21</t>
  </si>
  <si>
    <t xml:space="preserve">G2B22</t>
  </si>
  <si>
    <t xml:space="preserve">G2B23</t>
  </si>
  <si>
    <t xml:space="preserve">G2B24</t>
  </si>
  <si>
    <t xml:space="preserve">G2B25</t>
  </si>
  <si>
    <t xml:space="preserve">G2B26</t>
  </si>
  <si>
    <t xml:space="preserve">G2B27</t>
  </si>
  <si>
    <t xml:space="preserve">G2B28</t>
  </si>
  <si>
    <t xml:space="preserve">G2B29</t>
  </si>
  <si>
    <t xml:space="preserve">G2B30</t>
  </si>
  <si>
    <t xml:space="preserve">G2B31</t>
  </si>
  <si>
    <t xml:space="preserve">G2B32</t>
  </si>
  <si>
    <t xml:space="preserve">G2B33</t>
  </si>
  <si>
    <t xml:space="preserve">G2B34</t>
  </si>
  <si>
    <t xml:space="preserve">G2B35</t>
  </si>
  <si>
    <t xml:space="preserve">G2B36</t>
  </si>
  <si>
    <t xml:space="preserve">G2B37</t>
  </si>
  <si>
    <t xml:space="preserve">G2B38</t>
  </si>
  <si>
    <t xml:space="preserve">G2B39</t>
  </si>
  <si>
    <t xml:space="preserve">G2B40</t>
  </si>
  <si>
    <t xml:space="preserve">G2B41</t>
  </si>
  <si>
    <t xml:space="preserve">G2B42</t>
  </si>
  <si>
    <t xml:space="preserve">G2B43</t>
  </si>
  <si>
    <t xml:space="preserve">G2B44</t>
  </si>
  <si>
    <t xml:space="preserve">G2B45</t>
  </si>
  <si>
    <t xml:space="preserve">G2B46</t>
  </si>
  <si>
    <t xml:space="preserve">G2B47</t>
  </si>
  <si>
    <t xml:space="preserve">G2B48</t>
  </si>
  <si>
    <t xml:space="preserve">G2B49</t>
  </si>
  <si>
    <t xml:space="preserve">G2B50</t>
  </si>
  <si>
    <t xml:space="preserve">G2B51</t>
  </si>
  <si>
    <t xml:space="preserve">G2B52</t>
  </si>
  <si>
    <t xml:space="preserve">G2B53</t>
  </si>
  <si>
    <t xml:space="preserve">G2B54</t>
  </si>
  <si>
    <t xml:space="preserve">G2B55</t>
  </si>
  <si>
    <t xml:space="preserve">G2B56</t>
  </si>
  <si>
    <t xml:space="preserve">G2B57</t>
  </si>
  <si>
    <t xml:space="preserve">G2B58</t>
  </si>
  <si>
    <t xml:space="preserve">G2B59</t>
  </si>
  <si>
    <t xml:space="preserve">G2B60</t>
  </si>
  <si>
    <t xml:space="preserve">G2B61</t>
  </si>
  <si>
    <t xml:space="preserve">G2B62</t>
  </si>
  <si>
    <t xml:space="preserve">G2B63</t>
  </si>
  <si>
    <t xml:space="preserve">G2B64</t>
  </si>
  <si>
    <t xml:space="preserve">G2B65</t>
  </si>
  <si>
    <t xml:space="preserve">G2B66</t>
  </si>
  <si>
    <t xml:space="preserve">G2B67</t>
  </si>
  <si>
    <t xml:space="preserve">G2B68</t>
  </si>
  <si>
    <t xml:space="preserve">G2B69</t>
  </si>
  <si>
    <t xml:space="preserve">G2B70</t>
  </si>
  <si>
    <t xml:space="preserve">G2B71</t>
  </si>
  <si>
    <t xml:space="preserve">G2B72</t>
  </si>
  <si>
    <t xml:space="preserve">G2B73</t>
  </si>
  <si>
    <t xml:space="preserve">G2B74</t>
  </si>
  <si>
    <t xml:space="preserve">G2B75</t>
  </si>
  <si>
    <t xml:space="preserve">G2B76</t>
  </si>
  <si>
    <t xml:space="preserve">G2B77</t>
  </si>
  <si>
    <t xml:space="preserve">G2B78</t>
  </si>
  <si>
    <t xml:space="preserve">G2B79</t>
  </si>
  <si>
    <t xml:space="preserve">G2B80</t>
  </si>
  <si>
    <t xml:space="preserve">G2B81</t>
  </si>
  <si>
    <t xml:space="preserve">G2B82</t>
  </si>
  <si>
    <t xml:space="preserve">G2B83</t>
  </si>
  <si>
    <t xml:space="preserve">G2B84</t>
  </si>
  <si>
    <t xml:space="preserve">G2B85</t>
  </si>
  <si>
    <t xml:space="preserve">G2B86</t>
  </si>
  <si>
    <t xml:space="preserve">G2B87</t>
  </si>
  <si>
    <t xml:space="preserve">G2B88</t>
  </si>
  <si>
    <t xml:space="preserve">G2B89</t>
  </si>
  <si>
    <t xml:space="preserve">G2B90</t>
  </si>
  <si>
    <t xml:space="preserve">G2B91</t>
  </si>
  <si>
    <t xml:space="preserve">G2B92</t>
  </si>
  <si>
    <t xml:space="preserve">G2B93</t>
  </si>
  <si>
    <t xml:space="preserve">G2B94</t>
  </si>
  <si>
    <t xml:space="preserve">G2B95</t>
  </si>
  <si>
    <t xml:space="preserve">G2B96</t>
  </si>
  <si>
    <t xml:space="preserve">G2B97</t>
  </si>
  <si>
    <t xml:space="preserve">G2B98</t>
  </si>
  <si>
    <t xml:space="preserve">G2B99</t>
  </si>
  <si>
    <t xml:space="preserve">G2B100</t>
  </si>
  <si>
    <t xml:space="preserve">Nhàn chỉnh</t>
  </si>
  <si>
    <t xml:space="preserve">Chênh lệch</t>
  </si>
  <si>
    <t xml:space="preserve">Thực tế Năm</t>
  </si>
  <si>
    <t xml:space="preserve">KH HĐ ĐIỀU CHỈNH</t>
  </si>
  <si>
    <t xml:space="preserve">ĐIỀU CHỈNH</t>
  </si>
  <si>
    <t xml:space="preserve">Mức 1: Đạt 80-100%</t>
  </si>
  <si>
    <t xml:space="preserve">Mức 2: Đạt 50-79%</t>
  </si>
  <si>
    <t xml:space="preserve">Mức 3: Dưới 50%</t>
  </si>
  <si>
    <t xml:space="preserve">Tổng cộng</t>
  </si>
  <si>
    <t xml:space="preserve">Dữ liệu vẽ biểu đồ</t>
  </si>
  <si>
    <t xml:space="preserve">Hạng mục</t>
  </si>
  <si>
    <t xml:space="preserve">Kế hoạch còn lại</t>
  </si>
  <si>
    <t xml:space="preserve">Dự kiến đạt được</t>
  </si>
  <si>
    <t xml:space="preserve">Kế hoạch </t>
  </si>
  <si>
    <t xml:space="preserve">Đạt</t>
  </si>
  <si>
    <t xml:space="preserve">KH còn lại</t>
  </si>
  <si>
    <t xml:space="preserve">Điều chỉnh </t>
  </si>
  <si>
    <t xml:space="preserve">Tổng</t>
  </si>
  <si>
    <t xml:space="preserve">Nguồn HĐ dự kiến</t>
  </si>
  <si>
    <t xml:space="preserve">Tỉ lệ</t>
  </si>
  <si>
    <t xml:space="preserve">KH DOANH THU</t>
  </si>
  <si>
    <t xml:space="preserve">DT CÒN LẠI (ĐÃ KÝ HĐ)</t>
  </si>
  <si>
    <t xml:space="preserve">KH DT ĐIỀU CHỈNH</t>
  </si>
  <si>
    <t xml:space="preserve">Nguồn thu (HĐ đã ký)</t>
  </si>
  <si>
    <t xml:space="preserve">Nguồn DT dự kiến</t>
  </si>
  <si>
    <t xml:space="preserve">Đánh giá mức đột đạt được</t>
  </si>
  <si>
    <t xml:space="preserve">Mức 1: Đạt 80-100% (HĐ đã ký)</t>
  </si>
  <si>
    <t xml:space="preserve">Mức </t>
  </si>
  <si>
    <t xml:space="preserve">Đơn vị</t>
  </si>
  <si>
    <t xml:space="preserve">Dự án/Cơ hội</t>
  </si>
  <si>
    <t xml:space="preserve">Kế hoạch</t>
  </si>
  <si>
    <t xml:space="preserve">Mức độ đạt được</t>
  </si>
  <si>
    <t xml:space="preserve">DT - Lần 1</t>
  </si>
  <si>
    <t xml:space="preserve">Tháng DT - Lần 1</t>
  </si>
  <si>
    <t xml:space="preserve">Giá trị DT - Lần 2</t>
  </si>
  <si>
    <t xml:space="preserve">Tháng DT - Lần 2</t>
  </si>
  <si>
    <t xml:space="preserve">#</t>
  </si>
  <si>
    <t xml:space="preserve">Thông tin mới nhất</t>
  </si>
  <si>
    <t xml:space="preserve">Trường Đại học Luật - Đại học Huế</t>
  </si>
  <si>
    <t xml:space="preserve">ĐH Luật Huế: Chuẩn đầu ra</t>
  </si>
  <si>
    <t xml:space="preserve">Anh Sơn hẹn trong tháng 12 này sẽ ck trước 50tr tiền mặt (không ký HĐ)</t>
  </si>
  <si>
    <t xml:space="preserve">Tập Đoàn CT Group</t>
  </si>
  <si>
    <t xml:space="preserve">CT Group: Báo giá web</t>
  </si>
  <si>
    <t xml:space="preserve">Khác</t>
  </si>
  <si>
    <t xml:space="preserve">Chờ Anh Tuấn thống nhất yêu cầu bên Phòng Truyền thông, sau đó mới xúc tiến ký hợp đồng được. Vẫn chưa có thông tin</t>
  </si>
  <si>
    <t xml:space="preserve">Sở Khoa học và Công nghệ tỉnh Cà Mau</t>
  </si>
  <si>
    <t xml:space="preserve">Sở KHCN Cà Mau: Dự án QLDA</t>
  </si>
  <si>
    <t xml:space="preserve">-</t>
  </si>
  <si>
    <t xml:space="preserve">Mới</t>
  </si>
  <si>
    <t xml:space="preserve">Tiếp tục trình Sở TC thẩm định, trình UBND tỉnh phê duyệt BC</t>
  </si>
  <si>
    <t xml:space="preserve"> Loại cơ hội</t>
  </si>
  <si>
    <t xml:space="preserve">x</t>
  </si>
  <si>
    <t xml:space="preserve">Bệnh viện Đa khoa Khu vực Ba Tri</t>
  </si>
  <si>
    <t xml:space="preserve">BV Ba Tri: Triển khai phần mềm quản lý bệnh án điện tử</t>
  </si>
  <si>
    <t xml:space="preserve">Z Chưa xác định</t>
  </si>
  <si>
    <t xml:space="preserve">Ghi nhận theo dõi</t>
  </si>
  <si>
    <t xml:space="preserve">Nguồn năm 2026</t>
  </si>
  <si>
    <t xml:space="preserve">Kinh doanh</t>
  </si>
  <si>
    <t xml:space="preserve">Cho thuê phần mềm QKSL</t>
  </si>
  <si>
    <t xml:space="preserve">2025</t>
  </si>
  <si>
    <t xml:space="preserve">Hải Phong JSC - Trường Cao Đẳng Kỹ Thuật - Công nghệ Bách Khoa - CTECH</t>
  </si>
  <si>
    <t xml:space="preserve">CTECH: Thực hiện API chia sẻ dữ liệu từ phân hệ Quản lý Thời khóa biểu và  Quản lý điểm danh</t>
  </si>
  <si>
    <t xml:space="preserve">Huyện ủy Cù Lao Dung</t>
  </si>
  <si>
    <t xml:space="preserve">Cù Lao Dung: Dự án CĐS</t>
  </si>
  <si>
    <t xml:space="preserve">Trường Cao đẳng Gia Lai</t>
  </si>
  <si>
    <t xml:space="preserve">CĐ Gia Lai: Phần mềm UIIS</t>
  </si>
  <si>
    <t xml:space="preserve">Trường Cao đẳng Thống kê II</t>
  </si>
  <si>
    <t xml:space="preserve">CĐ Thống kê II: Báo giá các phân hệ phần mềm QLĐT</t>
  </si>
  <si>
    <t xml:space="preserve">Trường Cao đẳng Đắk Lắk</t>
  </si>
  <si>
    <t xml:space="preserve">CĐ Đắk Lắk: Phần mềm QLĐT</t>
  </si>
  <si>
    <t xml:space="preserve">Trường Cao Đẳng Đắk Nông</t>
  </si>
  <si>
    <t xml:space="preserve">CĐ Đắk Nông: Phần mềm QLĐT</t>
  </si>
  <si>
    <t xml:space="preserve">Trường Cao đẳng Y tế An Giang</t>
  </si>
  <si>
    <t xml:space="preserve">CĐYT An Giang: Nâng cấp UIIS</t>
  </si>
  <si>
    <t xml:space="preserve">Trường Đại học Nam Cần Thơ</t>
  </si>
  <si>
    <t xml:space="preserve">DNC: Báo giá phần mềm UIIS</t>
  </si>
  <si>
    <t xml:space="preserve">Đã gửi báo giá. Không có thông tin </t>
  </si>
  <si>
    <t xml:space="preserve">xx</t>
  </si>
  <si>
    <t xml:space="preserve">Học viện Chính trị Khu vực IV</t>
  </si>
  <si>
    <t xml:space="preserve">Học viện IV: Báo giá OJS tiếng Việt</t>
  </si>
  <si>
    <t xml:space="preserve">Đã gửi báo giá. Liên hệ Anh Dũng nhưng không có phản hồi</t>
  </si>
  <si>
    <t xml:space="preserve">Kiểm thử phần mềm 1</t>
  </si>
  <si>
    <t xml:space="preserve">Kiểm thử phần mềm 2</t>
  </si>
  <si>
    <t xml:space="preserve">Kiểm thử phần mềm 3</t>
  </si>
  <si>
    <t xml:space="preserve">Ngân hàng Thương mại Cổ phần Kiên Long (KienLongbank)</t>
  </si>
  <si>
    <t xml:space="preserve">KienLongbank: Báo giá UIIS cho trường Cao đẳng</t>
  </si>
  <si>
    <t xml:space="preserve">KienLongbank: Báo giá UIIS cho trường Đại học</t>
  </si>
  <si>
    <t xml:space="preserve">Phường Bạc Liêu - Cà Mau</t>
  </si>
  <si>
    <t xml:space="preserve">P. Bạc Liêu: Đề xuất các nghiệm vụ KHCN</t>
  </si>
  <si>
    <t xml:space="preserve">Đã gửi thuyết minh. Đã liên hệ nhưng không có thông tin </t>
  </si>
  <si>
    <t xml:space="preserve">Phần mềm Quản lý lái xe 1</t>
  </si>
  <si>
    <t xml:space="preserve">Phần mềm Quản lý lái xe 2</t>
  </si>
  <si>
    <t xml:space="preserve">Sở KHCN Cà Mau: Dự án QLDA, QLSK</t>
  </si>
  <si>
    <t xml:space="preserve">Đã gửi thuyết minh và báo giá</t>
  </si>
  <si>
    <t xml:space="preserve">Sở KHCN Cà Mau: Nâng cấp và nhân rộng ISO điện tử</t>
  </si>
  <si>
    <t xml:space="preserve">Sở Khoa học và Công nghệ tỉnh Sóc Trăng</t>
  </si>
  <si>
    <t xml:space="preserve">Sở KHCN Sóc Trăng: Nâng cấp QLSK</t>
  </si>
  <si>
    <t xml:space="preserve">Sở Khoa học và Công nghệ tỉnh Vĩnh Long</t>
  </si>
  <si>
    <t xml:space="preserve">Sở KHCN VL: Triển khai ISO điện tử</t>
  </si>
  <si>
    <t xml:space="preserve">Sở Khoa học và Công nghệ tỉnh Ninh Bình</t>
  </si>
  <si>
    <t xml:space="preserve">Sở KHCN: Nhân rộng ISO Điện tử</t>
  </si>
  <si>
    <t xml:space="preserve">Chưa có chủ trương chính thức thực hiện nhân rộng</t>
  </si>
  <si>
    <t xml:space="preserve">Triển khai 1 Trường Khu vực ĐNB: Chuyển đổi số</t>
  </si>
  <si>
    <t xml:space="preserve">Trung tâm Y tế Huyện Châu Thành - Bến Tre</t>
  </si>
  <si>
    <t xml:space="preserve">TTYT Châu Thành: Phần mềm HRM</t>
  </si>
  <si>
    <t xml:space="preserve">Bệnh viện tập trung triển khai Bệnh Án điện tử</t>
  </si>
  <si>
    <t xml:space="preserve">Ngân hàng phát triển Việt Nam - Chi nhánh Cần Thơ</t>
  </si>
  <si>
    <t xml:space="preserve">VDB: Phần mềm Quản lý lưu trữ</t>
  </si>
  <si>
    <t xml:space="preserve">Chưa có nguồn kinh phí thực hiện </t>
  </si>
  <si>
    <t xml:space="preserve">VKU - Đại học Công nghệ thông tin và Truyền thông Việt - Hàn</t>
  </si>
  <si>
    <t xml:space="preserve">VKU - Báo giá phần mềm Quản lý đạo tạo UIIS</t>
  </si>
  <si>
    <t xml:space="preserve">Không có thông tin mới</t>
  </si>
  <si>
    <t xml:space="preserve">ĐH Bắc Sài Gòn</t>
  </si>
  <si>
    <t xml:space="preserve">ĐH Bắc Sài Gòn: Phần mềm Quản lý đào tạo</t>
  </si>
  <si>
    <t xml:space="preserve">Thầy Lân nói trường chưa hoạt động, chắc phải sang năm sau</t>
  </si>
  <si>
    <t xml:space="preserve">Trường Đại học Kinh tế - Đại học Huế</t>
  </si>
  <si>
    <t xml:space="preserve">ĐH Kinh tế Huế: Phần mềm UIIS</t>
  </si>
  <si>
    <t xml:space="preserve">ĐH Luật Huế: Báo giá nâng cấp 4 phân hệ =&gt; Rà soát UIIS</t>
  </si>
  <si>
    <t xml:space="preserve">ĐH Luật Huế: Báo giá phần mềm Quản lý văn bản, lịch biểu công tác (e-Office)</t>
  </si>
  <si>
    <t xml:space="preserve">Trường Đại học Ngoại ngữ - Đại học Huế</t>
  </si>
  <si>
    <t xml:space="preserve">ĐH Ngoại ngữ - ĐH Huế: Phần mềm UIIS</t>
  </si>
  <si>
    <t xml:space="preserve">Trường Đại học Nông Lâm TP. Hồ Chí Minh</t>
  </si>
  <si>
    <t xml:space="preserve">ĐH Nông Lâm TP. HCM: Báo giá phần mềm QLĐT</t>
  </si>
  <si>
    <t xml:space="preserve">Trường Đại học Phú Xuân</t>
  </si>
  <si>
    <t xml:space="preserve">ĐH Phú Xuân: Phần mềm UIIS</t>
  </si>
  <si>
    <t xml:space="preserve">Sử dụng phần mềm cũ. Không có thông tin mới</t>
  </si>
  <si>
    <t xml:space="preserve">Trường Đại học Phú Yên</t>
  </si>
  <si>
    <t xml:space="preserve">ĐH Phú Yên: Nâng cấp UIIS</t>
  </si>
  <si>
    <t xml:space="preserve">Trường Đại học Tiền Giang</t>
  </si>
  <si>
    <t xml:space="preserve">ĐH Tiền Giang: Tích hợp với moodle, bổ sung hệ đào tạo từ xa</t>
  </si>
  <si>
    <t xml:space="preserve">Trường Đại học Y Dược - Đại học Huế</t>
  </si>
  <si>
    <t xml:space="preserve">ĐH Y dược Huế: Nâng cấp UIIS (Cải tiến CTĐT, CĐR, QLSK,..)</t>
  </si>
  <si>
    <t xml:space="preserve">Trường Đại học Sư phạm Đà Nẵng</t>
  </si>
  <si>
    <t xml:space="preserve">ĐHSP ĐN - Nâng cấp UIIS (Kiểm tra nề nếp, Đăng ký lịch dạy SĐH)</t>
  </si>
  <si>
    <t xml:space="preserve">ĐHSP ĐN: Phần mềm HRM</t>
  </si>
  <si>
    <t xml:space="preserve">ĐHSP ĐN: Triển khai App SV (GĐ2)</t>
  </si>
  <si>
    <t xml:space="preserve">Trường Đại học Y dược Buôn Ma Thuột</t>
  </si>
  <si>
    <t xml:space="preserve">ĐHYD BMT: Bổ sung chức năng tính điểm tương đương/ thay thế</t>
  </si>
  <si>
    <t xml:space="preserve">DNC: Báo giá phần mềm OJS phiên bản tiếng Việt</t>
  </si>
  <si>
    <t xml:space="preserve">Liên hệ theo dõi, chưa phản hồi</t>
  </si>
  <si>
    <t xml:space="preserve">Trường Cao đẳng nghề Sóc Trăng</t>
  </si>
  <si>
    <t xml:space="preserve">CĐ Nghề Sóc Trăng: Phần mềm Đánh giá NSLD và Đảng viên</t>
  </si>
  <si>
    <t xml:space="preserve">Gửi báo giá cho trường tham khảo. Không có thông tin mới</t>
  </si>
  <si>
    <t xml:space="preserve">Trường Cao đẳng Xây dựng Công trình Đô thị Hà Nội</t>
  </si>
  <si>
    <t xml:space="preserve">CĐ XD CT ĐT Hà Nội: Phần mềm UIIS</t>
  </si>
  <si>
    <t xml:space="preserve">Trường đầu tư phần cứng trước; phần mềm qua năm 2026.</t>
  </si>
  <si>
    <t xml:space="preserve">Trường Đại học Y Dược, Đại học Thái Nguyên</t>
  </si>
  <si>
    <t xml:space="preserve">ĐHYD Thái Nguyên: Phần mềm UIIS</t>
  </si>
  <si>
    <t xml:space="preserve">Trường Cao đẳng Cộng đồng Sóc Trăng</t>
  </si>
  <si>
    <t xml:space="preserve">CĐ Cộng đồng Sóc Trăng: Bổ sung QL Xét TKB và 2 App</t>
  </si>
  <si>
    <t xml:space="preserve">UED: báo giá quản lý hỏi đáp sinh viên</t>
  </si>
  <si>
    <t xml:space="preserve">ĐHSP ĐN:Báo giá Nâng cấp Nghị định 116</t>
  </si>
  <si>
    <t xml:space="preserve">Sở Khoa học và Công nghệ tỉnh Đồng Tháp</t>
  </si>
  <si>
    <t xml:space="preserve">Sở KHCN Đồng Tháp: Đào tạo QLSK</t>
  </si>
  <si>
    <t xml:space="preserve">Trung tâm đào tạo và sát hạch lái xe Trường Cao đẳng Kiên Giang</t>
  </si>
  <si>
    <t xml:space="preserve">TT Sát hạch KG: Kết nối thu phí ngân hàng VCB</t>
  </si>
  <si>
    <t xml:space="preserve">Bệnh viện Lao và Bệnh Phổi tỉnh Bạc Liêu</t>
  </si>
  <si>
    <t xml:space="preserve">BV Lao phổi BL: Tích hợp tra cứu BHYT</t>
  </si>
  <si>
    <t xml:space="preserve">ĐH Luật Huế: Báo giá nâng cấp 2025</t>
  </si>
  <si>
    <t xml:space="preserve">Nhờ nhóm dự án cho ý kiến về các nội dung Nâng cấp năm 2025 có thực hiện không. </t>
  </si>
  <si>
    <t xml:space="preserve">Sở KHCN Cà Mau: Website AI hỗ trợ nuôi tôm theo mô hình RAS-IMTA</t>
  </si>
  <si>
    <t xml:space="preserve">Chủ trương thực hiện năm 2026</t>
  </si>
  <si>
    <t xml:space="preserve">Đại học Sư phạm, Đại học Huế</t>
  </si>
  <si>
    <t xml:space="preserve">ĐHSP Huế: Báo giá phần mềm CUSC-UIIS</t>
  </si>
  <si>
    <t xml:space="preserve">ĐH Huế đang thẩm định, phê duyệt. Chưa có kết quả, đánh giá khả năng không thực hiện được trong năm 2025.</t>
  </si>
  <si>
    <t xml:space="preserve">TT sát hạch CĐKG: Liên kết học phí với BIDV</t>
  </si>
  <si>
    <t xml:space="preserve">Qua năm 2026 mới thực hiện. VCB hết nguồn kinh phí tài trợ.</t>
  </si>
  <si>
    <t xml:space="preserve">Trung tâm GDNN Sát hạch lái xe Đồng Bằng (tư thục)</t>
  </si>
  <si>
    <t xml:space="preserve">Trung tâm GDNN Sát hạch lái xe Đồng Bằng: Báo giá phần mềm QL lái xe + kết nối  KLBank</t>
  </si>
  <si>
    <t xml:space="preserve">Báo giá lại Lần 2</t>
  </si>
  <si>
    <t xml:space="preserve">NHÓM</t>
  </si>
  <si>
    <t xml:space="preserve">KHÁCH HÀNG</t>
  </si>
  <si>
    <t xml:space="preserve">SỐ HĐ</t>
  </si>
  <si>
    <t xml:space="preserve">NỘI DUNG</t>
  </si>
  <si>
    <t xml:space="preserve">GIÁ TRỊ</t>
  </si>
  <si>
    <t xml:space="preserve">NGÀY HĐ</t>
  </si>
  <si>
    <t xml:space="preserve">TRẠNG THÁI</t>
  </si>
  <si>
    <t xml:space="preserve">06/HĐ-CNPM-PM</t>
  </si>
  <si>
    <t xml:space="preserve">Bảo trì QLSK 2026</t>
  </si>
  <si>
    <t xml:space="preserve">2026-01-01</t>
  </si>
  <si>
    <t xml:space="preserve">Approved</t>
  </si>
  <si>
    <t xml:space="preserve">Trường Đại học Nông Lâm - Đại học Huế</t>
  </si>
  <si>
    <t xml:space="preserve">07/HĐ-CNPM-PM</t>
  </si>
  <si>
    <t xml:space="preserve">Bảo trì phần mềm UIIS năm 2026</t>
  </si>
  <si>
    <t xml:space="preserve">Ngân hàng Nông nghiệp và Phát triển nông thôn Việt Nam - Chi nhánh Cần Thơ</t>
  </si>
  <si>
    <t xml:space="preserve">10/HĐ-CNPM-PM</t>
  </si>
  <si>
    <t xml:space="preserve">Bảo trì 5 năm: Liên thông học phí CTU</t>
  </si>
  <si>
    <t xml:space="preserve">11/HĐ-CNPM-PM</t>
  </si>
  <si>
    <t xml:space="preserve">Quý I: Bảo trì phần mềm HIS 2026</t>
  </si>
  <si>
    <t xml:space="preserve">2026-01-03</t>
  </si>
  <si>
    <t xml:space="preserve">Paid</t>
  </si>
  <si>
    <t xml:space="preserve">Ngân hàng TMCP Phát triển Thành phố Hồ Chí Minh - Chi nhánh Cần Thơ</t>
  </si>
  <si>
    <t xml:space="preserve">01/HĐ-CNPM-PM</t>
  </si>
  <si>
    <t xml:space="preserve">Bảo trì kỹ thuật phần mềm liên thông dữ liệu học phí và thu học phí qua Qrcode với HDBank</t>
  </si>
  <si>
    <t xml:space="preserve">2026-01-06</t>
  </si>
  <si>
    <t xml:space="preserve">03/HĐ-CNPM-PM</t>
  </si>
  <si>
    <t xml:space="preserve">Bảo trì phần mềm UIIS 2026</t>
  </si>
  <si>
    <t xml:space="preserve">2026-01-19</t>
  </si>
  <si>
    <t xml:space="preserve">Trường Đại học Kiên Giang</t>
  </si>
  <si>
    <t xml:space="preserve">08/HĐ-CNPM-PM</t>
  </si>
  <si>
    <t xml:space="preserve">2026-01-20</t>
  </si>
  <si>
    <t xml:space="preserve">42/HĐDV-NL</t>
  </si>
  <si>
    <t xml:space="preserve">Bảo trì phần mềm tạp chí 2026</t>
  </si>
  <si>
    <t xml:space="preserve">2026-01-26</t>
  </si>
  <si>
    <t xml:space="preserve">Trường Đại học Cần Thơ - CTU</t>
  </si>
  <si>
    <t xml:space="preserve">04/HĐ-CNPM-PM</t>
  </si>
  <si>
    <t xml:space="preserve">CTU: Liên thông thu học phí với VietinBank</t>
  </si>
  <si>
    <t xml:space="preserve">2026-01-30</t>
  </si>
  <si>
    <t xml:space="preserve">012026_ITO</t>
  </si>
  <si>
    <t xml:space="preserve">Hợp đồng ITO tháng 01/2026</t>
  </si>
  <si>
    <t xml:space="preserve">2026-01-31</t>
  </si>
  <si>
    <t xml:space="preserve">Sở Khoa học và Công nghệ tỉnh Quảng Ninh</t>
  </si>
  <si>
    <t xml:space="preserve">HD2600035092_2602121108</t>
  </si>
  <si>
    <t xml:space="preserve">Thuê dịch vụ cập nhật, hiệu chỉnh phần mềm ISO điện tử; tích hợp trí tuệ nhân tạo (AI) phục vụ xây dựng, vận hành và cải tiến Hệ thống quản lý chất lượng theo tiêu chuẩn Quốc gia TCVN ISO 9001:2015</t>
  </si>
  <si>
    <t xml:space="preserve">2026-02-12</t>
  </si>
  <si>
    <t xml:space="preserve">Bệnh viện Trường Đại học Y Dược Cần Thơ</t>
  </si>
  <si>
    <t xml:space="preserve">078/BVTĐHYDCT-ĐHCT</t>
  </si>
  <si>
    <t xml:space="preserve">Gói thầu: Phần mềm hệ thống quản lý tăng huyết áp bằng trí tuệ nhân tạo</t>
  </si>
  <si>
    <t xml:space="preserve">2026-02-26</t>
  </si>
  <si>
    <t xml:space="preserve">022026_ITO</t>
  </si>
  <si>
    <t xml:space="preserve">Hợp đồng ITO tháng 02/2026</t>
  </si>
  <si>
    <t xml:space="preserve">2026-02-28</t>
  </si>
  <si>
    <t xml:space="preserve">Trường Cao đẳng Nghề Kiên Giang</t>
  </si>
  <si>
    <t xml:space="preserve">17/HĐ-CNPM-PM</t>
  </si>
  <si>
    <t xml:space="preserve">2026-03-15</t>
  </si>
  <si>
    <t xml:space="preserve">18/HĐ-CNPM-PM</t>
  </si>
  <si>
    <t xml:space="preserve">2026-03-18</t>
  </si>
  <si>
    <t xml:space="preserve">Trung tâm đào tạo và sát hạch lái xe - CĐ Kiên Giang</t>
  </si>
  <si>
    <t xml:space="preserve">2603/HĐ-BIDV-CUSC-TTSHKGC</t>
  </si>
  <si>
    <t xml:space="preserve">Liên kết học phí với BIDV</t>
  </si>
  <si>
    <t xml:space="preserve">2026-03-26</t>
  </si>
  <si>
    <t xml:space="preserve">032026_ITO</t>
  </si>
  <si>
    <t xml:space="preserve">Hợp đồng ITO tháng 03/2026</t>
  </si>
  <si>
    <t xml:space="preserve">2026-03-31</t>
  </si>
  <si>
    <t xml:space="preserve">27/HĐ-CNPM-PM</t>
  </si>
  <si>
    <t xml:space="preserve">Quý II: Bảo trì phần mềm HIS 2026</t>
  </si>
  <si>
    <t xml:space="preserve">2026-04-03</t>
  </si>
  <si>
    <t xml:space="preserve">Trường Đại học Bạc Liêu</t>
  </si>
  <si>
    <t xml:space="preserve">51/HĐ-CNPM-PM</t>
  </si>
  <si>
    <t xml:space="preserve">2026-04-04</t>
  </si>
  <si>
    <t xml:space="preserve">22/HĐ-CNPM-PM</t>
  </si>
  <si>
    <t xml:space="preserve">Thực hiện liên thông dữ liệu KBCB ký số</t>
  </si>
  <si>
    <t xml:space="preserve">2026-04-06</t>
  </si>
  <si>
    <t xml:space="preserve">Đại học Sư phạm - Đại học Huế</t>
  </si>
  <si>
    <t xml:space="preserve">HD2600068440_2604061719</t>
  </si>
  <si>
    <t xml:space="preserve">Gói thầu số 04: Xây dựng phần mềm quản lý đáp ứng công tác quản trị</t>
  </si>
  <si>
    <t xml:space="preserve">Ngân hàng Sacombank chi nhánh Cần Thơ</t>
  </si>
  <si>
    <t xml:space="preserve">29/HĐ-CNPM-PM</t>
  </si>
  <si>
    <t xml:space="preserve">Bảo trì liên thông học phí 2026</t>
  </si>
  <si>
    <t xml:space="preserve">2026-04-26</t>
  </si>
  <si>
    <t xml:space="preserve">Công ty Cổ phần Đầu tư Phát triển Nhà Cà Mau</t>
  </si>
  <si>
    <t xml:space="preserve">26/HĐ-CNPM-PM</t>
  </si>
  <si>
    <t xml:space="preserve">Bảo trì website 2026</t>
  </si>
  <si>
    <t xml:space="preserve">2026-04-29</t>
  </si>
  <si>
    <t xml:space="preserve">042026_ITO</t>
  </si>
  <si>
    <t xml:space="preserve">Hợp đồng ITO tháng 04/2026</t>
  </si>
  <si>
    <t xml:space="preserve">2026-04-30</t>
  </si>
  <si>
    <t xml:space="preserve">57/HĐ-CNPM-PM</t>
  </si>
  <si>
    <t xml:space="preserve">2026-05-03</t>
  </si>
  <si>
    <t xml:space="preserve">Sở Khoa học và Công nghệ tỉnh Nghệ An</t>
  </si>
  <si>
    <t xml:space="preserve">2705/HĐ-SKHCN-CUSC</t>
  </si>
  <si>
    <t xml:space="preserve">Thuê đơn vị thực hiện kiểm tra và báo cáo kết quả kiểm tra tính trùng lặp của các sáng kiến tỉnh Nghệ An</t>
  </si>
  <si>
    <t xml:space="preserve">2026-05-27</t>
  </si>
  <si>
    <t xml:space="preserve">052026_ITO</t>
  </si>
  <si>
    <t xml:space="preserve">Hợp đồng ITO tháng 05/2026</t>
  </si>
  <si>
    <t xml:space="preserve">2026-05-31</t>
  </si>
  <si>
    <t xml:space="preserve">Trường Đại học Việt Đức</t>
  </si>
  <si>
    <t xml:space="preserve">73/HĐ-CNPM-PM</t>
  </si>
  <si>
    <t xml:space="preserve">Bảo trì Website 2026</t>
  </si>
  <si>
    <t xml:space="preserve">2026-06-10</t>
  </si>
  <si>
    <t xml:space="preserve">615/HĐ/CUSC-ĐHNLHCM</t>
  </si>
  <si>
    <t xml:space="preserve">Thực hiện API kết nối đồng bộ dữ liệu bài báo giữa Phần mềm quản lý xuất bản tạp chí khoa học của Trường Đại học Nông Lâm TP. Hồ Chí Minh với hệ thống VJOL của Bộ Khoa học và Công nghệ theo công văn 3</t>
  </si>
  <si>
    <t xml:space="preserve">2026-06-15</t>
  </si>
  <si>
    <t xml:space="preserve">Công ty Cổ phần Thủy sản Sóc Trăng</t>
  </si>
  <si>
    <t xml:space="preserve">75/HĐ-CNPM-PM</t>
  </si>
  <si>
    <t xml:space="preserve">Hợp đồng bảo trì HRM Stapimex năm 2026</t>
  </si>
  <si>
    <t xml:space="preserve">2026-06-20</t>
  </si>
  <si>
    <t xml:space="preserve">Trường Đại học Văn Hiến</t>
  </si>
  <si>
    <t xml:space="preserve">1706/2026/HĐ/CUSC-VHU</t>
  </si>
  <si>
    <t xml:space="preserve">Thực hiện API kết nối đồng bộ dữ liệu bài báo giữa Phần mềm quản lý xuất bản tạp chí khoa học của Trường Đại học Văn Hiến với hệ thống VJOL của Bộ Khoa học và Công nghệ theo công văn 330/BKHCN-TTTK</t>
  </si>
  <si>
    <t xml:space="preserve">2026-06-29</t>
  </si>
  <si>
    <t xml:space="preserve">74/HĐ-CNPM_PM</t>
  </si>
  <si>
    <t xml:space="preserve">Nâng cấp mã hóa bệnh tật theo TT06</t>
  </si>
  <si>
    <t xml:space="preserve">062026_ITO</t>
  </si>
  <si>
    <t xml:space="preserve">Hợp đồng ITO tháng 06/2026</t>
  </si>
  <si>
    <t xml:space="preserve">2026-06-30</t>
  </si>
  <si>
    <t xml:space="preserve">630/HĐ-VIETIN-CUSC-ĐHSP</t>
  </si>
  <si>
    <t xml:space="preserve">Liên thông dữ liệu học phí giữa Phần mềm Quản lý đáp ứng công tác quản trị và Ngân hàng TMCP Công thương Việt Nam (Vietinbank)</t>
  </si>
  <si>
    <t xml:space="preserve">77/HĐ-CNPM-PM</t>
  </si>
  <si>
    <t xml:space="preserve">Quý III: Bảo trì phần mềm HIS 2026</t>
  </si>
  <si>
    <t xml:space="preserve">2026-07-03</t>
  </si>
  <si>
    <t xml:space="preserve">072026_ITO</t>
  </si>
  <si>
    <t xml:space="preserve">Hợp đồng ITO tháng 07/2026</t>
  </si>
  <si>
    <t xml:space="preserve">2026-07-31</t>
  </si>
  <si>
    <t xml:space="preserve">21.08.26/HĐ-DV</t>
  </si>
  <si>
    <t xml:space="preserve">Nâng cấp phần mềm UIIS</t>
  </si>
  <si>
    <t xml:space="preserve">2026-08-21</t>
  </si>
  <si>
    <t xml:space="preserve">Trường Cao đẳng cộng đồng Hậu Giang</t>
  </si>
  <si>
    <t xml:space="preserve">110/HĐ-CNPM-PM</t>
  </si>
  <si>
    <t xml:space="preserve">2026-08-28</t>
  </si>
  <si>
    <t xml:space="preserve">Trường Cao đẳng Cần Thơ</t>
  </si>
  <si>
    <t xml:space="preserve">111/HĐ-CNPM-PM</t>
  </si>
  <si>
    <t xml:space="preserve">082026_ITO</t>
  </si>
  <si>
    <t xml:space="preserve">Hợp đồng ITO tháng 08/2026</t>
  </si>
  <si>
    <t xml:space="preserve">2026-08-31</t>
  </si>
  <si>
    <t xml:space="preserve">Trường Cao đẳng Nông nghiệp Nam Bộ - Tiền Giang</t>
  </si>
  <si>
    <t xml:space="preserve">112/HĐ-CĐNB-CUSC</t>
  </si>
  <si>
    <t xml:space="preserve">2026-09-04</t>
  </si>
  <si>
    <t xml:space="preserve">Sở Khoa học và Công nghệ tỉnh Đồng Nai</t>
  </si>
  <si>
    <t xml:space="preserve">................</t>
  </si>
  <si>
    <t xml:space="preserve">Thuê và vận hành nền tảng số dùng chung phục vụ chuyển đổi số trong hoạt động sáng kiến</t>
  </si>
  <si>
    <t xml:space="preserve">2026-09-24</t>
  </si>
  <si>
    <t xml:space="preserve">117/HĐ-CNPM-PM</t>
  </si>
  <si>
    <t xml:space="preserve">2026-10-01</t>
  </si>
  <si>
    <t xml:space="preserve">Template Row</t>
  </si>
  <si>
    <t xml:space="preserve">NGÀY</t>
  </si>
  <si>
    <t xml:space="preserve">01/HĐ-CNPM-PM: Thanh toán 100%</t>
  </si>
  <si>
    <t xml:space="preserve">2026-01-14</t>
  </si>
  <si>
    <t xml:space="preserve">310/HĐ-CNPM-PM</t>
  </si>
  <si>
    <t xml:space="preserve">310/HĐ-CNPM-PM: Thanh toán lần cuối</t>
  </si>
  <si>
    <t xml:space="preserve">2026-01-16</t>
  </si>
  <si>
    <t xml:space="preserve">07/HĐ-CNPM-PM: Thanh toán 100%</t>
  </si>
  <si>
    <t xml:space="preserve">21.11/HĐKT/SP-CUSC</t>
  </si>
  <si>
    <t xml:space="preserve">21.11/HĐKT/SP-CUSC: Thanh toán 100%</t>
  </si>
  <si>
    <t xml:space="preserve">2026-01-21</t>
  </si>
  <si>
    <t xml:space="preserve">Công ty Cổ phần Chứng nhận và Giám định MekongCert</t>
  </si>
  <si>
    <t xml:space="preserve">71/HĐ-CNPM-PM</t>
  </si>
  <si>
    <t xml:space="preserve">71/HĐ-CNPM-PM: Thanh toán lần cuối</t>
  </si>
  <si>
    <t xml:space="preserve">2026-01-23</t>
  </si>
  <si>
    <t xml:space="preserve">Trường Cao đẳng Kiên Giang</t>
  </si>
  <si>
    <t xml:space="preserve">82/HĐ-CNPM-PM</t>
  </si>
  <si>
    <t xml:space="preserve">82/HĐ-CNPM-PM: Thanh toán 100%</t>
  </si>
  <si>
    <t xml:space="preserve">54/HĐ-CNPM-PM</t>
  </si>
  <si>
    <t xml:space="preserve">54/HĐ-CNPM-PM: Thanh toán 100%</t>
  </si>
  <si>
    <t xml:space="preserve">2026-01-27</t>
  </si>
  <si>
    <t xml:space="preserve">11.12/HĐ-VIETIN-CUSC-UED</t>
  </si>
  <si>
    <t xml:space="preserve">11.12/HĐ-VIETIN-CUSC-UED: Thanh toán 30%</t>
  </si>
  <si>
    <t xml:space="preserve">2026-01-29</t>
  </si>
  <si>
    <t xml:space="preserve">012026_ITO: Doanh thu 100%</t>
  </si>
  <si>
    <t xml:space="preserve">01/ĐHKG/2025</t>
  </si>
  <si>
    <t xml:space="preserve">01/ĐHKG/2025: Thanh toán 100%</t>
  </si>
  <si>
    <t xml:space="preserve">2026-02-05</t>
  </si>
  <si>
    <t xml:space="preserve">3112-25/HĐ-CNPM-PM</t>
  </si>
  <si>
    <t xml:space="preserve">3112-25/HĐ-CNPM-PM_Tạm ứng 40%</t>
  </si>
  <si>
    <t xml:space="preserve">2026-02-24</t>
  </si>
  <si>
    <t xml:space="preserve">022026_ITO: Doanh thu 100%</t>
  </si>
  <si>
    <t xml:space="preserve">51/HĐ-CNPM-PM: Thanh toán 100%</t>
  </si>
  <si>
    <t xml:space="preserve">2026-03-16</t>
  </si>
  <si>
    <t xml:space="preserve">11.12/HĐ-VIETIN-CUSC-UED: Thanh toán 70%</t>
  </si>
  <si>
    <t xml:space="preserve">42/HĐDV-NL: Thanh toán 100%</t>
  </si>
  <si>
    <t xml:space="preserve">2026-03-19</t>
  </si>
  <si>
    <t xml:space="preserve">0212-25/HĐ-CNPM-PM</t>
  </si>
  <si>
    <t xml:space="preserve">0212-25/HĐ-CNPM-PM: Tạm ứng 40%</t>
  </si>
  <si>
    <t xml:space="preserve">2026-03-30</t>
  </si>
  <si>
    <t xml:space="preserve">032026_ITO: Doanh thu 100%</t>
  </si>
  <si>
    <t xml:space="preserve">11/HĐ-CNPM-PM: Thanh toán 100%</t>
  </si>
  <si>
    <t xml:space="preserve">2026-04-02</t>
  </si>
  <si>
    <t xml:space="preserve">1806/2025/HĐDV-CUSC</t>
  </si>
  <si>
    <t xml:space="preserve">1806/2025/HĐDV-CUSC: Thanh toán đợt cuối</t>
  </si>
  <si>
    <t xml:space="preserve">2026-04-10</t>
  </si>
  <si>
    <t xml:space="preserve">HD2600035092_2602121108: Tạm ứng 40%</t>
  </si>
  <si>
    <t xml:space="preserve">2026-04-20</t>
  </si>
  <si>
    <t xml:space="preserve">17/HĐ-CNPM-PM: Thanh toán 100%</t>
  </si>
  <si>
    <t xml:space="preserve">2026-04-22</t>
  </si>
  <si>
    <t xml:space="preserve">18/HĐ-CNPM-PM: Thanh toán 100%</t>
  </si>
  <si>
    <t xml:space="preserve">26/HĐ-CNPM-PM: Thanh toán 100%</t>
  </si>
  <si>
    <t xml:space="preserve">042026_ITO: Thanh toán 100%</t>
  </si>
  <si>
    <t xml:space="preserve">29/HĐ-CNPM-PM: Thanh toán 100%</t>
  </si>
  <si>
    <t xml:space="preserve">2026-05-06</t>
  </si>
  <si>
    <t xml:space="preserve">2026-05-12</t>
  </si>
  <si>
    <t xml:space="preserve">HD2600035092_2602121108: Thanh toán 60% còn lại</t>
  </si>
  <si>
    <t xml:space="preserve">2026-05-14</t>
  </si>
  <si>
    <t xml:space="preserve">078/BVTĐHYDCT-ĐHCT: Tạm ứng 50%</t>
  </si>
  <si>
    <t xml:space="preserve">2026-05-20</t>
  </si>
  <si>
    <t xml:space="preserve">HD2600068440_2604061719: Tạm ứng 30%</t>
  </si>
  <si>
    <t xml:space="preserve">2026-05-21</t>
  </si>
  <si>
    <t xml:space="preserve">22/HĐ-CNPM-PM: Thanh toán 100%</t>
  </si>
  <si>
    <t xml:space="preserve">2026-05-22</t>
  </si>
  <si>
    <t xml:space="preserve">57/HĐ-CNPM-PM:Thanh toán 100%</t>
  </si>
  <si>
    <t xml:space="preserve">2026-05-28</t>
  </si>
  <si>
    <t xml:space="preserve">052026_ITO: Thanh toán 100%</t>
  </si>
  <si>
    <t xml:space="preserve">172/HĐ-CNPM-PM</t>
  </si>
  <si>
    <t xml:space="preserve">172/HĐ-CNPM-PM: Thanh toán lần cuối</t>
  </si>
  <si>
    <t xml:space="preserve">2026-06-04</t>
  </si>
  <si>
    <t xml:space="preserve">2705/HĐ-SKHCN-CUSC: Thanh toán 100%</t>
  </si>
  <si>
    <t xml:space="preserve">41/HĐ-CNPM-PM</t>
  </si>
  <si>
    <t xml:space="preserve">41/HĐ-CNPM-PM: Thanh toán</t>
  </si>
  <si>
    <t xml:space="preserve">Công ty Cổ phần Cấp nước Cần Thơ 2</t>
  </si>
  <si>
    <t xml:space="preserve">78/HĐ-CNPM-PM</t>
  </si>
  <si>
    <t xml:space="preserve">78/HĐ-CNPM-PM: Thanh toán lần cuối</t>
  </si>
  <si>
    <t xml:space="preserve">2026-06-16</t>
  </si>
  <si>
    <t xml:space="preserve">155/HĐ-CNPM-PM</t>
  </si>
  <si>
    <t xml:space="preserve">155/HĐ-CNPM-PM: Thanh toán lần cuối 60%</t>
  </si>
  <si>
    <t xml:space="preserve">2026-06-18</t>
  </si>
  <si>
    <t xml:space="preserve">2603/HĐ-BIDV-CUSC-TTSHKGC: Thanh toán 30%</t>
  </si>
  <si>
    <t xml:space="preserve">2026-06-24</t>
  </si>
  <si>
    <t xml:space="preserve">04/HĐ-CNPM-PM: Thanh toán 40%</t>
  </si>
  <si>
    <t xml:space="preserve">04/HĐ-CNPM-PM: Thanh toán 60%</t>
  </si>
  <si>
    <t xml:space="preserve">062026_ITO: Thanh toán 100%</t>
  </si>
  <si>
    <t xml:space="preserve">27/HĐ-CNPM-PM: Thanh toán 100%</t>
  </si>
  <si>
    <t xml:space="preserve">2026-07-02</t>
  </si>
  <si>
    <t xml:space="preserve">HD2600068440_2604061719: Thanh toán 70% còn lại</t>
  </si>
  <si>
    <t xml:space="preserve">1706/2026/HĐ/CUSC-VHU: Thanh toán 100%</t>
  </si>
  <si>
    <t xml:space="preserve">2026-07-21</t>
  </si>
  <si>
    <t xml:space="preserve">630/HĐ-VIETIN-CUSC-ĐHSP: Thanh toán 100%</t>
  </si>
  <si>
    <t xml:space="preserve">2026-07-28</t>
  </si>
  <si>
    <t xml:space="preserve">615/HĐ/CUSC-ĐHNLHCM: Thanh toán 100%</t>
  </si>
  <si>
    <t xml:space="preserve">2026-07-29</t>
  </si>
  <si>
    <t xml:space="preserve">072026_ITO: Thanh toán 100%</t>
  </si>
  <si>
    <t xml:space="preserve">74/HĐ-CNPM_PM: Thanh toán 100%</t>
  </si>
  <si>
    <t xml:space="preserve">2026-08-07</t>
  </si>
  <si>
    <t xml:space="preserve">75/HĐ-CNPM-PM: Thanh toán 100%</t>
  </si>
  <si>
    <t xml:space="preserve">2026-08-12</t>
  </si>
  <si>
    <t xml:space="preserve">082026_ITO: Thanh toán 100%</t>
  </si>
  <si>
    <t xml:space="preserve">62/HĐ-CĐNB-CUSC</t>
  </si>
  <si>
    <t xml:space="preserve">62/HĐ-CĐNB-CUSC: Thanh toán 100%</t>
  </si>
  <si>
    <t xml:space="preserve">2026-09-03</t>
  </si>
  <si>
    <t xml:space="preserve">111/HĐ-CNPM-PM: Thanh toán 100%</t>
  </si>
  <si>
    <t xml:space="preserve">2026-09-10</t>
  </si>
  <si>
    <t xml:space="preserve">21.08.26/HĐ-DV: Thanh toán 100%</t>
  </si>
  <si>
    <t xml:space="preserve">2026-09-11</t>
  </si>
  <si>
    <t xml:space="preserve">2603/HĐ-BIDV-CUSC-TTSHKGC: Thanh toán 70%</t>
  </si>
  <si>
    <t xml:space="preserve">Công ty Cổ phần May Meko</t>
  </si>
  <si>
    <t xml:space="preserve">34/HĐ-CNPM-PM</t>
  </si>
  <si>
    <t xml:space="preserve">34/HĐ-CNPM-PM: Thanh toán đợt cuối</t>
  </si>
  <si>
    <t xml:space="preserve">2026-08-10</t>
  </si>
  <si>
    <t xml:space="preserve">Created</t>
  </si>
  <si>
    <t xml:space="preserve">078/BVTĐHYDCT-ĐHCT: Thanh toán 50 % còn lại</t>
  </si>
  <si>
    <t xml:space="preserve">2026-08-30</t>
  </si>
  <si>
    <t xml:space="preserve">77/HĐ-CNPM-PM: Thanh toán 100%</t>
  </si>
  <si>
    <t xml:space="preserve">2026-10-02</t>
  </si>
  <si>
    <t xml:space="preserve">268/HĐ-CNPM-PM</t>
  </si>
  <si>
    <t xml:space="preserve">268/HĐ-CNPM-PM: Thanh toán 100%</t>
  </si>
  <si>
    <t xml:space="preserve">2026-10-23</t>
  </si>
  <si>
    <t xml:space="preserve">0212-25/HĐ-CNPM-PM: Thanh toán lần cuối 60%</t>
  </si>
  <si>
    <t xml:space="preserve">2026-11-30</t>
  </si>
  <si>
    <t xml:space="preserve">2026-12-16</t>
  </si>
  <si>
    <t xml:space="preserve">3112-25/HĐ-CNPM-PM: Thanh toán lần cuối 60%</t>
  </si>
  <si>
    <t xml:space="preserve">2026-12-25</t>
  </si>
  <si>
    <t xml:space="preserve">10/HĐ-CNPM-PM: Thanh toán lần 1-20%</t>
  </si>
  <si>
    <t xml:space="preserve">2026-12-31</t>
  </si>
  <si>
    <t xml:space="preserve">06/HĐ-CNPM-PM: Thanh toán 100%</t>
  </si>
  <si>
    <t xml:space="preserve">Thanh toán 2026 (lần 1)</t>
  </si>
  <si>
    <t xml:space="preserve">DIỄN GIẢI CHI TIẾT KẾ HOẠCH HIỆU CHỈNH THEO MỨC ĐỘ</t>
  </si>
  <si>
    <t xml:space="preserve">Nguồn Cơ hội tiềm năng</t>
  </si>
  <si>
    <t xml:space="preserve">LOẠI </t>
  </si>
  <si>
    <t xml:space="preserve">CƠ HỘI/DỰ ÁN</t>
  </si>
  <si>
    <t xml:space="preserve">MỨC ĐỘ</t>
  </si>
  <si>
    <t xml:space="preserve">THÁNG HĐ</t>
  </si>
  <si>
    <t xml:space="preserve">GIÁ TRỊ HĐ</t>
  </si>
  <si>
    <t xml:space="preserve">Giá trị DT - Lần 1</t>
  </si>
  <si>
    <t xml:space="preserve">DT - Lần 3</t>
  </si>
  <si>
    <t xml:space="preserve">Tháng DT - Lần 3</t>
  </si>
  <si>
    <t xml:space="preserve">Công ty Cổ phần Thực phẩm Sao Ta</t>
  </si>
  <si>
    <t xml:space="preserve">Sao Ta: Bảo trì kỹ thuật phần mềm NS-TL-BHXH</t>
  </si>
  <si>
    <t xml:space="preserve">0</t>
  </si>
  <si>
    <t xml:space="preserve">Báo giá liên kết học phí KienlongBank và CTECH</t>
  </si>
  <si>
    <t xml:space="preserve">ITO: Doanh thu tháng 9/2026</t>
  </si>
  <si>
    <t xml:space="preserve">Sở Khoa học Công nghệ thành phố Cần Thơ</t>
  </si>
  <si>
    <t xml:space="preserve">Sở KHCN Cần Thơ: Nâng cấp ISO điện tử</t>
  </si>
  <si>
    <t xml:space="preserve">Trung tâm Huấn luyện và thi đấu Thể thao Vĩnh Long</t>
  </si>
  <si>
    <t xml:space="preserve">Báo giá: Phần mềm Quản lý dữ liệu ngành thể thao</t>
  </si>
  <si>
    <t xml:space="preserve">Trung tâm Khuyến nông và Dịch vụ Nông Nghiệp Thành phố Cần Thơ</t>
  </si>
  <si>
    <t xml:space="preserve">TTKN Cần Thơ: Nâng cấp Website</t>
  </si>
  <si>
    <t xml:space="preserve">Trường Cao đẳng Y tế Cần Thơ</t>
  </si>
  <si>
    <t xml:space="preserve">CĐYT Cần Thơ: Bảo trì phần mềm UIIS năm 2026</t>
  </si>
  <si>
    <t xml:space="preserve">CTU: Nâng cấp HTTH 2026</t>
  </si>
  <si>
    <t xml:space="preserve">KGU: Báo giá liên kết học phí cho ngân hàng Nam Á</t>
  </si>
  <si>
    <t xml:space="preserve">KGU: Báo giá Bổ sung các phân hệ Quản lý hệ Đào tạo Từ xa</t>
  </si>
  <si>
    <t xml:space="preserve">Trường Đại học Nha Trang</t>
  </si>
  <si>
    <t xml:space="preserve">NTU - Kết nối BIDV</t>
  </si>
  <si>
    <t xml:space="preserve">NTU: Kết nối PVcombank</t>
  </si>
  <si>
    <t xml:space="preserve">ĐHNL Huế: Nâng cấp 2026</t>
  </si>
  <si>
    <t xml:space="preserve">ĐH Phú Yên: Bổ sung tích hợp ký số</t>
  </si>
  <si>
    <t xml:space="preserve">ĐHSP Đà Nẵng: NC quản lý tài sản</t>
  </si>
  <si>
    <t xml:space="preserve">Trường Đại học Y Khoa Vinh</t>
  </si>
  <si>
    <t xml:space="preserve">Trường ĐH Y Khoa Vinh: Báo giá phần mềm UIIS</t>
  </si>
  <si>
    <t xml:space="preserve">Đại học Công nghệ Nam Bình Dương</t>
  </si>
  <si>
    <t xml:space="preserve">ĐH NBD: Xây dựng website</t>
  </si>
  <si>
    <t xml:space="preserve">ITO: Doanh thu tháng 10/2026</t>
  </si>
  <si>
    <t xml:space="preserve">Trường Cán bộ Thanh tra</t>
  </si>
  <si>
    <t xml:space="preserve">Trường CBTT: Phần mềm Quản trị trường học</t>
  </si>
  <si>
    <t xml:space="preserve">CĐCĐ ST: Nâng cấp 2026</t>
  </si>
  <si>
    <t xml:space="preserve">CTU: Hệ thống KPI</t>
  </si>
  <si>
    <t xml:space="preserve">HUL - Báo giá Một cửa sinh viên</t>
  </si>
  <si>
    <t xml:space="preserve">ĐHSP Đà Nẵng: Dịch vụ công - Một cửa</t>
  </si>
  <si>
    <t xml:space="preserve">ĐH Văn Hiến: Bảo trì OJS</t>
  </si>
  <si>
    <t xml:space="preserve">Văn phòng đăng ký đất đai TP. Cần Thơ</t>
  </si>
  <si>
    <t xml:space="preserve">VPĐK Đất đai TP.CT: Bảo trì Quản lý phí dịch vụ năm 2026</t>
  </si>
  <si>
    <t xml:space="preserve">ĐH CN Nam Bình Dương: Phần mềm Quản lý đào tạo</t>
  </si>
  <si>
    <t xml:space="preserve">Bệnh viện Tâm thần thành phố Cần Thơ</t>
  </si>
  <si>
    <t xml:space="preserve">BV Tâm thần TPCT: Bảo trì Website</t>
  </si>
  <si>
    <t xml:space="preserve">ITO: Doanh thu tháng 11/2026</t>
  </si>
  <si>
    <t xml:space="preserve">Sở Công thương tỉnh Tây Ninh</t>
  </si>
  <si>
    <t xml:space="preserve">Sở CT Tây Ninh: Phần mềm chuyên ngành</t>
  </si>
  <si>
    <t xml:space="preserve">CĐKG: Bảo trì liên kết với Ngân hàng Agribank, VCB, BIDV</t>
  </si>
  <si>
    <t xml:space="preserve">CĐ Nghề Sóc Trăng: Bảo trì UIIS năm 2026</t>
  </si>
  <si>
    <t xml:space="preserve">MekongCert: Bảo trì Phần mềm quản lý phòng thử nghiệm QR Code năm 2026</t>
  </si>
  <si>
    <t xml:space="preserve">CTECH: Bảo trì phần mềm UIIS</t>
  </si>
  <si>
    <t xml:space="preserve">ITO: Doanh thu tháng 12/2026</t>
  </si>
  <si>
    <t xml:space="preserve">Trung tâm Đăng kiểm phương tiện cơ giới thuỷ bộ Đồng Tháp</t>
  </si>
  <si>
    <t xml:space="preserve">TT Đăng kiểm Đồng Tháp: Bảo trì  phần mềm quản lý thu phí đăng kiểm</t>
  </si>
  <si>
    <t xml:space="preserve">TTSH Lái xe CĐKG: Bảo trì Liên thông học phí KienlongBank năm 2026</t>
  </si>
  <si>
    <t xml:space="preserve">TTSH Lái xe CĐKG: Bảo trì kết nối thu học phí Agribank năm 2026</t>
  </si>
  <si>
    <t xml:space="preserve">CTU: Quản lý quy trình</t>
  </si>
  <si>
    <t xml:space="preserve">Trường Đại học Sư phạm Hà Nội 2</t>
  </si>
  <si>
    <t xml:space="preserve">Bổ sung, nâng cấp Hệ thống quản trị đại học giai đoạn 2</t>
  </si>
  <si>
    <t xml:space="preserve">ĐHSP Hà Nội 2: Bảo trì UIIS năm 2026</t>
  </si>
  <si>
    <t xml:space="preserve">QUÝ I</t>
  </si>
  <si>
    <t xml:space="preserve">KẾT QUẢ HỢP ĐỒNG</t>
  </si>
  <si>
    <t xml:space="preserve">KẾT QUẢ DOANH THU</t>
  </si>
  <si>
    <t xml:space="preserve">Kế hoạch hiệu chỉnh theo quý</t>
  </si>
  <si>
    <t xml:space="preserve">Tỷ lệ theo quý</t>
  </si>
  <si>
    <t xml:space="preserve">Tỷ lệ theo năm</t>
  </si>
  <si>
    <t xml:space="preserve">Tỷ lệ lũy kế theo năm</t>
  </si>
  <si>
    <t xml:space="preserve">Quý I</t>
  </si>
  <si>
    <t xml:space="preserve">QUÝ II</t>
  </si>
  <si>
    <t xml:space="preserve">Lũy kế đạt được theo quý</t>
  </si>
  <si>
    <t xml:space="preserve">QUÝ III</t>
  </si>
  <si>
    <t xml:space="preserve">QUÝ IV</t>
  </si>
</sst>
</file>

<file path=xl/styles.xml><?xml version="1.0" encoding="utf-8"?>
<styleSheet xmlns="http://schemas.openxmlformats.org/spreadsheetml/2006/main">
  <numFmts count="14">
    <numFmt numFmtId="164" formatCode="General"/>
    <numFmt numFmtId="165" formatCode="_(* #,##0.00_);_(* \(#,##0.00\);_(* \-??_);_(@_)"/>
    <numFmt numFmtId="166" formatCode="_-* #,##0.00\ _₫_-;\-* #,##0.00\ _₫_-;_-* \-??\ _₫_-;_-@_-"/>
    <numFmt numFmtId="167" formatCode="#,##0;[RED]#,##0"/>
    <numFmt numFmtId="168" formatCode="_ * #,##0_ ;_ * \-#,##0_ ;_ * \-_ ;_ @_ "/>
    <numFmt numFmtId="169" formatCode="0%"/>
    <numFmt numFmtId="170" formatCode="_(* #,##0_);_(* \(#,##0\);_(* \-??_);_(@_)"/>
    <numFmt numFmtId="171" formatCode="0.0%"/>
    <numFmt numFmtId="172" formatCode="#,##0"/>
    <numFmt numFmtId="173" formatCode="0.00%"/>
    <numFmt numFmtId="174" formatCode="dd\-mmm"/>
    <numFmt numFmtId="175" formatCode="_(* #,##0.0_);_(* \(#,##0.0\);_(* \-??_);_(@_)"/>
    <numFmt numFmtId="176" formatCode="dd/mm/yyyy"/>
    <numFmt numFmtId="177" formatCode="0"/>
  </numFmts>
  <fonts count="64">
    <font>
      <sz val="11"/>
      <color theme="1"/>
      <name val="Calibri"/>
      <family val="2"/>
      <charset val="1"/>
    </font>
    <font>
      <sz val="10"/>
      <name val="Arial"/>
      <family val="0"/>
    </font>
    <font>
      <sz val="10"/>
      <name val="Arial"/>
      <family val="0"/>
    </font>
    <font>
      <sz val="10"/>
      <name val="Arial"/>
      <family val="0"/>
    </font>
    <font>
      <sz val="10"/>
      <color theme="1"/>
      <name val="Arial"/>
      <family val="2"/>
      <charset val="1"/>
    </font>
    <font>
      <u val="single"/>
      <sz val="8.25"/>
      <color theme="1"/>
      <name val="Calibri"/>
      <family val="2"/>
      <charset val="1"/>
    </font>
    <font>
      <sz val="11"/>
      <color theme="1"/>
      <name val="Calibri"/>
      <family val="3"/>
      <charset val="1"/>
    </font>
    <font>
      <sz val="11"/>
      <color theme="1"/>
      <name val="Times New Roman"/>
      <family val="2"/>
      <charset val="1"/>
    </font>
    <font>
      <sz val="14"/>
      <color theme="1"/>
      <name val="Times New Roman"/>
      <family val="2"/>
      <charset val="1"/>
    </font>
    <font>
      <b val="true"/>
      <sz val="11"/>
      <color theme="1"/>
      <name val="Calibri"/>
      <family val="2"/>
      <charset val="1"/>
    </font>
    <font>
      <sz val="12"/>
      <color theme="1"/>
      <name val="Times New Roman"/>
      <family val="1"/>
      <charset val="1"/>
    </font>
    <font>
      <b val="true"/>
      <sz val="14"/>
      <color theme="1"/>
      <name val="Times New Roman"/>
      <family val="1"/>
      <charset val="1"/>
    </font>
    <font>
      <b val="true"/>
      <sz val="12"/>
      <color theme="1"/>
      <name val="Times New Roman"/>
      <family val="1"/>
      <charset val="1"/>
    </font>
    <font>
      <sz val="12"/>
      <color rgb="FF000000"/>
      <name val="Times New Roman"/>
      <family val="1"/>
      <charset val="1"/>
    </font>
    <font>
      <b val="true"/>
      <i val="true"/>
      <u val="single"/>
      <sz val="12"/>
      <color rgb="FF000000"/>
      <name val="Times New Roman"/>
      <family val="1"/>
      <charset val="1"/>
    </font>
    <font>
      <b val="true"/>
      <i val="true"/>
      <sz val="12"/>
      <color rgb="FF000000"/>
      <name val="Times New Roman"/>
      <family val="1"/>
      <charset val="1"/>
    </font>
    <font>
      <b val="true"/>
      <i val="true"/>
      <sz val="12"/>
      <color rgb="FF0066CC"/>
      <name val="Times New Roman"/>
      <family val="1"/>
      <charset val="1"/>
    </font>
    <font>
      <b val="true"/>
      <sz val="14"/>
      <color theme="1"/>
      <name val="Calibri"/>
      <family val="2"/>
      <charset val="1"/>
    </font>
    <font>
      <b val="true"/>
      <sz val="12"/>
      <color theme="1"/>
      <name val="Calibri"/>
      <family val="2"/>
      <charset val="1"/>
    </font>
    <font>
      <b val="true"/>
      <sz val="16"/>
      <color theme="1"/>
      <name val="Calibri"/>
      <family val="2"/>
      <charset val="1"/>
    </font>
    <font>
      <b val="true"/>
      <sz val="13"/>
      <color theme="1"/>
      <name val="Calibri"/>
      <family val="2"/>
      <charset val="1"/>
    </font>
    <font>
      <i val="true"/>
      <sz val="14"/>
      <color theme="1"/>
      <name val="Calibri"/>
      <family val="2"/>
      <charset val="1"/>
    </font>
    <font>
      <i val="true"/>
      <sz val="13"/>
      <color theme="1"/>
      <name val="Calibri"/>
      <family val="2"/>
      <charset val="1"/>
    </font>
    <font>
      <sz val="14"/>
      <color theme="1"/>
      <name val="Calibri"/>
      <family val="2"/>
      <charset val="1"/>
    </font>
    <font>
      <b val="true"/>
      <sz val="24"/>
      <color theme="1"/>
      <name val="Calibri"/>
      <family val="2"/>
      <charset val="1"/>
    </font>
    <font>
      <b val="true"/>
      <sz val="16"/>
      <color rgb="FF1F497D"/>
      <name val="Calibri"/>
      <family val="2"/>
    </font>
    <font>
      <sz val="9"/>
      <color rgb="FF1F497D"/>
      <name val="Calibri"/>
      <family val="2"/>
    </font>
    <font>
      <b val="true"/>
      <sz val="14"/>
      <color rgb="FF595959"/>
      <name val="Calibri"/>
      <family val="2"/>
    </font>
    <font>
      <sz val="9"/>
      <color rgb="FF404040"/>
      <name val="Calibri"/>
      <family val="2"/>
    </font>
    <font>
      <sz val="9"/>
      <color rgb="FF595959"/>
      <name val="Calibri"/>
      <family val="2"/>
    </font>
    <font>
      <b val="true"/>
      <sz val="10"/>
      <color rgb="FF595959"/>
      <name val="Calibri"/>
      <family val="2"/>
    </font>
    <font>
      <sz val="14"/>
      <color rgb="FF000000"/>
      <name val="Calibri"/>
      <family val="2"/>
    </font>
    <font>
      <sz val="14"/>
      <color rgb="FF595959"/>
      <name val="Calibri"/>
      <family val="2"/>
    </font>
    <font>
      <sz val="10"/>
      <color rgb="FF595959"/>
      <name val="Calibri"/>
      <family val="2"/>
    </font>
    <font>
      <sz val="10"/>
      <color rgb="FF000000"/>
      <name val="Calibri"/>
      <family val="2"/>
    </font>
    <font>
      <b val="true"/>
      <sz val="20"/>
      <color theme="1"/>
      <name val="Calibri"/>
      <family val="2"/>
      <charset val="1"/>
    </font>
    <font>
      <sz val="16"/>
      <color theme="1"/>
      <name val="Calibri"/>
      <family val="2"/>
      <charset val="1"/>
    </font>
    <font>
      <sz val="9"/>
      <color theme="1"/>
      <name val="Verdana"/>
      <family val="2"/>
      <charset val="1"/>
    </font>
    <font>
      <sz val="9"/>
      <color rgb="FFFF0000"/>
      <name val="Calibri"/>
      <family val="2"/>
    </font>
    <font>
      <sz val="12"/>
      <color rgb="FF404040"/>
      <name val="Calibri"/>
      <family val="2"/>
    </font>
    <font>
      <sz val="14"/>
      <color rgb="FF404040"/>
      <name val="Calibri"/>
      <family val="2"/>
    </font>
    <font>
      <sz val="9"/>
      <color rgb="FFFFFFFF"/>
      <name val="Calibri"/>
      <family val="2"/>
    </font>
    <font>
      <sz val="12"/>
      <color rgb="FFFFFFFF"/>
      <name val="Calibri"/>
      <family val="2"/>
    </font>
    <font>
      <sz val="12"/>
      <color rgb="FF000000"/>
      <name val="Calibri"/>
      <family val="2"/>
    </font>
    <font>
      <sz val="10"/>
      <color rgb="FFFFFFFF"/>
      <name val="Calibri"/>
      <family val="2"/>
    </font>
    <font>
      <sz val="12"/>
      <color theme="1"/>
      <name val="Calibri"/>
      <family val="2"/>
      <charset val="1"/>
    </font>
    <font>
      <b val="true"/>
      <sz val="10.5"/>
      <color rgb="FF404040"/>
      <name val="Calibri"/>
      <family val="2"/>
    </font>
    <font>
      <b val="true"/>
      <sz val="10.5"/>
      <color rgb="FF000000"/>
      <name val="Calibri"/>
      <family val="2"/>
    </font>
    <font>
      <sz val="10.5"/>
      <color rgb="FF404040"/>
      <name val="Calibri"/>
      <family val="2"/>
    </font>
    <font>
      <b val="true"/>
      <sz val="9"/>
      <color rgb="FF595959"/>
      <name val="Calibri"/>
      <family val="2"/>
    </font>
    <font>
      <sz val="14"/>
      <color theme="1"/>
      <name val="Times New Roman"/>
      <family val="1"/>
      <charset val="1"/>
    </font>
    <font>
      <sz val="14"/>
      <color theme="0"/>
      <name val="Times New Roman"/>
      <family val="1"/>
      <charset val="1"/>
    </font>
    <font>
      <sz val="13"/>
      <color theme="1"/>
      <name val="Times New Roman"/>
      <family val="1"/>
      <charset val="1"/>
    </font>
    <font>
      <sz val="10"/>
      <name val="Arial"/>
      <family val="2"/>
    </font>
    <font>
      <sz val="9"/>
      <color rgb="FF000000"/>
      <name val="Tahoma"/>
      <family val="2"/>
      <charset val="1"/>
    </font>
    <font>
      <b val="true"/>
      <sz val="13"/>
      <color theme="1"/>
      <name val="Times New Roman"/>
      <family val="1"/>
      <charset val="1"/>
    </font>
    <font>
      <b val="true"/>
      <sz val="11"/>
      <color theme="1"/>
      <name val="Times New Roman"/>
      <family val="1"/>
      <charset val="1"/>
    </font>
    <font>
      <i val="true"/>
      <sz val="14"/>
      <color theme="1"/>
      <name val="Times New Roman"/>
      <family val="1"/>
      <charset val="1"/>
    </font>
    <font>
      <sz val="11"/>
      <color theme="1"/>
      <name val="Times New Roman"/>
      <family val="1"/>
      <charset val="1"/>
    </font>
    <font>
      <sz val="11"/>
      <color theme="1"/>
      <name val="Cambria"/>
      <family val="1"/>
      <charset val="1"/>
    </font>
    <font>
      <strike val="true"/>
      <sz val="11"/>
      <color theme="1"/>
      <name val="Cambria"/>
      <family val="1"/>
      <charset val="1"/>
    </font>
    <font>
      <strike val="true"/>
      <sz val="11"/>
      <color theme="1"/>
      <name val="Calibri"/>
      <family val="2"/>
      <charset val="1"/>
    </font>
    <font>
      <i val="true"/>
      <sz val="11"/>
      <color theme="1"/>
      <name val="Calibri"/>
      <family val="2"/>
      <charset val="1"/>
    </font>
    <font>
      <sz val="12"/>
      <name val="Times New Roman"/>
      <family val="1"/>
      <charset val="1"/>
    </font>
  </fonts>
  <fills count="25">
    <fill>
      <patternFill patternType="none"/>
    </fill>
    <fill>
      <patternFill patternType="gray125"/>
    </fill>
    <fill>
      <patternFill patternType="solid">
        <fgColor rgb="FFFFFF00"/>
        <bgColor rgb="FFFAC090"/>
      </patternFill>
    </fill>
    <fill>
      <patternFill patternType="solid">
        <fgColor theme="8" tint="0.5999"/>
        <bgColor rgb="FFB8D6E2"/>
      </patternFill>
    </fill>
    <fill>
      <patternFill patternType="solid">
        <fgColor theme="0" tint="-0.05"/>
        <bgColor rgb="FFEBF1DE"/>
      </patternFill>
    </fill>
    <fill>
      <patternFill patternType="solid">
        <fgColor theme="4" tint="0.7999"/>
        <bgColor rgb="FFD4E3F4"/>
      </patternFill>
    </fill>
    <fill>
      <patternFill patternType="solid">
        <fgColor theme="8" tint="0.3999"/>
        <bgColor rgb="FF93C4D5"/>
      </patternFill>
    </fill>
    <fill>
      <patternFill patternType="solid">
        <fgColor theme="9" tint="0.3999"/>
        <bgColor rgb="FFF8B590"/>
      </patternFill>
    </fill>
    <fill>
      <patternFill patternType="solid">
        <fgColor theme="9" tint="0.5999"/>
        <bgColor rgb="FFFBD2BE"/>
      </patternFill>
    </fill>
    <fill>
      <patternFill patternType="solid">
        <fgColor theme="6" tint="0.5999"/>
        <bgColor rgb="FFD9D9D9"/>
      </patternFill>
    </fill>
    <fill>
      <patternFill patternType="solid">
        <fgColor theme="5" tint="0.7999"/>
        <bgColor rgb="FFFBD7C6"/>
      </patternFill>
    </fill>
    <fill>
      <patternFill patternType="solid">
        <fgColor theme="9"/>
        <bgColor rgb="FFFFA964"/>
      </patternFill>
    </fill>
    <fill>
      <patternFill patternType="solid">
        <fgColor theme="9" tint="0.7999"/>
        <bgColor rgb="FFEBF1DE"/>
      </patternFill>
    </fill>
    <fill>
      <patternFill patternType="solid">
        <fgColor theme="8" tint="0.7999"/>
        <bgColor rgb="FFDCE6F2"/>
      </patternFill>
    </fill>
    <fill>
      <patternFill patternType="solid">
        <fgColor theme="3" tint="0.7999"/>
        <bgColor rgb="FFB8D6E2"/>
      </patternFill>
    </fill>
    <fill>
      <patternFill patternType="solid">
        <fgColor theme="3" tint="0.5999"/>
        <bgColor rgb="FF93C4D5"/>
      </patternFill>
    </fill>
    <fill>
      <patternFill patternType="solid">
        <fgColor theme="5" tint="0.5999"/>
        <bgColor rgb="FFFAC5AB"/>
      </patternFill>
    </fill>
    <fill>
      <patternFill patternType="solid">
        <fgColor theme="6" tint="0.7999"/>
        <bgColor rgb="FFF2F2F2"/>
      </patternFill>
    </fill>
    <fill>
      <patternFill patternType="solid">
        <fgColor theme="5" tint="0.3999"/>
        <bgColor rgb="FFF8B590"/>
      </patternFill>
    </fill>
    <fill>
      <patternFill patternType="solid">
        <fgColor theme="9" tint="-0.25"/>
        <bgColor rgb="FFFC7200"/>
      </patternFill>
    </fill>
    <fill>
      <patternFill patternType="solid">
        <fgColor rgb="FFCCFFCC"/>
        <bgColor rgb="FFDBEEF4"/>
      </patternFill>
    </fill>
    <fill>
      <patternFill patternType="solid">
        <fgColor theme="0"/>
        <bgColor rgb="FFF2F2F2"/>
      </patternFill>
    </fill>
    <fill>
      <patternFill patternType="solid">
        <fgColor theme="1"/>
        <bgColor rgb="FF002060"/>
      </patternFill>
    </fill>
    <fill>
      <patternFill patternType="solid">
        <fgColor rgb="FF92D050"/>
        <bgColor rgb="FF9BBB59"/>
      </patternFill>
    </fill>
    <fill>
      <patternFill patternType="solid">
        <fgColor rgb="FFFF0000"/>
        <bgColor rgb="FFC0504D"/>
      </patternFill>
    </fill>
  </fills>
  <borders count="8">
    <border diagonalUp="false" diagonalDown="false">
      <left/>
      <right/>
      <top/>
      <bottom/>
      <diagonal/>
    </border>
    <border diagonalUp="false" diagonalDown="false">
      <left style="thin"/>
      <right style="thin"/>
      <top style="thin"/>
      <bottom style="thin"/>
      <diagonal/>
    </border>
    <border diagonalUp="false" diagonalDown="false">
      <left/>
      <right/>
      <top/>
      <bottom style="thin"/>
      <diagonal/>
    </border>
    <border diagonalUp="false" diagonalDown="false">
      <left style="thin"/>
      <right/>
      <top style="thin"/>
      <bottom style="thin"/>
      <diagonal/>
    </border>
    <border diagonalUp="false" diagonalDown="false">
      <left/>
      <right style="thin"/>
      <top style="thin"/>
      <bottom style="thin"/>
      <diagonal/>
    </border>
    <border diagonalUp="false" diagonalDown="false">
      <left style="thin"/>
      <right style="thin"/>
      <top style="thin"/>
      <bottom/>
      <diagonal/>
    </border>
    <border diagonalUp="false" diagonalDown="false">
      <left/>
      <right/>
      <top style="thin"/>
      <bottom style="thin"/>
      <diagonal/>
    </border>
    <border diagonalUp="false" diagonalDown="false">
      <left style="thin"/>
      <right style="thin"/>
      <top/>
      <bottom style="thin"/>
      <diagonal/>
    </border>
  </borders>
  <cellStyleXfs count="199">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65" fontId="0" fillId="0" borderId="0" applyFont="true" applyBorder="false" applyAlignment="true" applyProtection="false">
      <alignment horizontal="general" vertical="bottom" textRotation="0" wrapText="false" indent="0" shrinkToFit="false"/>
    </xf>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69"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5" fontId="4" fillId="0" borderId="0" applyFont="true" applyBorder="false" applyAlignment="true" applyProtection="false">
      <alignment horizontal="general" vertical="bottom" textRotation="0" wrapText="false" indent="0" shrinkToFit="false"/>
    </xf>
    <xf numFmtId="166" fontId="4"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5" fontId="4" fillId="0" borderId="0" applyFont="true" applyBorder="false" applyAlignment="true" applyProtection="false">
      <alignment horizontal="general" vertical="bottom" textRotation="0" wrapText="false" indent="0" shrinkToFit="false"/>
    </xf>
    <xf numFmtId="165" fontId="4" fillId="0" borderId="0" applyFont="true" applyBorder="false" applyAlignment="true" applyProtection="false">
      <alignment horizontal="general" vertical="bottom" textRotation="0" wrapText="false" indent="0" shrinkToFit="false"/>
    </xf>
    <xf numFmtId="166" fontId="4" fillId="0" borderId="0" applyFont="true" applyBorder="false" applyAlignment="true" applyProtection="false">
      <alignment horizontal="general" vertical="bottom" textRotation="0" wrapText="false" indent="0" shrinkToFit="false"/>
    </xf>
    <xf numFmtId="166" fontId="4"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4" fontId="5" fillId="0" borderId="0" applyFont="true" applyBorder="false" applyAlignment="true" applyProtection="false">
      <alignment horizontal="general" vertical="bottom" textRotation="0" wrapText="false" indent="0" shrinkToFit="false"/>
    </xf>
    <xf numFmtId="164" fontId="4"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false">
      <alignment horizontal="general" vertical="bottom" textRotation="0" wrapText="false" indent="0" shrinkToFit="false"/>
    </xf>
    <xf numFmtId="164" fontId="0" fillId="0" borderId="0" applyFont="true" applyBorder="true" applyAlignment="true" applyProtection="false">
      <alignment horizontal="general" vertical="bottom" textRotation="0" wrapText="false" indent="0" shrinkToFit="false"/>
    </xf>
    <xf numFmtId="164" fontId="0" fillId="0" borderId="0" applyFont="true" applyBorder="true" applyAlignment="true" applyProtection="false">
      <alignment horizontal="general" vertical="bottom" textRotation="0" wrapText="false" indent="0" shrinkToFit="false"/>
    </xf>
    <xf numFmtId="164" fontId="0" fillId="0" borderId="0" applyFont="true" applyBorder="true" applyAlignment="true" applyProtection="false">
      <alignment horizontal="general" vertical="bottom" textRotation="0" wrapText="false" indent="0" shrinkToFit="false"/>
    </xf>
    <xf numFmtId="164" fontId="4"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6"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6"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7"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false" applyAlignment="true" applyProtection="false">
      <alignment horizontal="general" vertical="bottom" textRotation="0" wrapText="false" indent="0" shrinkToFit="false"/>
    </xf>
    <xf numFmtId="169" fontId="0" fillId="0" borderId="0" applyFont="true" applyBorder="false" applyAlignment="true" applyProtection="false">
      <alignment horizontal="general" vertical="bottom" textRotation="0" wrapText="false" indent="0" shrinkToFit="false"/>
    </xf>
    <xf numFmtId="169" fontId="0" fillId="0" borderId="0" applyFont="true" applyBorder="false" applyAlignment="true" applyProtection="false">
      <alignment horizontal="general" vertical="bottom" textRotation="0" wrapText="false" indent="0" shrinkToFit="false"/>
    </xf>
    <xf numFmtId="169" fontId="0" fillId="0" borderId="0" applyFont="true" applyBorder="false" applyAlignment="true" applyProtection="false">
      <alignment horizontal="general" vertical="bottom" textRotation="0" wrapText="false" indent="0" shrinkToFit="false"/>
    </xf>
    <xf numFmtId="169" fontId="0" fillId="0" borderId="0" applyFont="true" applyBorder="false" applyAlignment="true" applyProtection="false">
      <alignment horizontal="general" vertical="bottom" textRotation="0" wrapText="false" indent="0" shrinkToFit="false"/>
    </xf>
    <xf numFmtId="169" fontId="0" fillId="0" borderId="0" applyFont="true" applyBorder="false" applyAlignment="true" applyProtection="false">
      <alignment horizontal="general" vertical="bottom" textRotation="0" wrapText="false" indent="0" shrinkToFit="false"/>
    </xf>
    <xf numFmtId="169" fontId="0" fillId="0" borderId="0" applyFont="true" applyBorder="false" applyAlignment="true" applyProtection="false">
      <alignment horizontal="general" vertical="bottom" textRotation="0" wrapText="false" indent="0" shrinkToFit="false"/>
    </xf>
    <xf numFmtId="169" fontId="0" fillId="0" borderId="0" applyFont="true" applyBorder="false" applyAlignment="true" applyProtection="false">
      <alignment horizontal="general" vertical="bottom" textRotation="0" wrapText="false" indent="0" shrinkToFit="false"/>
    </xf>
    <xf numFmtId="169" fontId="4" fillId="0" borderId="0" applyFont="true" applyBorder="false" applyAlignment="true" applyProtection="false">
      <alignment horizontal="general" vertical="bottom" textRotation="0" wrapText="false" indent="0" shrinkToFit="false"/>
    </xf>
    <xf numFmtId="169" fontId="4" fillId="0" borderId="0" applyFont="true" applyBorder="false" applyAlignment="true" applyProtection="false">
      <alignment horizontal="general" vertical="bottom" textRotation="0" wrapText="false" indent="0" shrinkToFit="false"/>
    </xf>
    <xf numFmtId="169" fontId="0" fillId="0" borderId="0" applyFont="true" applyBorder="false" applyAlignment="true" applyProtection="false">
      <alignment horizontal="general" vertical="bottom" textRotation="0" wrapText="false" indent="0" shrinkToFit="false"/>
    </xf>
    <xf numFmtId="169" fontId="0" fillId="0" borderId="0" applyFont="true" applyBorder="false" applyAlignment="true" applyProtection="false">
      <alignment horizontal="general" vertical="bottom" textRotation="0" wrapText="false" indent="0" shrinkToFit="false"/>
    </xf>
    <xf numFmtId="169" fontId="0" fillId="0" borderId="0" applyFont="true" applyBorder="false" applyAlignment="true" applyProtection="false">
      <alignment horizontal="general" vertical="bottom" textRotation="0" wrapText="false" indent="0" shrinkToFit="false"/>
    </xf>
    <xf numFmtId="169" fontId="0" fillId="0" borderId="0" applyFont="true" applyBorder="false" applyAlignment="true" applyProtection="false">
      <alignment horizontal="general" vertical="bottom" textRotation="0" wrapText="false" indent="0" shrinkToFit="false"/>
    </xf>
    <xf numFmtId="169" fontId="0" fillId="0" borderId="0" applyFont="true" applyBorder="false" applyAlignment="true" applyProtection="false">
      <alignment horizontal="general" vertical="bottom" textRotation="0" wrapText="false" indent="0" shrinkToFit="false"/>
    </xf>
  </cellStyleXfs>
  <cellXfs count="39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2" borderId="1" xfId="0" applyFont="true" applyBorder="tru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4" fontId="9" fillId="3"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center" vertical="bottom" textRotation="0" wrapText="false" indent="0" shrinkToFit="false"/>
      <protection locked="true" hidden="false"/>
    </xf>
    <xf numFmtId="170" fontId="0" fillId="0" borderId="0" xfId="15" applyFont="true" applyBorder="true" applyAlignment="true" applyProtection="true">
      <alignment horizontal="general" vertical="bottom" textRotation="0" wrapText="false" indent="0" shrinkToFit="false"/>
      <protection locked="true" hidden="false"/>
    </xf>
    <xf numFmtId="170" fontId="9" fillId="3" borderId="0" xfId="15" applyFont="true" applyBorder="tru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general" vertical="bottom" textRotation="0" wrapText="true" indent="0" shrinkToFit="false"/>
      <protection locked="true" hidden="false"/>
    </xf>
    <xf numFmtId="164" fontId="11" fillId="0" borderId="0" xfId="0" applyFont="true" applyBorder="false" applyAlignment="true" applyProtection="true">
      <alignment horizontal="general" vertical="bottom" textRotation="0" wrapText="false" indent="0" shrinkToFit="false"/>
      <protection locked="true" hidden="false"/>
    </xf>
    <xf numFmtId="164" fontId="12" fillId="4" borderId="0" xfId="0" applyFont="true" applyBorder="false" applyAlignment="true" applyProtection="true">
      <alignment horizontal="center" vertical="bottom" textRotation="0" wrapText="true" indent="0" shrinkToFit="false"/>
      <protection locked="true" hidden="false"/>
    </xf>
    <xf numFmtId="164" fontId="12" fillId="5" borderId="0" xfId="0" applyFont="true" applyBorder="false" applyAlignment="true" applyProtection="true">
      <alignment horizontal="left" vertical="top" textRotation="0" wrapText="true" indent="0" shrinkToFit="false"/>
      <protection locked="true" hidden="false"/>
    </xf>
    <xf numFmtId="164" fontId="10" fillId="5" borderId="0" xfId="0" applyFont="true" applyBorder="false" applyAlignment="true" applyProtection="true">
      <alignment horizontal="left" vertical="top" textRotation="0" wrapText="true" indent="0" shrinkToFit="false"/>
      <protection locked="true" hidden="false"/>
    </xf>
    <xf numFmtId="164" fontId="10" fillId="0" borderId="0" xfId="0" applyFont="true" applyBorder="false" applyAlignment="true" applyProtection="true">
      <alignment horizontal="left" vertical="top" textRotation="0" wrapText="true" indent="0" shrinkToFit="false"/>
      <protection locked="true" hidden="false"/>
    </xf>
    <xf numFmtId="164" fontId="10" fillId="4" borderId="0" xfId="0" applyFont="true" applyBorder="false" applyAlignment="true" applyProtection="true">
      <alignment horizontal="left" vertical="top" textRotation="0" wrapText="false" indent="0" shrinkToFit="false"/>
      <protection locked="true" hidden="false"/>
    </xf>
    <xf numFmtId="164" fontId="10" fillId="4" borderId="0" xfId="0" applyFont="true" applyBorder="false" applyAlignment="true" applyProtection="true">
      <alignment horizontal="left" vertical="top" textRotation="0" wrapText="true" indent="0" shrinkToFit="false"/>
      <protection locked="true" hidden="false"/>
    </xf>
    <xf numFmtId="164" fontId="10" fillId="0" borderId="0" xfId="0" applyFont="true" applyBorder="false" applyAlignment="true" applyProtection="true">
      <alignment horizontal="left" vertical="top" textRotation="0" wrapText="false" indent="0" shrinkToFit="false"/>
      <protection locked="true" hidden="false"/>
    </xf>
    <xf numFmtId="164" fontId="10" fillId="0" borderId="0" xfId="0" applyFont="true" applyBorder="false" applyAlignment="true" applyProtection="true">
      <alignment horizontal="general" vertical="top" textRotation="0" wrapText="true" indent="0" shrinkToFit="false"/>
      <protection locked="true" hidden="false"/>
    </xf>
    <xf numFmtId="164" fontId="13" fillId="0" borderId="0" xfId="0" applyFont="true" applyBorder="false" applyAlignment="true" applyProtection="true">
      <alignment horizontal="general" vertical="top" textRotation="0" wrapText="true" indent="0" shrinkToFit="false"/>
      <protection locked="true" hidden="false"/>
    </xf>
    <xf numFmtId="164" fontId="13" fillId="0" borderId="0" xfId="0" applyFont="true" applyBorder="false" applyAlignment="true" applyProtection="true">
      <alignment horizontal="general" vertical="bottom" textRotation="0" wrapText="true" indent="0" shrinkToFit="false"/>
      <protection locked="true" hidden="false"/>
    </xf>
    <xf numFmtId="164" fontId="10" fillId="4" borderId="0" xfId="0" applyFont="true" applyBorder="false" applyAlignment="true" applyProtection="true">
      <alignment horizontal="general" vertical="bottom" textRotation="0" wrapText="false" indent="0" shrinkToFit="false"/>
      <protection locked="true" hidden="false"/>
    </xf>
    <xf numFmtId="164" fontId="10" fillId="4" borderId="0" xfId="0" applyFont="true" applyBorder="false" applyAlignment="true" applyProtection="true">
      <alignment horizontal="general" vertical="bottom" textRotation="0" wrapText="true" indent="0" shrinkToFit="false"/>
      <protection locked="true" hidden="false"/>
    </xf>
    <xf numFmtId="164" fontId="10" fillId="0" borderId="0" xfId="0" applyFont="true" applyBorder="false" applyAlignment="true" applyProtection="true">
      <alignment horizontal="general" vertical="top"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17" fillId="0" borderId="1" xfId="0" applyFont="true" applyBorder="true" applyAlignment="true" applyProtection="true">
      <alignment horizontal="center" vertical="bottom" textRotation="0" wrapText="false" indent="0" shrinkToFit="false"/>
      <protection locked="true" hidden="false"/>
    </xf>
    <xf numFmtId="164" fontId="18" fillId="6" borderId="1" xfId="0" applyFont="true" applyBorder="true" applyAlignment="true" applyProtection="true">
      <alignment horizontal="center" vertical="bottom" textRotation="0" wrapText="false" indent="0" shrinkToFit="false"/>
      <protection locked="true" hidden="false"/>
    </xf>
    <xf numFmtId="164" fontId="18" fillId="7" borderId="1" xfId="0" applyFont="true" applyBorder="true" applyAlignment="true" applyProtection="true">
      <alignment horizontal="center" vertical="bottom" textRotation="0" wrapText="false" indent="0" shrinkToFit="false"/>
      <protection locked="true" hidden="false"/>
    </xf>
    <xf numFmtId="164" fontId="17" fillId="0" borderId="1" xfId="0" applyFont="true" applyBorder="true" applyAlignment="true" applyProtection="true">
      <alignment horizontal="center" vertical="center" textRotation="0" wrapText="false" indent="0" shrinkToFit="false"/>
      <protection locked="true" hidden="false"/>
    </xf>
    <xf numFmtId="164" fontId="17" fillId="0" borderId="1" xfId="0" applyFont="true" applyBorder="true" applyAlignment="true" applyProtection="true">
      <alignment horizontal="left" vertical="center" textRotation="0" wrapText="false" indent="0" shrinkToFit="false"/>
      <protection locked="true" hidden="false"/>
    </xf>
    <xf numFmtId="171" fontId="19" fillId="0" borderId="1" xfId="19" applyFont="true" applyBorder="true" applyAlignment="true" applyProtection="true">
      <alignment horizontal="center" vertical="bottom" textRotation="0" wrapText="false" indent="0" shrinkToFit="false"/>
      <protection locked="true" hidden="false"/>
    </xf>
    <xf numFmtId="172" fontId="20" fillId="0" borderId="1" xfId="0" applyFont="true" applyBorder="true" applyAlignment="true" applyProtection="true">
      <alignment horizontal="general" vertical="bottom" textRotation="0" wrapText="false" indent="0" shrinkToFit="false"/>
      <protection locked="true" hidden="false"/>
    </xf>
    <xf numFmtId="164" fontId="21" fillId="0" borderId="1" xfId="0" applyFont="true" applyBorder="true" applyAlignment="true" applyProtection="true">
      <alignment horizontal="center" vertical="bottom" textRotation="0" wrapText="false" indent="0" shrinkToFit="false"/>
      <protection locked="true" hidden="false"/>
    </xf>
    <xf numFmtId="164" fontId="21" fillId="0" borderId="1" xfId="0" applyFont="true" applyBorder="true" applyAlignment="true" applyProtection="true">
      <alignment horizontal="left" vertical="bottom" textRotation="0" wrapText="false" indent="1" shrinkToFit="false"/>
      <protection locked="true" hidden="false"/>
    </xf>
    <xf numFmtId="172" fontId="22" fillId="0" borderId="1" xfId="0" applyFont="true" applyBorder="true" applyAlignment="true" applyProtection="true">
      <alignment horizontal="general" vertical="bottom" textRotation="0" wrapText="false" indent="0" shrinkToFit="false"/>
      <protection locked="true" hidden="false"/>
    </xf>
    <xf numFmtId="164" fontId="17" fillId="0" borderId="1" xfId="0" applyFont="true" applyBorder="true" applyAlignment="true" applyProtection="true">
      <alignment horizontal="general" vertical="bottom" textRotation="0" wrapText="false" indent="0" shrinkToFit="false"/>
      <protection locked="true" hidden="false"/>
    </xf>
    <xf numFmtId="164" fontId="23" fillId="0" borderId="1" xfId="0" applyFont="true" applyBorder="true" applyAlignment="true" applyProtection="true">
      <alignment horizontal="general" vertical="bottom" textRotation="0" wrapText="false" indent="0" shrinkToFit="false"/>
      <protection locked="true" hidden="false"/>
    </xf>
    <xf numFmtId="164" fontId="9" fillId="3" borderId="0" xfId="0" applyFont="true" applyBorder="true" applyAlignment="true" applyProtection="true">
      <alignment horizontal="right" vertical="center" textRotation="0" wrapText="false" indent="0" shrinkToFit="false"/>
      <protection locked="true" hidden="false"/>
    </xf>
    <xf numFmtId="172" fontId="17" fillId="6" borderId="0" xfId="0" applyFont="true" applyBorder="false" applyAlignment="true" applyProtection="true">
      <alignment horizontal="general" vertical="bottom" textRotation="0" wrapText="false" indent="0" shrinkToFit="false"/>
      <protection locked="true" hidden="false"/>
    </xf>
    <xf numFmtId="164" fontId="17" fillId="6" borderId="0" xfId="0" applyFont="true" applyBorder="false" applyAlignment="true" applyProtection="true">
      <alignment horizontal="general" vertical="bottom" textRotation="0" wrapText="false" indent="0" shrinkToFit="false"/>
      <protection locked="true" hidden="false"/>
    </xf>
    <xf numFmtId="164" fontId="9" fillId="3" borderId="0" xfId="0" applyFont="true" applyBorder="true" applyAlignment="true" applyProtection="true">
      <alignment horizontal="center" vertical="bottom" textRotation="0" wrapText="false" indent="0" shrinkToFit="false"/>
      <protection locked="true" hidden="false"/>
    </xf>
    <xf numFmtId="172" fontId="17" fillId="6" borderId="0" xfId="0" applyFont="true" applyBorder="true" applyAlignment="true" applyProtection="true">
      <alignment horizontal="center" vertical="center" textRotation="0" wrapText="false" indent="0" shrinkToFit="false"/>
      <protection locked="true" hidden="false"/>
    </xf>
    <xf numFmtId="164" fontId="17" fillId="3" borderId="0" xfId="0" applyFont="true" applyBorder="true" applyAlignment="true" applyProtection="true">
      <alignment horizontal="center" vertical="center" textRotation="0" wrapText="true" indent="0" shrinkToFit="false"/>
      <protection locked="true" hidden="false"/>
    </xf>
    <xf numFmtId="171" fontId="24" fillId="6" borderId="0" xfId="19" applyFont="true" applyBorder="true" applyAlignment="true" applyProtection="true">
      <alignment horizontal="center" vertical="center" textRotation="0" wrapText="false" indent="0" shrinkToFit="false"/>
      <protection locked="true" hidden="false"/>
    </xf>
    <xf numFmtId="164" fontId="9" fillId="8" borderId="0" xfId="0" applyFont="true" applyBorder="true" applyAlignment="true" applyProtection="true">
      <alignment horizontal="right" vertical="center" textRotation="0" wrapText="false" indent="0" shrinkToFit="false"/>
      <protection locked="true" hidden="false"/>
    </xf>
    <xf numFmtId="172" fontId="17" fillId="7" borderId="0" xfId="0" applyFont="true" applyBorder="false" applyAlignment="true" applyProtection="true">
      <alignment horizontal="general" vertical="bottom" textRotation="0" wrapText="false" indent="0" shrinkToFit="false"/>
      <protection locked="true" hidden="false"/>
    </xf>
    <xf numFmtId="164" fontId="17" fillId="7" borderId="0" xfId="0" applyFont="true" applyBorder="false" applyAlignment="true" applyProtection="true">
      <alignment horizontal="general" vertical="bottom" textRotation="0" wrapText="false" indent="0" shrinkToFit="false"/>
      <protection locked="true" hidden="false"/>
    </xf>
    <xf numFmtId="172" fontId="0" fillId="0" borderId="0" xfId="0" applyFont="false" applyBorder="false" applyAlignment="true" applyProtection="true">
      <alignment horizontal="general" vertical="bottom" textRotation="0" wrapText="false" indent="0" shrinkToFit="false"/>
      <protection locked="true" hidden="false"/>
    </xf>
    <xf numFmtId="164" fontId="9" fillId="8" borderId="0" xfId="0" applyFont="true" applyBorder="true" applyAlignment="true" applyProtection="true">
      <alignment horizontal="center" vertical="center" textRotation="0" wrapText="false" indent="0" shrinkToFit="false"/>
      <protection locked="true" hidden="false"/>
    </xf>
    <xf numFmtId="172" fontId="17" fillId="7" borderId="0" xfId="0" applyFont="true" applyBorder="true" applyAlignment="true" applyProtection="true">
      <alignment horizontal="center" vertical="center" textRotation="0" wrapText="false" indent="0" shrinkToFit="false"/>
      <protection locked="true" hidden="false"/>
    </xf>
    <xf numFmtId="164" fontId="0" fillId="0" borderId="0" xfId="0" applyFont="false" applyBorder="false" applyAlignment="true" applyProtection="true">
      <alignment horizontal="center" vertical="center" textRotation="0" wrapText="false" indent="0" shrinkToFit="false"/>
      <protection locked="true" hidden="false"/>
    </xf>
    <xf numFmtId="164" fontId="17" fillId="8" borderId="0" xfId="0" applyFont="true" applyBorder="true" applyAlignment="true" applyProtection="true">
      <alignment horizontal="center" vertical="center" textRotation="0" wrapText="true" indent="0" shrinkToFit="false"/>
      <protection locked="true" hidden="false"/>
    </xf>
    <xf numFmtId="171" fontId="24" fillId="7" borderId="0" xfId="19" applyFont="true" applyBorder="true" applyAlignment="true" applyProtection="true">
      <alignment horizontal="center" vertical="center" textRotation="0" wrapText="false" indent="0" shrinkToFit="false"/>
      <protection locked="true" hidden="false"/>
    </xf>
    <xf numFmtId="164" fontId="9" fillId="3" borderId="0" xfId="0" applyFont="true" applyBorder="true" applyAlignment="true" applyProtection="true">
      <alignment horizontal="center" vertical="center" textRotation="0" wrapText="false" indent="0" shrinkToFit="false"/>
      <protection locked="true" hidden="false"/>
    </xf>
    <xf numFmtId="164" fontId="0" fillId="0" borderId="0" xfId="0" applyFont="false" applyBorder="false" applyAlignment="true" applyProtection="true">
      <alignment horizontal="general" vertical="center" textRotation="0" wrapText="false" indent="0" shrinkToFit="false"/>
      <protection locked="true" hidden="false"/>
    </xf>
    <xf numFmtId="164" fontId="9" fillId="8" borderId="0" xfId="0" applyFont="true" applyBorder="true" applyAlignment="true" applyProtection="true">
      <alignment horizontal="center" vertical="bottom" textRotation="0" wrapText="false" indent="0" shrinkToFit="false"/>
      <protection locked="true" hidden="false"/>
    </xf>
    <xf numFmtId="171" fontId="24" fillId="7" borderId="0" xfId="19" applyFont="true" applyBorder="true" applyAlignment="true" applyProtection="true">
      <alignment horizontal="center" vertical="bottom" textRotation="0" wrapText="false" indent="0" shrinkToFit="false"/>
      <protection locked="true" hidden="false"/>
    </xf>
    <xf numFmtId="164" fontId="19" fillId="9" borderId="0" xfId="0" applyFont="true" applyBorder="false" applyAlignment="true" applyProtection="true">
      <alignment horizontal="general" vertical="bottom" textRotation="0" wrapText="false" indent="0" shrinkToFit="false"/>
      <protection locked="true" hidden="false"/>
    </xf>
    <xf numFmtId="164" fontId="0" fillId="9" borderId="0" xfId="0" applyFont="false" applyBorder="false" applyAlignment="true" applyProtection="true">
      <alignment horizontal="general" vertical="bottom" textRotation="0" wrapText="false" indent="0" shrinkToFit="false"/>
      <protection locked="true" hidden="false"/>
    </xf>
    <xf numFmtId="164" fontId="23" fillId="9" borderId="0" xfId="0" applyFont="true" applyBorder="true" applyAlignment="true" applyProtection="true">
      <alignment horizontal="right" vertical="bottom" textRotation="0" wrapText="false" indent="0" shrinkToFit="false"/>
      <protection locked="true" hidden="false"/>
    </xf>
    <xf numFmtId="172" fontId="17" fillId="9" borderId="0" xfId="0" applyFont="true" applyBorder="true" applyAlignment="true" applyProtection="true">
      <alignment horizontal="left" vertical="bottom" textRotation="0" wrapText="false" indent="0" shrinkToFit="false"/>
      <protection locked="true" hidden="false"/>
    </xf>
    <xf numFmtId="164" fontId="23" fillId="9" borderId="0" xfId="0" applyFont="true" applyBorder="false" applyAlignment="true" applyProtection="true">
      <alignment horizontal="right" vertical="bottom" textRotation="0" wrapText="false" indent="0" shrinkToFit="false"/>
      <protection locked="true" hidden="false"/>
    </xf>
    <xf numFmtId="172" fontId="17" fillId="9" borderId="0" xfId="0" applyFont="true" applyBorder="false" applyAlignment="true" applyProtection="true">
      <alignment horizontal="left" vertical="bottom" textRotation="0" wrapText="false" indent="0" shrinkToFit="false"/>
      <protection locked="true" hidden="false"/>
    </xf>
    <xf numFmtId="164" fontId="19" fillId="10" borderId="1" xfId="0" applyFont="true" applyBorder="true" applyAlignment="true" applyProtection="true">
      <alignment horizontal="center" vertical="bottom" textRotation="0" wrapText="false" indent="0" shrinkToFit="false"/>
      <protection locked="true" hidden="false"/>
    </xf>
    <xf numFmtId="164" fontId="17" fillId="11" borderId="1" xfId="0" applyFont="true" applyBorder="true" applyAlignment="true" applyProtection="true">
      <alignment horizontal="center" vertical="bottom" textRotation="0" wrapText="false" indent="0" shrinkToFit="false"/>
      <protection locked="true" hidden="false"/>
    </xf>
    <xf numFmtId="164" fontId="18" fillId="11" borderId="1" xfId="0" applyFont="true" applyBorder="true" applyAlignment="true" applyProtection="true">
      <alignment horizontal="center" vertical="bottom" textRotation="0" wrapText="false" indent="0" shrinkToFit="false"/>
      <protection locked="true" hidden="false"/>
    </xf>
    <xf numFmtId="164" fontId="17" fillId="7" borderId="1" xfId="0" applyFont="true" applyBorder="true" applyAlignment="true" applyProtection="true">
      <alignment horizontal="center" vertical="center" textRotation="0" wrapText="false" indent="0" shrinkToFit="false"/>
      <protection locked="true" hidden="false"/>
    </xf>
    <xf numFmtId="164" fontId="17" fillId="7" borderId="1" xfId="0" applyFont="true" applyBorder="true" applyAlignment="true" applyProtection="true">
      <alignment horizontal="left" vertical="center" textRotation="0" wrapText="false" indent="0" shrinkToFit="false"/>
      <protection locked="true" hidden="false"/>
    </xf>
    <xf numFmtId="171" fontId="35" fillId="7" borderId="1" xfId="19" applyFont="true" applyBorder="true" applyAlignment="true" applyProtection="true">
      <alignment horizontal="center" vertical="bottom" textRotation="0" wrapText="false" indent="0" shrinkToFit="false"/>
      <protection locked="true" hidden="false"/>
    </xf>
    <xf numFmtId="172" fontId="19" fillId="7" borderId="1" xfId="0" applyFont="true" applyBorder="true" applyAlignment="true" applyProtection="true">
      <alignment horizontal="general" vertical="bottom" textRotation="0" wrapText="false" indent="0" shrinkToFit="false"/>
      <protection locked="true" hidden="false"/>
    </xf>
    <xf numFmtId="164" fontId="21" fillId="12" borderId="1" xfId="0" applyFont="true" applyBorder="true" applyAlignment="true" applyProtection="true">
      <alignment horizontal="center" vertical="bottom" textRotation="0" wrapText="false" indent="0" shrinkToFit="false"/>
      <protection locked="true" hidden="false"/>
    </xf>
    <xf numFmtId="164" fontId="21" fillId="12" borderId="1" xfId="0" applyFont="true" applyBorder="true" applyAlignment="true" applyProtection="true">
      <alignment horizontal="left" vertical="bottom" textRotation="0" wrapText="false" indent="1" shrinkToFit="false"/>
      <protection locked="true" hidden="false"/>
    </xf>
    <xf numFmtId="172" fontId="22" fillId="12" borderId="1" xfId="0" applyFont="true" applyBorder="true" applyAlignment="true" applyProtection="true">
      <alignment horizontal="general" vertical="bottom" textRotation="0" wrapText="false" indent="0" shrinkToFit="false"/>
      <protection locked="true" hidden="false"/>
    </xf>
    <xf numFmtId="164" fontId="17" fillId="6" borderId="1" xfId="0" applyFont="true" applyBorder="true" applyAlignment="true" applyProtection="true">
      <alignment horizontal="center" vertical="bottom" textRotation="0" wrapText="false" indent="0" shrinkToFit="false"/>
      <protection locked="true" hidden="false"/>
    </xf>
    <xf numFmtId="164" fontId="17" fillId="6" borderId="1" xfId="0" applyFont="true" applyBorder="true" applyAlignment="true" applyProtection="true">
      <alignment horizontal="general" vertical="bottom" textRotation="0" wrapText="false" indent="0" shrinkToFit="false"/>
      <protection locked="true" hidden="false"/>
    </xf>
    <xf numFmtId="172" fontId="19" fillId="6" borderId="1" xfId="0" applyFont="true" applyBorder="true" applyAlignment="true" applyProtection="true">
      <alignment horizontal="general" vertical="bottom" textRotation="0" wrapText="false" indent="0" shrinkToFit="false"/>
      <protection locked="true" hidden="false"/>
    </xf>
    <xf numFmtId="164" fontId="21" fillId="13" borderId="1" xfId="0" applyFont="true" applyBorder="true" applyAlignment="true" applyProtection="true">
      <alignment horizontal="center" vertical="bottom" textRotation="0" wrapText="false" indent="0" shrinkToFit="false"/>
      <protection locked="true" hidden="false"/>
    </xf>
    <xf numFmtId="164" fontId="21" fillId="13" borderId="1" xfId="0" applyFont="true" applyBorder="true" applyAlignment="true" applyProtection="true">
      <alignment horizontal="left" vertical="bottom" textRotation="0" wrapText="false" indent="1" shrinkToFit="false"/>
      <protection locked="true" hidden="false"/>
    </xf>
    <xf numFmtId="172" fontId="22" fillId="13" borderId="1" xfId="0" applyFont="true" applyBorder="true" applyAlignment="true" applyProtection="true">
      <alignment horizontal="general" vertical="bottom" textRotation="0" wrapText="false" indent="0" shrinkToFit="false"/>
      <protection locked="true" hidden="false"/>
    </xf>
    <xf numFmtId="164" fontId="17" fillId="14" borderId="1" xfId="0" applyFont="true" applyBorder="true" applyAlignment="true" applyProtection="true">
      <alignment horizontal="center" vertical="bottom" textRotation="0" wrapText="false" indent="0" shrinkToFit="false"/>
      <protection locked="true" hidden="false"/>
    </xf>
    <xf numFmtId="172" fontId="19" fillId="14" borderId="1" xfId="0" applyFont="true" applyBorder="true" applyAlignment="true" applyProtection="true">
      <alignment horizontal="general" vertical="bottom" textRotation="0" wrapText="false" indent="0" shrinkToFit="false"/>
      <protection locked="true" hidden="false"/>
    </xf>
    <xf numFmtId="164" fontId="23" fillId="14" borderId="1" xfId="0" applyFont="true" applyBorder="true" applyAlignment="true" applyProtection="true">
      <alignment horizontal="general" vertical="bottom" textRotation="0" wrapText="false" indent="0" shrinkToFit="false"/>
      <protection locked="true" hidden="false"/>
    </xf>
    <xf numFmtId="164" fontId="23" fillId="14" borderId="1" xfId="0" applyFont="true" applyBorder="true" applyAlignment="true" applyProtection="true">
      <alignment horizontal="center" vertical="bottom" textRotation="0" wrapText="false" indent="0" shrinkToFit="false"/>
      <protection locked="true" hidden="false"/>
    </xf>
    <xf numFmtId="172" fontId="36" fillId="14" borderId="1" xfId="0" applyFont="true" applyBorder="true" applyAlignment="true" applyProtection="true">
      <alignment horizontal="general" vertical="bottom" textRotation="0" wrapText="false" indent="0" shrinkToFit="false"/>
      <protection locked="true" hidden="false"/>
    </xf>
    <xf numFmtId="171" fontId="35" fillId="14" borderId="1" xfId="19" applyFont="true" applyBorder="true" applyAlignment="true" applyProtection="true">
      <alignment horizontal="center" vertical="bottom" textRotation="0" wrapText="false" indent="0" shrinkToFit="false"/>
      <protection locked="true" hidden="false"/>
    </xf>
    <xf numFmtId="164" fontId="19" fillId="15" borderId="0" xfId="0" applyFont="true" applyBorder="false" applyAlignment="true" applyProtection="true">
      <alignment horizontal="general" vertical="bottom" textRotation="0" wrapText="false" indent="0" shrinkToFit="false"/>
      <protection locked="true" hidden="false"/>
    </xf>
    <xf numFmtId="164" fontId="0" fillId="15" borderId="0" xfId="0" applyFont="false" applyBorder="false" applyAlignment="true" applyProtection="true">
      <alignment horizontal="general" vertical="bottom" textRotation="0" wrapText="false" indent="0" shrinkToFit="false"/>
      <protection locked="true" hidden="false"/>
    </xf>
    <xf numFmtId="164" fontId="19" fillId="16" borderId="0" xfId="0" applyFont="true" applyBorder="false" applyAlignment="true" applyProtection="true">
      <alignment horizontal="general" vertical="bottom" textRotation="0" wrapText="false" indent="0" shrinkToFit="false"/>
      <protection locked="true" hidden="false"/>
    </xf>
    <xf numFmtId="164" fontId="0" fillId="16" borderId="0" xfId="0" applyFont="false" applyBorder="false" applyAlignment="true" applyProtection="true">
      <alignment horizontal="general" vertical="bottom" textRotation="0" wrapText="false" indent="0" shrinkToFit="false"/>
      <protection locked="true" hidden="false"/>
    </xf>
    <xf numFmtId="172" fontId="37" fillId="0" borderId="0" xfId="0" applyFont="true" applyBorder="false" applyAlignment="true" applyProtection="true">
      <alignment horizontal="general" vertical="bottom" textRotation="0" wrapText="false" indent="0" shrinkToFit="false"/>
      <protection locked="true" hidden="false"/>
    </xf>
    <xf numFmtId="164" fontId="19" fillId="8" borderId="0" xfId="0" applyFont="true" applyBorder="false" applyAlignment="true" applyProtection="true">
      <alignment horizontal="general" vertical="bottom" textRotation="0" wrapText="false" indent="0" shrinkToFit="false"/>
      <protection locked="true" hidden="false"/>
    </xf>
    <xf numFmtId="164" fontId="0" fillId="8" borderId="0" xfId="0" applyFont="false" applyBorder="false" applyAlignment="true" applyProtection="true">
      <alignment horizontal="general" vertical="bottom" textRotation="0" wrapText="false" indent="0" shrinkToFit="false"/>
      <protection locked="true" hidden="false"/>
    </xf>
    <xf numFmtId="164" fontId="9" fillId="17" borderId="0" xfId="0" applyFont="true" applyBorder="true" applyAlignment="true" applyProtection="true">
      <alignment horizontal="center" vertical="center" textRotation="0" wrapText="false" indent="0" shrinkToFit="false"/>
      <protection locked="true" hidden="false"/>
    </xf>
    <xf numFmtId="172" fontId="17" fillId="9" borderId="0" xfId="0" applyFont="true" applyBorder="true" applyAlignment="true" applyProtection="true">
      <alignment horizontal="center" vertical="center" textRotation="0" wrapText="false" indent="0" shrinkToFit="false"/>
      <protection locked="true" hidden="false"/>
    </xf>
    <xf numFmtId="164" fontId="17" fillId="17" borderId="0" xfId="0" applyFont="true" applyBorder="true" applyAlignment="true" applyProtection="true">
      <alignment horizontal="center" vertical="center" textRotation="0" wrapText="true" indent="0" shrinkToFit="false"/>
      <protection locked="true" hidden="false"/>
    </xf>
    <xf numFmtId="171" fontId="24" fillId="9" borderId="0" xfId="19" applyFont="true" applyBorder="true" applyAlignment="true" applyProtection="true">
      <alignment horizontal="center" vertical="center" textRotation="0" wrapText="false" indent="0" shrinkToFit="false"/>
      <protection locked="true" hidden="false"/>
    </xf>
    <xf numFmtId="164" fontId="45" fillId="14" borderId="0" xfId="0" applyFont="true" applyBorder="false" applyAlignment="true" applyProtection="true">
      <alignment horizontal="right" vertical="bottom" textRotation="0" wrapText="false" indent="0" shrinkToFit="false"/>
      <protection locked="true" hidden="false"/>
    </xf>
    <xf numFmtId="170" fontId="18" fillId="14" borderId="0" xfId="15" applyFont="true" applyBorder="true" applyAlignment="true" applyProtection="true">
      <alignment horizontal="right" vertical="bottom" textRotation="0" wrapText="false" indent="0" shrinkToFit="false"/>
      <protection locked="true" hidden="false"/>
    </xf>
    <xf numFmtId="164" fontId="45" fillId="8" borderId="0" xfId="0" applyFont="true" applyBorder="true" applyAlignment="true" applyProtection="true">
      <alignment horizontal="right" vertical="bottom" textRotation="0" wrapText="false" indent="0" shrinkToFit="false"/>
      <protection locked="true" hidden="false"/>
    </xf>
    <xf numFmtId="170" fontId="18" fillId="8" borderId="0" xfId="15" applyFont="true" applyBorder="true" applyAlignment="true" applyProtection="true">
      <alignment horizontal="general" vertical="bottom" textRotation="0" wrapText="false" indent="0" shrinkToFit="false"/>
      <protection locked="true" hidden="false"/>
    </xf>
    <xf numFmtId="164" fontId="0" fillId="9" borderId="0" xfId="0" applyFont="false" applyBorder="true" applyAlignment="true" applyProtection="true">
      <alignment horizontal="center" vertical="bottom" textRotation="0" wrapText="false" indent="0" shrinkToFit="false"/>
      <protection locked="true" hidden="false"/>
    </xf>
    <xf numFmtId="164" fontId="19" fillId="10" borderId="2" xfId="0" applyFont="true" applyBorder="true" applyAlignment="true" applyProtection="true">
      <alignment horizontal="center" vertical="bottom" textRotation="0" wrapText="false" indent="0" shrinkToFit="false"/>
      <protection locked="true" hidden="false"/>
    </xf>
    <xf numFmtId="164" fontId="18" fillId="14" borderId="0" xfId="0" applyFont="true" applyBorder="false" applyAlignment="true" applyProtection="true">
      <alignment horizontal="general" vertical="bottom" textRotation="0" wrapText="false" indent="0" shrinkToFit="false"/>
      <protection locked="true" hidden="false"/>
    </xf>
    <xf numFmtId="164" fontId="45" fillId="14" borderId="0" xfId="0" applyFont="true" applyBorder="false" applyAlignment="true" applyProtection="true">
      <alignment horizontal="general" vertical="bottom" textRotation="0" wrapText="false" indent="0" shrinkToFit="false"/>
      <protection locked="true" hidden="false"/>
    </xf>
    <xf numFmtId="172" fontId="0" fillId="0" borderId="0" xfId="0" applyFont="true" applyBorder="false" applyAlignment="true" applyProtection="true">
      <alignment horizontal="general" vertical="bottom" textRotation="0" wrapText="false" indent="0" shrinkToFit="false"/>
      <protection locked="true" hidden="false"/>
    </xf>
    <xf numFmtId="169" fontId="0" fillId="0" borderId="0" xfId="0" applyFont="false" applyBorder="false" applyAlignment="true" applyProtection="true">
      <alignment horizontal="general" vertical="bottom" textRotation="0" wrapText="false" indent="0" shrinkToFit="false"/>
      <protection locked="true" hidden="false"/>
    </xf>
    <xf numFmtId="164" fontId="19" fillId="18" borderId="0" xfId="0" applyFont="true" applyBorder="false" applyAlignment="true" applyProtection="true">
      <alignment horizontal="general" vertical="bottom" textRotation="0" wrapText="false" indent="0" shrinkToFit="false"/>
      <protection locked="true" hidden="false"/>
    </xf>
    <xf numFmtId="164" fontId="0" fillId="18" borderId="0" xfId="0" applyFont="false" applyBorder="false" applyAlignment="true" applyProtection="true">
      <alignment horizontal="general" vertical="bottom" textRotation="0" wrapText="false" indent="0" shrinkToFit="false"/>
      <protection locked="true" hidden="false"/>
    </xf>
    <xf numFmtId="164" fontId="19" fillId="19" borderId="0" xfId="0" applyFont="true" applyBorder="false" applyAlignment="true" applyProtection="true">
      <alignment horizontal="general" vertical="bottom" textRotation="0" wrapText="false" indent="0" shrinkToFit="false"/>
      <protection locked="true" hidden="false"/>
    </xf>
    <xf numFmtId="164" fontId="0" fillId="19" borderId="0" xfId="0" applyFont="false" applyBorder="false" applyAlignment="true" applyProtection="true">
      <alignment horizontal="general" vertical="bottom" textRotation="0" wrapText="false" indent="0" shrinkToFit="false"/>
      <protection locked="true" hidden="false"/>
    </xf>
    <xf numFmtId="164" fontId="50" fillId="0" borderId="0" xfId="0" applyFont="true" applyBorder="false" applyAlignment="true" applyProtection="true">
      <alignment horizontal="general" vertical="top" textRotation="0" wrapText="false" indent="0" shrinkToFit="false"/>
      <protection locked="true" hidden="false"/>
    </xf>
    <xf numFmtId="164" fontId="11" fillId="0" borderId="0" xfId="0" applyFont="true" applyBorder="false" applyAlignment="true" applyProtection="true">
      <alignment horizontal="general" vertical="top" textRotation="0" wrapText="false" indent="0" shrinkToFit="false"/>
      <protection locked="true" hidden="false"/>
    </xf>
    <xf numFmtId="169" fontId="50" fillId="0" borderId="0" xfId="19" applyFont="true" applyBorder="true" applyAlignment="true" applyProtection="true">
      <alignment horizontal="general" vertical="top" textRotation="0" wrapText="false" indent="0" shrinkToFit="false"/>
      <protection locked="true" hidden="false"/>
    </xf>
    <xf numFmtId="170" fontId="50" fillId="0" borderId="0" xfId="0" applyFont="true" applyBorder="false" applyAlignment="true" applyProtection="true">
      <alignment horizontal="general" vertical="top" textRotation="0" wrapText="false" indent="0" shrinkToFit="false"/>
      <protection locked="true" hidden="false"/>
    </xf>
    <xf numFmtId="164" fontId="11" fillId="0" borderId="0" xfId="171" applyFont="true" applyBorder="false" applyAlignment="true" applyProtection="true">
      <alignment horizontal="general" vertical="top" textRotation="0" wrapText="false" indent="0" shrinkToFit="false"/>
      <protection locked="true" hidden="false"/>
    </xf>
    <xf numFmtId="164" fontId="50" fillId="0" borderId="0" xfId="171" applyFont="true" applyBorder="false" applyAlignment="true" applyProtection="true">
      <alignment horizontal="general" vertical="top" textRotation="0" wrapText="false" indent="0" shrinkToFit="false"/>
      <protection locked="true" hidden="false"/>
    </xf>
    <xf numFmtId="170" fontId="50" fillId="0" borderId="0" xfId="171" applyFont="true" applyBorder="false" applyAlignment="true" applyProtection="true">
      <alignment horizontal="general" vertical="top" textRotation="0" wrapText="false" indent="0" shrinkToFit="false"/>
      <protection locked="true" hidden="false"/>
    </xf>
    <xf numFmtId="171" fontId="50" fillId="0" borderId="0" xfId="19" applyFont="true" applyBorder="true" applyAlignment="true" applyProtection="true">
      <alignment horizontal="general" vertical="top" textRotation="0" wrapText="false" indent="0" shrinkToFit="false"/>
      <protection locked="true" hidden="false"/>
    </xf>
    <xf numFmtId="170" fontId="50" fillId="0" borderId="0" xfId="15" applyFont="true" applyBorder="true" applyAlignment="true" applyProtection="true">
      <alignment horizontal="general" vertical="top" textRotation="0" wrapText="false" indent="0" shrinkToFit="false"/>
      <protection locked="true" hidden="false"/>
    </xf>
    <xf numFmtId="164" fontId="11" fillId="14" borderId="1" xfId="171" applyFont="true" applyBorder="true" applyAlignment="true" applyProtection="true">
      <alignment horizontal="center" vertical="center" textRotation="0" wrapText="false" indent="0" shrinkToFit="false"/>
      <protection locked="true" hidden="false"/>
    </xf>
    <xf numFmtId="164" fontId="11" fillId="14" borderId="1" xfId="171" applyFont="true" applyBorder="true" applyAlignment="true" applyProtection="true">
      <alignment horizontal="center" vertical="center" textRotation="0" wrapText="true" indent="0" shrinkToFit="false"/>
      <protection locked="true" hidden="false"/>
    </xf>
    <xf numFmtId="164" fontId="11" fillId="14" borderId="1" xfId="171" applyFont="true" applyBorder="true" applyAlignment="true" applyProtection="true">
      <alignment horizontal="center" vertical="top" textRotation="0" wrapText="false" indent="0" shrinkToFit="false"/>
      <protection locked="true" hidden="false"/>
    </xf>
    <xf numFmtId="164" fontId="50" fillId="20" borderId="1" xfId="171" applyFont="true" applyBorder="true" applyAlignment="true" applyProtection="true">
      <alignment horizontal="center" vertical="top" textRotation="0" wrapText="false" indent="0" shrinkToFit="false"/>
      <protection locked="true" hidden="false"/>
    </xf>
    <xf numFmtId="164" fontId="50" fillId="20" borderId="1" xfId="171" applyFont="true" applyBorder="true" applyAlignment="true" applyProtection="true">
      <alignment horizontal="general" vertical="top" textRotation="0" wrapText="false" indent="0" shrinkToFit="false"/>
      <protection locked="true" hidden="false"/>
    </xf>
    <xf numFmtId="170" fontId="50" fillId="5" borderId="1" xfId="40" applyFont="true" applyBorder="true" applyAlignment="true" applyProtection="true">
      <alignment horizontal="general" vertical="top" textRotation="0" wrapText="false" indent="0" shrinkToFit="false"/>
      <protection locked="true" hidden="false"/>
    </xf>
    <xf numFmtId="170" fontId="50" fillId="9" borderId="1" xfId="40" applyFont="true" applyBorder="true" applyAlignment="true" applyProtection="true">
      <alignment horizontal="general" vertical="top" textRotation="0" wrapText="false" indent="0" shrinkToFit="false"/>
      <protection locked="true" hidden="false"/>
    </xf>
    <xf numFmtId="170" fontId="50" fillId="21" borderId="1" xfId="40" applyFont="true" applyBorder="true" applyAlignment="true" applyProtection="true">
      <alignment horizontal="general" vertical="top" textRotation="0" wrapText="false" indent="0" shrinkToFit="false"/>
      <protection locked="true" hidden="false"/>
    </xf>
    <xf numFmtId="164" fontId="50" fillId="14" borderId="1" xfId="171" applyFont="true" applyBorder="true" applyAlignment="true" applyProtection="true">
      <alignment horizontal="center" vertical="top" textRotation="0" wrapText="false" indent="0" shrinkToFit="false"/>
      <protection locked="true" hidden="false"/>
    </xf>
    <xf numFmtId="164" fontId="11" fillId="14" borderId="1" xfId="171" applyFont="true" applyBorder="true" applyAlignment="true" applyProtection="true">
      <alignment horizontal="general" vertical="top" textRotation="0" wrapText="false" indent="0" shrinkToFit="false"/>
      <protection locked="true" hidden="false"/>
    </xf>
    <xf numFmtId="170" fontId="11" fillId="14" borderId="1" xfId="40" applyFont="true" applyBorder="true" applyAlignment="true" applyProtection="true">
      <alignment horizontal="general" vertical="top" textRotation="0" wrapText="false" indent="0" shrinkToFit="false"/>
      <protection locked="true" hidden="false"/>
    </xf>
    <xf numFmtId="170" fontId="11" fillId="9" borderId="1" xfId="40" applyFont="true" applyBorder="true" applyAlignment="true" applyProtection="true">
      <alignment horizontal="general" vertical="top" textRotation="0" wrapText="false" indent="0" shrinkToFit="false"/>
      <protection locked="true" hidden="false"/>
    </xf>
    <xf numFmtId="170" fontId="11" fillId="0" borderId="0" xfId="171" applyFont="true" applyBorder="false" applyAlignment="true" applyProtection="true">
      <alignment horizontal="general" vertical="top" textRotation="0" wrapText="false" indent="0" shrinkToFit="false"/>
      <protection locked="true" hidden="false"/>
    </xf>
    <xf numFmtId="171" fontId="11" fillId="0" borderId="0" xfId="19" applyFont="true" applyBorder="true" applyAlignment="true" applyProtection="true">
      <alignment horizontal="general" vertical="top" textRotation="0" wrapText="false" indent="0" shrinkToFit="false"/>
      <protection locked="true" hidden="false"/>
    </xf>
    <xf numFmtId="172" fontId="50" fillId="0" borderId="0" xfId="0" applyFont="true" applyBorder="false" applyAlignment="true" applyProtection="true">
      <alignment horizontal="general" vertical="top" textRotation="0" wrapText="false" indent="0" shrinkToFit="false"/>
      <protection locked="true" hidden="false"/>
    </xf>
    <xf numFmtId="164" fontId="50" fillId="0" borderId="0" xfId="0" applyFont="true" applyBorder="false" applyAlignment="true" applyProtection="true">
      <alignment horizontal="right" vertical="top" textRotation="0" wrapText="false" indent="0" shrinkToFit="false"/>
      <protection locked="true" hidden="false"/>
    </xf>
    <xf numFmtId="169" fontId="11" fillId="0" borderId="0" xfId="19" applyFont="true" applyBorder="true" applyAlignment="true" applyProtection="true">
      <alignment horizontal="general" vertical="top" textRotation="0" wrapText="false" indent="0" shrinkToFit="false"/>
      <protection locked="true" hidden="false"/>
    </xf>
    <xf numFmtId="165" fontId="50" fillId="0" borderId="0" xfId="15" applyFont="true" applyBorder="true" applyAlignment="true" applyProtection="true">
      <alignment horizontal="general" vertical="top" textRotation="0" wrapText="false" indent="0" shrinkToFit="false"/>
      <protection locked="true" hidden="false"/>
    </xf>
    <xf numFmtId="170" fontId="50" fillId="0" borderId="0" xfId="19" applyFont="true" applyBorder="true" applyAlignment="true" applyProtection="true">
      <alignment horizontal="general" vertical="top" textRotation="0" wrapText="false" indent="0" shrinkToFit="false"/>
      <protection locked="true" hidden="false"/>
    </xf>
    <xf numFmtId="164" fontId="11" fillId="0" borderId="1" xfId="171" applyFont="true" applyBorder="true" applyAlignment="true" applyProtection="true">
      <alignment horizontal="general" vertical="top" textRotation="0" wrapText="false" indent="0" shrinkToFit="false"/>
      <protection locked="true" hidden="false"/>
    </xf>
    <xf numFmtId="170" fontId="11" fillId="0" borderId="1" xfId="171" applyFont="true" applyBorder="true" applyAlignment="true" applyProtection="true">
      <alignment horizontal="general" vertical="top" textRotation="0" wrapText="false" indent="0" shrinkToFit="false"/>
      <protection locked="true" hidden="false"/>
    </xf>
    <xf numFmtId="171" fontId="11" fillId="0" borderId="1" xfId="19" applyFont="true" applyBorder="true" applyAlignment="true" applyProtection="true">
      <alignment horizontal="center" vertical="top" textRotation="0" wrapText="false" indent="0" shrinkToFit="false"/>
      <protection locked="true" hidden="false"/>
    </xf>
    <xf numFmtId="170" fontId="11" fillId="0" borderId="1" xfId="0" applyFont="true" applyBorder="true" applyAlignment="true" applyProtection="true">
      <alignment horizontal="center" vertical="top" textRotation="0" wrapText="false" indent="0" shrinkToFit="false"/>
      <protection locked="true" hidden="false"/>
    </xf>
    <xf numFmtId="164" fontId="11" fillId="0" borderId="1" xfId="0" applyFont="true" applyBorder="true" applyAlignment="true" applyProtection="true">
      <alignment horizontal="center" vertical="top" textRotation="0" wrapText="false" indent="0" shrinkToFit="false"/>
      <protection locked="true" hidden="false"/>
    </xf>
    <xf numFmtId="164" fontId="11" fillId="0" borderId="1" xfId="171" applyFont="true" applyBorder="true" applyAlignment="true" applyProtection="true">
      <alignment horizontal="left" vertical="top" textRotation="0" wrapText="false" indent="0" shrinkToFit="false"/>
      <protection locked="true" hidden="false"/>
    </xf>
    <xf numFmtId="170" fontId="11" fillId="0" borderId="1" xfId="171" applyFont="true" applyBorder="true" applyAlignment="true" applyProtection="true">
      <alignment horizontal="center" vertical="top" textRotation="0" wrapText="false" indent="0" shrinkToFit="false"/>
      <protection locked="true" hidden="false"/>
    </xf>
    <xf numFmtId="170" fontId="11" fillId="0" borderId="1" xfId="0" applyFont="true" applyBorder="true" applyAlignment="true" applyProtection="true">
      <alignment horizontal="center" vertical="center" textRotation="0" wrapText="false" indent="0" shrinkToFit="false"/>
      <protection locked="true" hidden="false"/>
    </xf>
    <xf numFmtId="171" fontId="11" fillId="0" borderId="1" xfId="19" applyFont="true" applyBorder="true" applyAlignment="true" applyProtection="true">
      <alignment horizontal="center" vertical="center" textRotation="0" wrapText="false" indent="0" shrinkToFit="false"/>
      <protection locked="true" hidden="false"/>
    </xf>
    <xf numFmtId="170" fontId="11" fillId="0" borderId="1" xfId="0" applyFont="true" applyBorder="true" applyAlignment="true" applyProtection="true">
      <alignment horizontal="general" vertical="top" textRotation="0" wrapText="false" indent="0" shrinkToFit="false"/>
      <protection locked="true" hidden="false"/>
    </xf>
    <xf numFmtId="171" fontId="11" fillId="0" borderId="1" xfId="19" applyFont="true" applyBorder="true" applyAlignment="true" applyProtection="true">
      <alignment horizontal="general" vertical="top" textRotation="0" wrapText="false" indent="0" shrinkToFit="false"/>
      <protection locked="true" hidden="false"/>
    </xf>
    <xf numFmtId="170" fontId="11" fillId="0" borderId="1" xfId="0" applyFont="true" applyBorder="true" applyAlignment="true" applyProtection="true">
      <alignment horizontal="right" vertical="top" textRotation="0" wrapText="false" indent="0" shrinkToFit="false"/>
      <protection locked="true" hidden="false"/>
    </xf>
    <xf numFmtId="166" fontId="50" fillId="0" borderId="0" xfId="19" applyFont="true" applyBorder="true" applyAlignment="true" applyProtection="true">
      <alignment horizontal="general" vertical="top" textRotation="0" wrapText="false" indent="0" shrinkToFit="false"/>
      <protection locked="true" hidden="false"/>
    </xf>
    <xf numFmtId="171" fontId="50" fillId="0" borderId="3" xfId="19" applyFont="true" applyBorder="true" applyAlignment="true" applyProtection="true">
      <alignment horizontal="right" vertical="top" textRotation="0" wrapText="false" indent="0" shrinkToFit="false"/>
      <protection locked="true" hidden="false"/>
    </xf>
    <xf numFmtId="171" fontId="50" fillId="0" borderId="4" xfId="19" applyFont="true" applyBorder="true" applyAlignment="true" applyProtection="true">
      <alignment horizontal="general" vertical="top" textRotation="0" wrapText="false" indent="0" shrinkToFit="false"/>
      <protection locked="true" hidden="false"/>
    </xf>
    <xf numFmtId="170" fontId="50" fillId="0" borderId="1" xfId="15" applyFont="true" applyBorder="true" applyAlignment="true" applyProtection="true">
      <alignment horizontal="general" vertical="top" textRotation="0" wrapText="false" indent="0" shrinkToFit="false"/>
      <protection locked="true" hidden="false"/>
    </xf>
    <xf numFmtId="171" fontId="50" fillId="0" borderId="1" xfId="19" applyFont="true" applyBorder="true" applyAlignment="true" applyProtection="true">
      <alignment horizontal="general" vertical="top" textRotation="0" wrapText="false" indent="0" shrinkToFit="false"/>
      <protection locked="true" hidden="false"/>
    </xf>
    <xf numFmtId="173" fontId="50" fillId="0" borderId="0" xfId="19" applyFont="true" applyBorder="true" applyAlignment="true" applyProtection="true">
      <alignment horizontal="general" vertical="top" textRotation="0" wrapText="false" indent="0" shrinkToFit="false"/>
      <protection locked="true" hidden="false"/>
    </xf>
    <xf numFmtId="174" fontId="50" fillId="0" borderId="0" xfId="0" applyFont="true" applyBorder="false" applyAlignment="true" applyProtection="true">
      <alignment horizontal="general" vertical="top" textRotation="0" wrapText="false" indent="0" shrinkToFit="false"/>
      <protection locked="true" hidden="false"/>
    </xf>
    <xf numFmtId="164" fontId="50" fillId="0" borderId="0" xfId="171" applyFont="true" applyBorder="false" applyAlignment="true" applyProtection="true">
      <alignment horizontal="center" vertical="top" textRotation="0" wrapText="false" indent="0" shrinkToFit="false"/>
      <protection locked="true" hidden="false"/>
    </xf>
    <xf numFmtId="175" fontId="50" fillId="0" borderId="0" xfId="15" applyFont="true" applyBorder="true" applyAlignment="true" applyProtection="true">
      <alignment horizontal="center" vertical="top" textRotation="0" wrapText="false" indent="0" shrinkToFit="false"/>
      <protection locked="true" hidden="false"/>
    </xf>
    <xf numFmtId="171" fontId="50" fillId="0" borderId="0" xfId="19" applyFont="true" applyBorder="true" applyAlignment="true" applyProtection="true">
      <alignment horizontal="right" vertical="top" textRotation="0" wrapText="false" indent="0" shrinkToFit="false"/>
      <protection locked="true" hidden="false"/>
    </xf>
    <xf numFmtId="170" fontId="50" fillId="0" borderId="0" xfId="171" applyFont="true" applyBorder="false" applyAlignment="true" applyProtection="true">
      <alignment horizontal="center" vertical="top" textRotation="0" wrapText="false" indent="0" shrinkToFit="false"/>
      <protection locked="true" hidden="false"/>
    </xf>
    <xf numFmtId="164" fontId="11" fillId="0" borderId="3" xfId="0" applyFont="true" applyBorder="true" applyAlignment="true" applyProtection="true">
      <alignment horizontal="center" vertical="center" textRotation="0" wrapText="true" indent="0" shrinkToFit="false"/>
      <protection locked="true" hidden="false"/>
    </xf>
    <xf numFmtId="164" fontId="11" fillId="0" borderId="1" xfId="0" applyFont="true" applyBorder="true" applyAlignment="true" applyProtection="true">
      <alignment horizontal="center" vertical="center" textRotation="0" wrapText="true" indent="0" shrinkToFit="false"/>
      <protection locked="true" hidden="false"/>
    </xf>
    <xf numFmtId="170" fontId="11" fillId="0" borderId="0" xfId="0" applyFont="true" applyBorder="false" applyAlignment="true" applyProtection="true">
      <alignment horizontal="general" vertical="top" textRotation="0" wrapText="false" indent="0" shrinkToFit="false"/>
      <protection locked="true" hidden="false"/>
    </xf>
    <xf numFmtId="164" fontId="50" fillId="0" borderId="3" xfId="0" applyFont="true" applyBorder="true" applyAlignment="true" applyProtection="true">
      <alignment horizontal="center" vertical="center" textRotation="0" wrapText="false" indent="0" shrinkToFit="false"/>
      <protection locked="true" hidden="false"/>
    </xf>
    <xf numFmtId="172" fontId="50" fillId="0" borderId="1" xfId="0" applyFont="true" applyBorder="true" applyAlignment="true" applyProtection="true">
      <alignment horizontal="right" vertical="center" textRotation="0" wrapText="true" indent="0" shrinkToFit="false"/>
      <protection locked="true" hidden="false"/>
    </xf>
    <xf numFmtId="172" fontId="50" fillId="0" borderId="1" xfId="0" applyFont="true" applyBorder="true" applyAlignment="true" applyProtection="true">
      <alignment horizontal="right" vertical="center" textRotation="0" wrapText="false" indent="0" shrinkToFit="false"/>
      <protection locked="true" hidden="false"/>
    </xf>
    <xf numFmtId="171" fontId="50" fillId="0" borderId="1" xfId="0" applyFont="true" applyBorder="true" applyAlignment="true" applyProtection="true">
      <alignment horizontal="right" vertical="center" textRotation="0" wrapText="false" indent="0" shrinkToFit="false"/>
      <protection locked="true" hidden="false"/>
    </xf>
    <xf numFmtId="164" fontId="11" fillId="0" borderId="3" xfId="0" applyFont="true" applyBorder="true" applyAlignment="true" applyProtection="true">
      <alignment horizontal="center" vertical="center" textRotation="0" wrapText="false" indent="0" shrinkToFit="false"/>
      <protection locked="true" hidden="false"/>
    </xf>
    <xf numFmtId="172" fontId="11" fillId="0" borderId="1" xfId="0" applyFont="true" applyBorder="true" applyAlignment="true" applyProtection="true">
      <alignment horizontal="right" vertical="center" textRotation="0" wrapText="false" indent="0" shrinkToFit="false"/>
      <protection locked="true" hidden="false"/>
    </xf>
    <xf numFmtId="171" fontId="11" fillId="0" borderId="1" xfId="0" applyFont="true" applyBorder="true" applyAlignment="true" applyProtection="true">
      <alignment horizontal="right" vertical="center" textRotation="0" wrapText="false" indent="0" shrinkToFit="false"/>
      <protection locked="true" hidden="false"/>
    </xf>
    <xf numFmtId="164" fontId="51" fillId="22" borderId="0" xfId="0" applyFont="true" applyBorder="false" applyAlignment="true" applyProtection="true">
      <alignment horizontal="general" vertical="top" textRotation="0" wrapText="false" indent="0" shrinkToFit="false"/>
      <protection locked="true" hidden="false"/>
    </xf>
    <xf numFmtId="170" fontId="50" fillId="10" borderId="1" xfId="40" applyFont="true" applyBorder="true" applyAlignment="true" applyProtection="true">
      <alignment horizontal="general" vertical="top" textRotation="0" wrapText="false" indent="0" shrinkToFit="false"/>
      <protection locked="true" hidden="false"/>
    </xf>
    <xf numFmtId="170" fontId="11" fillId="10" borderId="1" xfId="40" applyFont="true" applyBorder="true" applyAlignment="true" applyProtection="true">
      <alignment horizontal="general" vertical="top" textRotation="0" wrapText="false" indent="0" shrinkToFit="false"/>
      <protection locked="true" hidden="false"/>
    </xf>
    <xf numFmtId="164" fontId="50" fillId="0" borderId="0" xfId="0" applyFont="true" applyBorder="false" applyAlignment="true" applyProtection="true">
      <alignment horizontal="general" vertical="top" textRotation="0" wrapText="true" indent="0" shrinkToFit="false"/>
      <protection locked="true" hidden="false"/>
    </xf>
    <xf numFmtId="164" fontId="50" fillId="0" borderId="0" xfId="0" applyFont="true" applyBorder="false" applyAlignment="true" applyProtection="true">
      <alignment horizontal="center" vertical="top" textRotation="0" wrapText="false" indent="0" shrinkToFit="false"/>
      <protection locked="true" hidden="false"/>
    </xf>
    <xf numFmtId="170" fontId="11" fillId="18" borderId="1" xfId="0" applyFont="true" applyBorder="true" applyAlignment="true" applyProtection="true">
      <alignment horizontal="center" vertical="top" textRotation="0" wrapText="false" indent="0" shrinkToFit="false"/>
      <protection locked="true" hidden="false"/>
    </xf>
    <xf numFmtId="170" fontId="11" fillId="23" borderId="1" xfId="0" applyFont="true" applyBorder="true" applyAlignment="true" applyProtection="true">
      <alignment horizontal="center" vertical="top" textRotation="0" wrapText="false" indent="0" shrinkToFit="false"/>
      <protection locked="true" hidden="false"/>
    </xf>
    <xf numFmtId="164" fontId="11" fillId="3" borderId="5" xfId="0" applyFont="true" applyBorder="true" applyAlignment="true" applyProtection="true">
      <alignment horizontal="center" vertical="top" textRotation="0" wrapText="false" indent="0" shrinkToFit="false"/>
      <protection locked="true" hidden="false"/>
    </xf>
    <xf numFmtId="164" fontId="11" fillId="3" borderId="5" xfId="0" applyFont="true" applyBorder="true" applyAlignment="true" applyProtection="true">
      <alignment horizontal="center" vertical="top" textRotation="0" wrapText="true" indent="0" shrinkToFit="false"/>
      <protection locked="true" hidden="false"/>
    </xf>
    <xf numFmtId="164" fontId="11" fillId="3" borderId="3" xfId="0" applyFont="true" applyBorder="true" applyAlignment="true" applyProtection="true">
      <alignment horizontal="general" vertical="top" textRotation="0" wrapText="false" indent="0" shrinkToFit="false"/>
      <protection locked="true" hidden="false"/>
    </xf>
    <xf numFmtId="164" fontId="11" fillId="3" borderId="3" xfId="0" applyFont="true" applyBorder="true" applyAlignment="true" applyProtection="true">
      <alignment horizontal="center" vertical="top" textRotation="0" wrapText="false" indent="0" shrinkToFit="false"/>
      <protection locked="true" hidden="false"/>
    </xf>
    <xf numFmtId="164" fontId="11" fillId="3" borderId="6" xfId="0" applyFont="true" applyBorder="true" applyAlignment="true" applyProtection="true">
      <alignment horizontal="center" vertical="top" textRotation="0" wrapText="false" indent="0" shrinkToFit="false"/>
      <protection locked="true" hidden="false"/>
    </xf>
    <xf numFmtId="164" fontId="50" fillId="3" borderId="4" xfId="0" applyFont="true" applyBorder="true" applyAlignment="true" applyProtection="true">
      <alignment horizontal="general" vertical="top" textRotation="0" wrapText="false" indent="0" shrinkToFit="false"/>
      <protection locked="true" hidden="false"/>
    </xf>
    <xf numFmtId="164" fontId="11" fillId="3" borderId="6" xfId="0" applyFont="true" applyBorder="true" applyAlignment="true" applyProtection="true">
      <alignment horizontal="general" vertical="top" textRotation="0" wrapText="false" indent="0" shrinkToFit="false"/>
      <protection locked="true" hidden="false"/>
    </xf>
    <xf numFmtId="164" fontId="11" fillId="3" borderId="4" xfId="0" applyFont="true" applyBorder="true" applyAlignment="true" applyProtection="true">
      <alignment horizontal="general" vertical="top" textRotation="0" wrapText="false" indent="0" shrinkToFit="false"/>
      <protection locked="true" hidden="false"/>
    </xf>
    <xf numFmtId="164" fontId="50" fillId="3" borderId="7" xfId="0" applyFont="true" applyBorder="true" applyAlignment="true" applyProtection="true">
      <alignment horizontal="general" vertical="top" textRotation="0" wrapText="false" indent="0" shrinkToFit="false"/>
      <protection locked="true" hidden="false"/>
    </xf>
    <xf numFmtId="164" fontId="50" fillId="3" borderId="7" xfId="0" applyFont="true" applyBorder="true" applyAlignment="true" applyProtection="true">
      <alignment horizontal="general" vertical="top" textRotation="0" wrapText="true" indent="0" shrinkToFit="false"/>
      <protection locked="true" hidden="false"/>
    </xf>
    <xf numFmtId="164" fontId="50" fillId="3" borderId="7" xfId="0" applyFont="true" applyBorder="true" applyAlignment="true" applyProtection="true">
      <alignment horizontal="center" vertical="top" textRotation="0" wrapText="true" indent="0" shrinkToFit="false"/>
      <protection locked="true" hidden="false"/>
    </xf>
    <xf numFmtId="164" fontId="11" fillId="3" borderId="1" xfId="0" applyFont="true" applyBorder="true" applyAlignment="true" applyProtection="true">
      <alignment horizontal="center" vertical="top" textRotation="0" wrapText="false" indent="0" shrinkToFit="false"/>
      <protection locked="true" hidden="false"/>
    </xf>
    <xf numFmtId="164" fontId="11" fillId="8" borderId="1" xfId="0" applyFont="true" applyBorder="true" applyAlignment="true" applyProtection="true">
      <alignment horizontal="left" vertical="top" textRotation="0" wrapText="false" indent="0" shrinkToFit="false"/>
      <protection locked="true" hidden="false"/>
    </xf>
    <xf numFmtId="164" fontId="11" fillId="8" borderId="1" xfId="0" applyFont="true" applyBorder="true" applyAlignment="true" applyProtection="true">
      <alignment horizontal="left" vertical="top" textRotation="0" wrapText="true" indent="0" shrinkToFit="false"/>
      <protection locked="true" hidden="false"/>
    </xf>
    <xf numFmtId="164" fontId="11" fillId="8" borderId="1" xfId="0" applyFont="true" applyBorder="true" applyAlignment="true" applyProtection="true">
      <alignment horizontal="center" vertical="top" textRotation="0" wrapText="false" indent="0" shrinkToFit="false"/>
      <protection locked="true" hidden="false"/>
    </xf>
    <xf numFmtId="170" fontId="11" fillId="8" borderId="1" xfId="42" applyFont="true" applyBorder="true" applyAlignment="true" applyProtection="true">
      <alignment horizontal="right" vertical="top" textRotation="0" wrapText="false" indent="0" shrinkToFit="false"/>
      <protection locked="true" hidden="false"/>
    </xf>
    <xf numFmtId="165" fontId="11" fillId="8" borderId="1" xfId="15" applyFont="true" applyBorder="true" applyAlignment="true" applyProtection="true">
      <alignment horizontal="center" vertical="top" textRotation="0" wrapText="false" indent="0" shrinkToFit="false"/>
      <protection locked="true" hidden="false"/>
    </xf>
    <xf numFmtId="164" fontId="50" fillId="8" borderId="1" xfId="0" applyFont="true" applyBorder="true" applyAlignment="true" applyProtection="true">
      <alignment horizontal="center" vertical="top" textRotation="0" wrapText="false" indent="0" shrinkToFit="false"/>
      <protection locked="true" hidden="false"/>
    </xf>
    <xf numFmtId="164" fontId="50" fillId="21" borderId="1" xfId="0" applyFont="true" applyBorder="true" applyAlignment="true" applyProtection="true">
      <alignment horizontal="center" vertical="top" textRotation="0" wrapText="false" indent="0" shrinkToFit="false"/>
      <protection locked="true" hidden="false"/>
    </xf>
    <xf numFmtId="164" fontId="50" fillId="21" borderId="1" xfId="0" applyFont="true" applyBorder="true" applyAlignment="true" applyProtection="true">
      <alignment horizontal="general" vertical="top" textRotation="0" wrapText="true" indent="0" shrinkToFit="false"/>
      <protection locked="true" hidden="false"/>
    </xf>
    <xf numFmtId="164" fontId="50" fillId="21" borderId="1" xfId="0" applyFont="true" applyBorder="true" applyAlignment="true" applyProtection="true">
      <alignment horizontal="center" vertical="top" textRotation="0" wrapText="true" indent="0" shrinkToFit="false"/>
      <protection locked="true" hidden="false"/>
    </xf>
    <xf numFmtId="170" fontId="50" fillId="9" borderId="1" xfId="42" applyFont="true" applyBorder="true" applyAlignment="true" applyProtection="true">
      <alignment horizontal="general" vertical="top" textRotation="0" wrapText="false" indent="0" shrinkToFit="false"/>
      <protection locked="true" hidden="false"/>
    </xf>
    <xf numFmtId="170" fontId="50" fillId="9" borderId="1" xfId="42" applyFont="true" applyBorder="true" applyAlignment="true" applyProtection="true">
      <alignment horizontal="center" vertical="top" textRotation="0" wrapText="false" indent="0" shrinkToFit="false"/>
      <protection locked="true" hidden="false"/>
    </xf>
    <xf numFmtId="170" fontId="50" fillId="9" borderId="1" xfId="15" applyFont="true" applyBorder="true" applyAlignment="true" applyProtection="true">
      <alignment horizontal="general" vertical="top" textRotation="0" wrapText="false" indent="0" shrinkToFit="false"/>
      <protection locked="true" hidden="false"/>
    </xf>
    <xf numFmtId="170" fontId="50" fillId="4" borderId="1" xfId="15" applyFont="true" applyBorder="true" applyAlignment="true" applyProtection="true">
      <alignment horizontal="general" vertical="top" textRotation="0" wrapText="false" indent="0" shrinkToFit="false"/>
      <protection locked="true" hidden="false"/>
    </xf>
    <xf numFmtId="170" fontId="11" fillId="8" borderId="1" xfId="15" applyFont="true" applyBorder="true" applyAlignment="true" applyProtection="true">
      <alignment horizontal="center" vertical="top" textRotation="0" wrapText="false" indent="0" shrinkToFit="false"/>
      <protection locked="true" hidden="false"/>
    </xf>
    <xf numFmtId="170" fontId="50" fillId="8" borderId="1" xfId="15" applyFont="true" applyBorder="true" applyAlignment="true" applyProtection="true">
      <alignment horizontal="center" vertical="top" textRotation="0" wrapText="false" indent="0" shrinkToFit="false"/>
      <protection locked="true" hidden="false"/>
    </xf>
    <xf numFmtId="170" fontId="11" fillId="8" borderId="1" xfId="0" applyFont="true" applyBorder="true" applyAlignment="true" applyProtection="true">
      <alignment horizontal="center" vertical="top" textRotation="0" wrapText="false" indent="0" shrinkToFit="false"/>
      <protection locked="true" hidden="false"/>
    </xf>
    <xf numFmtId="165" fontId="50" fillId="9" borderId="1" xfId="15" applyFont="true" applyBorder="true" applyAlignment="true" applyProtection="true">
      <alignment horizontal="center" vertical="top" textRotation="0" wrapText="false" indent="0" shrinkToFit="false"/>
      <protection locked="true" hidden="false"/>
    </xf>
    <xf numFmtId="170" fontId="50" fillId="9" borderId="1" xfId="15" applyFont="true" applyBorder="true" applyAlignment="true" applyProtection="true">
      <alignment horizontal="center" vertical="top" textRotation="0" wrapText="false" indent="0" shrinkToFit="false"/>
      <protection locked="true" hidden="false"/>
    </xf>
    <xf numFmtId="170" fontId="50" fillId="9" borderId="1" xfId="0" applyFont="true" applyBorder="true" applyAlignment="true" applyProtection="true">
      <alignment horizontal="center" vertical="top" textRotation="0" wrapText="false" indent="0" shrinkToFit="false"/>
      <protection locked="true" hidden="false"/>
    </xf>
    <xf numFmtId="164" fontId="50" fillId="0" borderId="1" xfId="0" applyFont="true" applyBorder="true" applyAlignment="true" applyProtection="true">
      <alignment horizontal="general" vertical="top" textRotation="0" wrapText="true" indent="0" shrinkToFit="false"/>
      <protection locked="true" hidden="false"/>
    </xf>
    <xf numFmtId="170" fontId="50" fillId="9" borderId="1" xfId="0" applyFont="true" applyBorder="true" applyAlignment="true" applyProtection="true">
      <alignment horizontal="general" vertical="top" textRotation="0" wrapText="false" indent="0" shrinkToFit="false"/>
      <protection locked="true" hidden="false"/>
    </xf>
    <xf numFmtId="164" fontId="50" fillId="21" borderId="1" xfId="0" applyFont="true" applyBorder="true" applyAlignment="true" applyProtection="true">
      <alignment horizontal="left" vertical="top" textRotation="0" wrapText="true" indent="0" shrinkToFit="false"/>
      <protection locked="true" hidden="false"/>
    </xf>
    <xf numFmtId="164" fontId="50" fillId="21" borderId="1" xfId="0" applyFont="true" applyBorder="true" applyAlignment="true" applyProtection="true">
      <alignment horizontal="left" vertical="top" textRotation="0" wrapText="true" indent="1" shrinkToFit="false"/>
      <protection locked="true" hidden="false"/>
    </xf>
    <xf numFmtId="164" fontId="50" fillId="0" borderId="1" xfId="0" applyFont="true" applyBorder="true" applyAlignment="true" applyProtection="true">
      <alignment horizontal="general" vertical="top" textRotation="0" wrapText="false" indent="0" shrinkToFit="false"/>
      <protection locked="true" hidden="false"/>
    </xf>
    <xf numFmtId="164" fontId="52" fillId="21" borderId="1" xfId="0" applyFont="true" applyBorder="true" applyAlignment="true" applyProtection="true">
      <alignment horizontal="general" vertical="top" textRotation="0" wrapText="true" indent="0" shrinkToFit="false"/>
      <protection locked="true" hidden="false"/>
    </xf>
    <xf numFmtId="164" fontId="50" fillId="0" borderId="1" xfId="0" applyFont="true" applyBorder="true" applyAlignment="true" applyProtection="true">
      <alignment horizontal="center" vertical="top" textRotation="0" wrapText="false" indent="0" shrinkToFit="false"/>
      <protection locked="true" hidden="false"/>
    </xf>
    <xf numFmtId="164" fontId="50" fillId="0" borderId="1" xfId="0" applyFont="true" applyBorder="true" applyAlignment="true" applyProtection="true">
      <alignment horizontal="center" vertical="top" textRotation="0" wrapText="true" indent="0" shrinkToFit="false"/>
      <protection locked="true" hidden="false"/>
    </xf>
    <xf numFmtId="172" fontId="50" fillId="9" borderId="1" xfId="0" applyFont="true" applyBorder="true" applyAlignment="true" applyProtection="true">
      <alignment horizontal="center" vertical="top" textRotation="0" wrapText="false" indent="0" shrinkToFit="false"/>
      <protection locked="true" hidden="false"/>
    </xf>
    <xf numFmtId="164" fontId="52" fillId="0" borderId="1" xfId="0" applyFont="true" applyBorder="true" applyAlignment="true" applyProtection="true">
      <alignment horizontal="left" vertical="center" textRotation="0" wrapText="true" indent="0" shrinkToFit="false"/>
      <protection locked="true" hidden="false"/>
    </xf>
    <xf numFmtId="164" fontId="50" fillId="0" borderId="1" xfId="0" applyFont="true" applyBorder="true" applyAlignment="true" applyProtection="true">
      <alignment horizontal="left" vertical="top" textRotation="0" wrapText="true" indent="1" shrinkToFit="false"/>
      <protection locked="true" hidden="false"/>
    </xf>
    <xf numFmtId="164" fontId="50" fillId="0" borderId="1" xfId="172" applyFont="true" applyBorder="true" applyAlignment="true" applyProtection="true">
      <alignment horizontal="center" vertical="top" textRotation="0" wrapText="true" indent="0" shrinkToFit="false"/>
      <protection locked="true" hidden="false"/>
    </xf>
    <xf numFmtId="164" fontId="50" fillId="0" borderId="1" xfId="172" applyFont="true" applyBorder="true" applyAlignment="true" applyProtection="true">
      <alignment horizontal="center" vertical="top" textRotation="0" wrapText="false" indent="0" shrinkToFit="false"/>
      <protection locked="true" hidden="false"/>
    </xf>
    <xf numFmtId="164" fontId="50" fillId="0" borderId="1" xfId="172" applyFont="true" applyBorder="true" applyAlignment="true" applyProtection="true">
      <alignment horizontal="general" vertical="top" textRotation="0" wrapText="true" indent="0" shrinkToFit="false"/>
      <protection locked="true" hidden="false"/>
    </xf>
    <xf numFmtId="172" fontId="50" fillId="9" borderId="1" xfId="0" applyFont="true" applyBorder="true" applyAlignment="true" applyProtection="true">
      <alignment horizontal="general" vertical="top" textRotation="0" wrapText="false" indent="0" shrinkToFit="false"/>
      <protection locked="true" hidden="false"/>
    </xf>
    <xf numFmtId="164" fontId="52" fillId="21" borderId="1" xfId="0" applyFont="true" applyBorder="true" applyAlignment="true" applyProtection="true">
      <alignment horizontal="left" vertical="center" textRotation="0" wrapText="true" indent="0" shrinkToFit="false"/>
      <protection locked="true" hidden="false"/>
    </xf>
    <xf numFmtId="164" fontId="50" fillId="21" borderId="1" xfId="172" applyFont="true" applyBorder="true" applyAlignment="true" applyProtection="true">
      <alignment horizontal="center" vertical="top" textRotation="0" wrapText="true" indent="0" shrinkToFit="false"/>
      <protection locked="true" hidden="false"/>
    </xf>
    <xf numFmtId="164" fontId="50" fillId="21" borderId="1" xfId="172" applyFont="true" applyBorder="true" applyAlignment="true" applyProtection="true">
      <alignment horizontal="general" vertical="top" textRotation="0" wrapText="true" indent="0" shrinkToFit="false"/>
      <protection locked="true" hidden="false"/>
    </xf>
    <xf numFmtId="164" fontId="50" fillId="0" borderId="1" xfId="0" applyFont="true" applyBorder="true" applyAlignment="true" applyProtection="true">
      <alignment horizontal="left" vertical="top" textRotation="0" wrapText="true" indent="0" shrinkToFit="false"/>
      <protection locked="true" hidden="false"/>
    </xf>
    <xf numFmtId="164" fontId="50" fillId="2" borderId="1" xfId="0" applyFont="true" applyBorder="true" applyAlignment="true" applyProtection="true">
      <alignment horizontal="general" vertical="top" textRotation="0" wrapText="false" indent="0" shrinkToFit="false"/>
      <protection locked="true" hidden="false"/>
    </xf>
    <xf numFmtId="164" fontId="50" fillId="2" borderId="1" xfId="0" applyFont="true" applyBorder="true" applyAlignment="true" applyProtection="true">
      <alignment horizontal="general" vertical="top" textRotation="0" wrapText="true" indent="0" shrinkToFit="false"/>
      <protection locked="true" hidden="false"/>
    </xf>
    <xf numFmtId="164" fontId="50" fillId="2" borderId="1" xfId="0" applyFont="true" applyBorder="true" applyAlignment="true" applyProtection="true">
      <alignment horizontal="center" vertical="top" textRotation="0" wrapText="false" indent="0" shrinkToFit="false"/>
      <protection locked="true" hidden="false"/>
    </xf>
    <xf numFmtId="172" fontId="50" fillId="0" borderId="0" xfId="0" applyFont="true" applyBorder="false" applyAlignment="true" applyProtection="true">
      <alignment horizontal="general" vertical="top" textRotation="0" wrapText="true" indent="0" shrinkToFit="false"/>
      <protection locked="true" hidden="false"/>
    </xf>
    <xf numFmtId="164" fontId="52" fillId="0" borderId="0" xfId="0" applyFont="true" applyBorder="false" applyAlignment="true" applyProtection="true">
      <alignment horizontal="general" vertical="top" textRotation="0" wrapText="false" indent="0" shrinkToFit="false"/>
      <protection locked="true" hidden="false"/>
    </xf>
    <xf numFmtId="164" fontId="52" fillId="0" borderId="0" xfId="0" applyFont="true" applyBorder="false" applyAlignment="true" applyProtection="true">
      <alignment horizontal="center" vertical="top" textRotation="0" wrapText="false" indent="0" shrinkToFit="false"/>
      <protection locked="true" hidden="false"/>
    </xf>
    <xf numFmtId="170" fontId="52" fillId="0" borderId="0" xfId="15" applyFont="true" applyBorder="true" applyAlignment="true" applyProtection="true">
      <alignment horizontal="center" vertical="top" textRotation="0" wrapText="false" indent="0" shrinkToFit="false"/>
      <protection locked="true" hidden="false"/>
    </xf>
    <xf numFmtId="170" fontId="52" fillId="0" borderId="0" xfId="15" applyFont="true" applyBorder="true" applyAlignment="true" applyProtection="true">
      <alignment horizontal="general" vertical="top" textRotation="0" wrapText="false" indent="0" shrinkToFit="false"/>
      <protection locked="true" hidden="false"/>
    </xf>
    <xf numFmtId="164" fontId="55" fillId="14" borderId="1" xfId="0" applyFont="true" applyBorder="true" applyAlignment="true" applyProtection="true">
      <alignment horizontal="center" vertical="top" textRotation="0" wrapText="false" indent="0" shrinkToFit="false"/>
      <protection locked="true" hidden="false"/>
    </xf>
    <xf numFmtId="170" fontId="55" fillId="14" borderId="1" xfId="15" applyFont="true" applyBorder="true" applyAlignment="true" applyProtection="true">
      <alignment horizontal="center" vertical="top" textRotation="0" wrapText="false" indent="0" shrinkToFit="false"/>
      <protection locked="true" hidden="false"/>
    </xf>
    <xf numFmtId="164" fontId="55" fillId="0" borderId="0" xfId="0" applyFont="true" applyBorder="false" applyAlignment="true" applyProtection="true">
      <alignment horizontal="general" vertical="top" textRotation="0" wrapText="false" indent="0" shrinkToFit="false"/>
      <protection locked="true" hidden="false"/>
    </xf>
    <xf numFmtId="170" fontId="55" fillId="14" borderId="5" xfId="15" applyFont="true" applyBorder="true" applyAlignment="true" applyProtection="true">
      <alignment horizontal="center" vertical="top" textRotation="0" wrapText="false" indent="0" shrinkToFit="false"/>
      <protection locked="true" hidden="false"/>
    </xf>
    <xf numFmtId="164" fontId="55" fillId="8" borderId="1" xfId="0" applyFont="true" applyBorder="true" applyAlignment="true" applyProtection="true">
      <alignment horizontal="left" vertical="top" textRotation="0" wrapText="false" indent="0" shrinkToFit="false"/>
      <protection locked="true" hidden="false"/>
    </xf>
    <xf numFmtId="164" fontId="55" fillId="8" borderId="1" xfId="0" applyFont="true" applyBorder="true" applyAlignment="true" applyProtection="true">
      <alignment horizontal="center" vertical="top" textRotation="0" wrapText="false" indent="0" shrinkToFit="false"/>
      <protection locked="true" hidden="false"/>
    </xf>
    <xf numFmtId="170" fontId="55" fillId="8" borderId="1" xfId="15" applyFont="true" applyBorder="true" applyAlignment="true" applyProtection="true">
      <alignment horizontal="center" vertical="top" textRotation="0" wrapText="false" indent="0" shrinkToFit="false"/>
      <protection locked="true" hidden="false"/>
    </xf>
    <xf numFmtId="170" fontId="52" fillId="8" borderId="1" xfId="15" applyFont="true" applyBorder="true" applyAlignment="true" applyProtection="true">
      <alignment horizontal="center" vertical="top" textRotation="0" wrapText="false" indent="0" shrinkToFit="false"/>
      <protection locked="true" hidden="false"/>
    </xf>
    <xf numFmtId="164" fontId="52" fillId="21" borderId="1" xfId="0" applyFont="true" applyBorder="true" applyAlignment="true" applyProtection="true">
      <alignment horizontal="center" vertical="top" textRotation="0" wrapText="false" indent="0" shrinkToFit="false"/>
      <protection locked="true" hidden="false"/>
    </xf>
    <xf numFmtId="164" fontId="52" fillId="21" borderId="1" xfId="0" applyFont="true" applyBorder="true" applyAlignment="true" applyProtection="true">
      <alignment horizontal="center" vertical="top" textRotation="0" wrapText="true" indent="0" shrinkToFit="false"/>
      <protection locked="true" hidden="false"/>
    </xf>
    <xf numFmtId="170" fontId="52" fillId="4" borderId="1" xfId="0" applyFont="true" applyBorder="true" applyAlignment="true" applyProtection="true">
      <alignment horizontal="center" vertical="top" textRotation="0" wrapText="true" indent="0" shrinkToFit="false"/>
      <protection locked="true" hidden="false"/>
    </xf>
    <xf numFmtId="170" fontId="52" fillId="21" borderId="1" xfId="0" applyFont="true" applyBorder="true" applyAlignment="true" applyProtection="true">
      <alignment horizontal="center" vertical="top" textRotation="0" wrapText="true" indent="0" shrinkToFit="false"/>
      <protection locked="true" hidden="false"/>
    </xf>
    <xf numFmtId="170" fontId="52" fillId="4" borderId="1" xfId="15" applyFont="true" applyBorder="true" applyAlignment="true" applyProtection="true">
      <alignment horizontal="center" vertical="top" textRotation="0" wrapText="true" indent="0" shrinkToFit="false"/>
      <protection locked="true" hidden="false"/>
    </xf>
    <xf numFmtId="170" fontId="52" fillId="0" borderId="1" xfId="15" applyFont="true" applyBorder="true" applyAlignment="true" applyProtection="true">
      <alignment horizontal="general" vertical="top" textRotation="0" wrapText="false" indent="0" shrinkToFit="false"/>
      <protection locked="true" hidden="false"/>
    </xf>
    <xf numFmtId="170" fontId="52" fillId="21" borderId="1" xfId="15" applyFont="true" applyBorder="true" applyAlignment="true" applyProtection="true">
      <alignment horizontal="center" vertical="top" textRotation="0" wrapText="true" indent="0" shrinkToFit="false"/>
      <protection locked="true" hidden="false"/>
    </xf>
    <xf numFmtId="170" fontId="52" fillId="0" borderId="0" xfId="0" applyFont="true" applyBorder="false" applyAlignment="true" applyProtection="true">
      <alignment horizontal="general" vertical="top" textRotation="0" wrapText="false" indent="0" shrinkToFit="false"/>
      <protection locked="true" hidden="false"/>
    </xf>
    <xf numFmtId="164" fontId="52" fillId="0" borderId="1" xfId="0" applyFont="true" applyBorder="true" applyAlignment="true" applyProtection="true">
      <alignment horizontal="center" vertical="top" textRotation="0" wrapText="false" indent="0" shrinkToFit="false"/>
      <protection locked="true" hidden="false"/>
    </xf>
    <xf numFmtId="164" fontId="52" fillId="0" borderId="1" xfId="0" applyFont="true" applyBorder="true" applyAlignment="true" applyProtection="true">
      <alignment horizontal="general" vertical="top" textRotation="0" wrapText="true" indent="0" shrinkToFit="false"/>
      <protection locked="true" hidden="false"/>
    </xf>
    <xf numFmtId="170" fontId="52" fillId="2" borderId="1" xfId="15" applyFont="true" applyBorder="true" applyAlignment="true" applyProtection="true">
      <alignment horizontal="general" vertical="top" textRotation="0" wrapText="false" indent="0" shrinkToFit="false"/>
      <protection locked="true" hidden="false"/>
    </xf>
    <xf numFmtId="164" fontId="52" fillId="2" borderId="1" xfId="0" applyFont="true" applyBorder="true" applyAlignment="true" applyProtection="true">
      <alignment horizontal="general" vertical="top" textRotation="0" wrapText="false" indent="0" shrinkToFit="false"/>
      <protection locked="true" hidden="false"/>
    </xf>
    <xf numFmtId="164" fontId="52" fillId="2" borderId="1" xfId="0" applyFont="true" applyBorder="true" applyAlignment="true" applyProtection="true">
      <alignment horizontal="center" vertical="top" textRotation="0" wrapText="false" indent="0" shrinkToFit="false"/>
      <protection locked="true" hidden="false"/>
    </xf>
    <xf numFmtId="170" fontId="52" fillId="2" borderId="1" xfId="15" applyFont="true" applyBorder="true" applyAlignment="true" applyProtection="true">
      <alignment horizontal="center" vertical="top" textRotation="0" wrapText="false" indent="0" shrinkToFit="false"/>
      <protection locked="true" hidden="false"/>
    </xf>
    <xf numFmtId="164" fontId="50" fillId="0" borderId="0" xfId="0" applyFont="true" applyBorder="false" applyAlignment="true" applyProtection="true">
      <alignment horizontal="general" vertical="bottom" textRotation="0" wrapText="false" indent="0" shrinkToFit="false"/>
      <protection locked="true" hidden="false"/>
    </xf>
    <xf numFmtId="164" fontId="12" fillId="0" borderId="0" xfId="0" applyFont="true" applyBorder="false" applyAlignment="true" applyProtection="true">
      <alignment horizontal="general" vertical="bottom" textRotation="0" wrapText="false" indent="0" shrinkToFit="false"/>
      <protection locked="true" hidden="false"/>
    </xf>
    <xf numFmtId="164" fontId="12" fillId="0" borderId="1" xfId="0" applyFont="true" applyBorder="true" applyAlignment="true" applyProtection="true">
      <alignment horizontal="general" vertical="bottom" textRotation="0" wrapText="false" indent="0" shrinkToFit="false"/>
      <protection locked="true" hidden="false"/>
    </xf>
    <xf numFmtId="164" fontId="10" fillId="0" borderId="1" xfId="0" applyFont="true" applyBorder="true" applyAlignment="true" applyProtection="true">
      <alignment horizontal="general" vertical="bottom" textRotation="0" wrapText="false" indent="0" shrinkToFit="false"/>
      <protection locked="true" hidden="false"/>
    </xf>
    <xf numFmtId="164" fontId="12" fillId="2" borderId="1" xfId="0" applyFont="true" applyBorder="true" applyAlignment="true" applyProtection="true">
      <alignment horizontal="center" vertical="bottom" textRotation="0" wrapText="false" indent="0" shrinkToFit="false"/>
      <protection locked="true" hidden="false"/>
    </xf>
    <xf numFmtId="164" fontId="12" fillId="3" borderId="1" xfId="0" applyFont="true" applyBorder="true" applyAlignment="true" applyProtection="true">
      <alignment horizontal="center" vertical="bottom" textRotation="0" wrapText="false" indent="0" shrinkToFit="false"/>
      <protection locked="true" hidden="false"/>
    </xf>
    <xf numFmtId="164" fontId="12" fillId="8" borderId="1" xfId="0" applyFont="true" applyBorder="true" applyAlignment="true" applyProtection="true">
      <alignment horizontal="center" vertical="bottom" textRotation="0" wrapText="false" indent="0" shrinkToFit="false"/>
      <protection locked="true" hidden="false"/>
    </xf>
    <xf numFmtId="164" fontId="11" fillId="17" borderId="1" xfId="0" applyFont="true" applyBorder="true" applyAlignment="true" applyProtection="true">
      <alignment horizontal="center" vertical="center" textRotation="0" wrapText="false" indent="0" shrinkToFit="false"/>
      <protection locked="true" hidden="false"/>
    </xf>
    <xf numFmtId="164" fontId="11" fillId="17" borderId="1" xfId="0" applyFont="true" applyBorder="true" applyAlignment="true" applyProtection="true">
      <alignment horizontal="center" vertical="bottom" textRotation="0" wrapText="false" indent="0" shrinkToFit="false"/>
      <protection locked="true" hidden="false"/>
    </xf>
    <xf numFmtId="164" fontId="12" fillId="0" borderId="1" xfId="0" applyFont="true" applyBorder="true" applyAlignment="true" applyProtection="true">
      <alignment horizontal="center" vertical="bottom" textRotation="0" wrapText="false" indent="0" shrinkToFit="false"/>
      <protection locked="true" hidden="false"/>
    </xf>
    <xf numFmtId="164" fontId="12" fillId="0" borderId="1" xfId="0" applyFont="true" applyBorder="true" applyAlignment="true" applyProtection="true">
      <alignment horizontal="center" vertical="center" textRotation="0" wrapText="true" indent="0" shrinkToFit="false"/>
      <protection locked="true" hidden="false"/>
    </xf>
    <xf numFmtId="164" fontId="12" fillId="13" borderId="1" xfId="171" applyFont="true" applyBorder="true" applyAlignment="true" applyProtection="true">
      <alignment horizontal="center" vertical="top" textRotation="0" wrapText="false" indent="0" shrinkToFit="false"/>
      <protection locked="true" hidden="false"/>
    </xf>
    <xf numFmtId="164" fontId="12" fillId="12" borderId="1" xfId="171" applyFont="true" applyBorder="true" applyAlignment="true" applyProtection="true">
      <alignment horizontal="center" vertical="top" textRotation="0" wrapText="false" indent="0" shrinkToFit="false"/>
      <protection locked="true" hidden="false"/>
    </xf>
    <xf numFmtId="164" fontId="56" fillId="13" borderId="1" xfId="171" applyFont="true" applyBorder="true" applyAlignment="true" applyProtection="true">
      <alignment horizontal="center" vertical="top" textRotation="0" wrapText="false" indent="0" shrinkToFit="false"/>
      <protection locked="true" hidden="false"/>
    </xf>
    <xf numFmtId="164" fontId="56" fillId="12" borderId="1" xfId="171" applyFont="true" applyBorder="true" applyAlignment="true" applyProtection="true">
      <alignment horizontal="center" vertical="top" textRotation="0" wrapText="false" indent="0" shrinkToFit="false"/>
      <protection locked="true" hidden="false"/>
    </xf>
    <xf numFmtId="164" fontId="10" fillId="0" borderId="1" xfId="0" applyFont="true" applyBorder="true" applyAlignment="true" applyProtection="true">
      <alignment horizontal="center" vertical="bottom" textRotation="0" wrapText="false" indent="0" shrinkToFit="false"/>
      <protection locked="true" hidden="false"/>
    </xf>
    <xf numFmtId="164" fontId="10" fillId="0" borderId="1" xfId="171" applyFont="true" applyBorder="true" applyAlignment="true" applyProtection="true">
      <alignment horizontal="general" vertical="top" textRotation="0" wrapText="false" indent="0" shrinkToFit="false"/>
      <protection locked="true" hidden="false"/>
    </xf>
    <xf numFmtId="170" fontId="10" fillId="13" borderId="1" xfId="40" applyFont="true" applyBorder="true" applyAlignment="true" applyProtection="true">
      <alignment horizontal="general" vertical="top" textRotation="0" wrapText="false" indent="0" shrinkToFit="false"/>
      <protection locked="true" hidden="false"/>
    </xf>
    <xf numFmtId="170" fontId="10" fillId="12" borderId="1" xfId="40" applyFont="true" applyBorder="true" applyAlignment="true" applyProtection="true">
      <alignment horizontal="general" vertical="top" textRotation="0" wrapText="false" indent="0" shrinkToFit="false"/>
      <protection locked="true" hidden="false"/>
    </xf>
    <xf numFmtId="170" fontId="10" fillId="0" borderId="1" xfId="40" applyFont="true" applyBorder="true" applyAlignment="true" applyProtection="true">
      <alignment horizontal="general" vertical="top" textRotation="0" wrapText="false" indent="0" shrinkToFit="false"/>
      <protection locked="true" hidden="false"/>
    </xf>
    <xf numFmtId="164" fontId="50" fillId="17" borderId="1" xfId="0" applyFont="true" applyBorder="true" applyAlignment="true" applyProtection="true">
      <alignment horizontal="center" vertical="bottom" textRotation="0" wrapText="false" indent="0" shrinkToFit="false"/>
      <protection locked="true" hidden="false"/>
    </xf>
    <xf numFmtId="170" fontId="10" fillId="17" borderId="1" xfId="40" applyFont="true" applyBorder="true" applyAlignment="true" applyProtection="true">
      <alignment horizontal="general" vertical="top" textRotation="0" wrapText="false" indent="0" shrinkToFit="false"/>
      <protection locked="true" hidden="false"/>
    </xf>
    <xf numFmtId="170" fontId="12" fillId="13" borderId="1" xfId="40" applyFont="true" applyBorder="true" applyAlignment="true" applyProtection="true">
      <alignment horizontal="general" vertical="top" textRotation="0" wrapText="false" indent="0" shrinkToFit="false"/>
      <protection locked="true" hidden="false"/>
    </xf>
    <xf numFmtId="170" fontId="12" fillId="12" borderId="1" xfId="40" applyFont="true" applyBorder="true" applyAlignment="true" applyProtection="true">
      <alignment horizontal="general" vertical="top" textRotation="0" wrapText="false" indent="0" shrinkToFit="false"/>
      <protection locked="true" hidden="false"/>
    </xf>
    <xf numFmtId="170" fontId="12" fillId="0" borderId="1" xfId="40" applyFont="true" applyBorder="true" applyAlignment="true" applyProtection="true">
      <alignment horizontal="general" vertical="top" textRotation="0" wrapText="false" indent="0" shrinkToFit="false"/>
      <protection locked="true" hidden="false"/>
    </xf>
    <xf numFmtId="164" fontId="50" fillId="17" borderId="1" xfId="0" applyFont="true" applyBorder="true" applyAlignment="true" applyProtection="true">
      <alignment horizontal="general" vertical="bottom" textRotation="0" wrapText="false" indent="0" shrinkToFit="false"/>
      <protection locked="true" hidden="false"/>
    </xf>
    <xf numFmtId="170" fontId="12" fillId="17" borderId="1" xfId="40" applyFont="true" applyBorder="true" applyAlignment="true" applyProtection="true">
      <alignment horizontal="general" vertical="top" textRotation="0" wrapText="false" indent="0" shrinkToFit="false"/>
      <protection locked="true" hidden="false"/>
    </xf>
    <xf numFmtId="164" fontId="57" fillId="0" borderId="0" xfId="0" applyFont="true" applyBorder="false" applyAlignment="true" applyProtection="true">
      <alignment horizontal="general" vertical="bottom" textRotation="0" wrapText="false" indent="0" shrinkToFit="false"/>
      <protection locked="true" hidden="false"/>
    </xf>
    <xf numFmtId="164" fontId="50" fillId="0" borderId="1" xfId="0" applyFont="true" applyBorder="true" applyAlignment="true" applyProtection="true">
      <alignment horizontal="general" vertical="bottom" textRotation="0" wrapText="false" indent="0" shrinkToFit="false"/>
      <protection locked="true" hidden="false"/>
    </xf>
    <xf numFmtId="164" fontId="11" fillId="3" borderId="1" xfId="0" applyFont="true" applyBorder="true" applyAlignment="true" applyProtection="true">
      <alignment horizontal="center" vertical="bottom" textRotation="0" wrapText="false" indent="0" shrinkToFit="false"/>
      <protection locked="true" hidden="false"/>
    </xf>
    <xf numFmtId="164" fontId="11" fillId="8" borderId="1" xfId="0" applyFont="true" applyBorder="true" applyAlignment="true" applyProtection="true">
      <alignment horizontal="center" vertical="bottom" textRotation="0" wrapText="false" indent="0" shrinkToFit="false"/>
      <protection locked="true" hidden="false"/>
    </xf>
    <xf numFmtId="164" fontId="12" fillId="13" borderId="1" xfId="0" applyFont="true" applyBorder="true" applyAlignment="true" applyProtection="true">
      <alignment horizontal="center" vertical="bottom" textRotation="0" wrapText="false" indent="0" shrinkToFit="false"/>
      <protection locked="true" hidden="false"/>
    </xf>
    <xf numFmtId="164" fontId="12" fillId="12" borderId="1" xfId="0" applyFont="true" applyBorder="true" applyAlignment="true" applyProtection="true">
      <alignment horizontal="center" vertical="bottom" textRotation="0" wrapText="false" indent="0" shrinkToFit="false"/>
      <protection locked="true" hidden="false"/>
    </xf>
    <xf numFmtId="164" fontId="50" fillId="17" borderId="1" xfId="0" applyFont="true" applyBorder="true" applyAlignment="true" applyProtection="true">
      <alignment horizontal="right" vertical="bottom" textRotation="0" wrapText="false" indent="0" shrinkToFit="false"/>
      <protection locked="true" hidden="false"/>
    </xf>
    <xf numFmtId="164" fontId="58" fillId="0" borderId="1" xfId="0" applyFont="true" applyBorder="true" applyAlignment="true" applyProtection="true">
      <alignment horizontal="general" vertical="bottom" textRotation="0" wrapText="false" indent="0" shrinkToFit="false"/>
      <protection locked="true" hidden="false"/>
    </xf>
    <xf numFmtId="172" fontId="10" fillId="0" borderId="1" xfId="0" applyFont="true" applyBorder="true" applyAlignment="true" applyProtection="true">
      <alignment horizontal="general" vertical="bottom" textRotation="0" wrapText="false" indent="0" shrinkToFit="false"/>
      <protection locked="true" hidden="false"/>
    </xf>
    <xf numFmtId="164" fontId="11" fillId="17" borderId="1" xfId="0" applyFont="true" applyBorder="true" applyAlignment="true" applyProtection="true">
      <alignment horizontal="right" vertical="bottom" textRotation="0" wrapText="false" indent="0" shrinkToFit="false"/>
      <protection locked="true" hidden="false"/>
    </xf>
    <xf numFmtId="171" fontId="10" fillId="17" borderId="1" xfId="19" applyFont="true" applyBorder="true" applyAlignment="true" applyProtection="true">
      <alignment horizontal="general" vertical="top" textRotation="0" wrapText="false" indent="0" shrinkToFit="false"/>
      <protection locked="true" hidden="false"/>
    </xf>
    <xf numFmtId="172" fontId="12" fillId="0" borderId="1" xfId="0" applyFont="true" applyBorder="true" applyAlignment="true" applyProtection="true">
      <alignment horizontal="general" vertical="bottom" textRotation="0" wrapText="false" indent="0" shrinkToFit="false"/>
      <protection locked="true" hidden="false"/>
    </xf>
    <xf numFmtId="164" fontId="50" fillId="0" borderId="0" xfId="0" applyFont="true" applyBorder="false" applyAlignment="true" applyProtection="true">
      <alignment horizontal="right" vertical="bottom" textRotation="0" wrapText="false" indent="0" shrinkToFit="false"/>
      <protection locked="true" hidden="false"/>
    </xf>
    <xf numFmtId="164" fontId="11" fillId="0" borderId="1" xfId="0" applyFont="true" applyBorder="true" applyAlignment="true" applyProtection="true">
      <alignment horizontal="center" vertical="bottom" textRotation="0" wrapText="false" indent="0" shrinkToFit="false"/>
      <protection locked="true" hidden="false"/>
    </xf>
    <xf numFmtId="164" fontId="12" fillId="0" borderId="1" xfId="171" applyFont="true" applyBorder="true" applyAlignment="true" applyProtection="true">
      <alignment horizontal="center" vertical="top" textRotation="0" wrapText="false" indent="0" shrinkToFit="false"/>
      <protection locked="true" hidden="false"/>
    </xf>
    <xf numFmtId="164" fontId="12" fillId="0" borderId="0" xfId="0" applyFont="true" applyBorder="false" applyAlignment="true" applyProtection="true">
      <alignment horizontal="center" vertical="bottom" textRotation="0" wrapText="false" indent="0" shrinkToFit="false"/>
      <protection locked="true" hidden="false"/>
    </xf>
    <xf numFmtId="170" fontId="12" fillId="0" borderId="0" xfId="40" applyFont="true" applyBorder="true" applyAlignment="true" applyProtection="true">
      <alignment horizontal="general" vertical="top" textRotation="0" wrapText="false" indent="0" shrinkToFit="false"/>
      <protection locked="true" hidden="false"/>
    </xf>
    <xf numFmtId="170" fontId="50" fillId="0" borderId="0" xfId="0" applyFont="true" applyBorder="false" applyAlignment="true" applyProtection="true">
      <alignment horizontal="general" vertical="bottom" textRotation="0" wrapText="false" indent="0" shrinkToFit="false"/>
      <protection locked="true" hidden="false"/>
    </xf>
    <xf numFmtId="164" fontId="12" fillId="0" borderId="1" xfId="0" applyFont="true" applyBorder="true" applyAlignment="true" applyProtection="true">
      <alignment horizontal="center" vertical="top" textRotation="0" wrapText="false" indent="0" shrinkToFit="false"/>
      <protection locked="true" hidden="false"/>
    </xf>
    <xf numFmtId="164" fontId="12" fillId="0" borderId="1" xfId="0" applyFont="true" applyBorder="true" applyAlignment="true" applyProtection="true">
      <alignment horizontal="center" vertical="top" textRotation="0" wrapText="true" indent="0" shrinkToFit="false"/>
      <protection locked="true" hidden="false"/>
    </xf>
    <xf numFmtId="164" fontId="10" fillId="0" borderId="1" xfId="0" applyFont="true" applyBorder="true" applyAlignment="true" applyProtection="true">
      <alignment horizontal="center" vertical="top" textRotation="0" wrapText="false" indent="0" shrinkToFit="false"/>
      <protection locked="true" hidden="false"/>
    </xf>
    <xf numFmtId="164" fontId="10" fillId="0" borderId="1" xfId="0" applyFont="true" applyBorder="true" applyAlignment="true" applyProtection="true">
      <alignment horizontal="general" vertical="top" textRotation="0" wrapText="true" indent="0" shrinkToFit="false"/>
      <protection locked="true" hidden="false"/>
    </xf>
    <xf numFmtId="164" fontId="10" fillId="0" borderId="1" xfId="0" applyFont="true" applyBorder="true" applyAlignment="true" applyProtection="true">
      <alignment horizontal="right" vertical="top" textRotation="0" wrapText="false" indent="0" shrinkToFit="false"/>
      <protection locked="true" hidden="false"/>
    </xf>
    <xf numFmtId="170" fontId="10" fillId="0" borderId="1" xfId="0" applyFont="true" applyBorder="true" applyAlignment="true" applyProtection="true">
      <alignment horizontal="right" vertical="top" textRotation="0" wrapText="false" indent="0" shrinkToFit="false"/>
      <protection locked="true" hidden="false"/>
    </xf>
    <xf numFmtId="164" fontId="10" fillId="0" borderId="1" xfId="0" applyFont="true" applyBorder="true" applyAlignment="true" applyProtection="true">
      <alignment horizontal="general" vertical="top" textRotation="0" wrapText="false" indent="0" shrinkToFit="false"/>
      <protection locked="true" hidden="false"/>
    </xf>
    <xf numFmtId="170" fontId="12" fillId="0" borderId="1" xfId="0" applyFont="true" applyBorder="true" applyAlignment="true" applyProtection="true">
      <alignment horizontal="right" vertical="top" textRotation="0" wrapText="false" indent="0" shrinkToFit="false"/>
      <protection locked="true" hidden="false"/>
    </xf>
    <xf numFmtId="164" fontId="59" fillId="24" borderId="1" xfId="0" applyFont="true" applyBorder="true" applyAlignment="true" applyProtection="true">
      <alignment horizontal="general" vertical="bottom" textRotation="0" wrapText="false" indent="0" shrinkToFit="false"/>
      <protection locked="true" hidden="false"/>
    </xf>
    <xf numFmtId="164" fontId="59" fillId="24" borderId="1" xfId="0" applyFont="true" applyBorder="true" applyAlignment="true" applyProtection="true">
      <alignment horizontal="center" vertical="bottom" textRotation="0" wrapText="false" indent="0" shrinkToFit="false"/>
      <protection locked="true" hidden="false"/>
    </xf>
    <xf numFmtId="164" fontId="59" fillId="0" borderId="1" xfId="0" applyFont="true" applyBorder="true" applyAlignment="true" applyProtection="true">
      <alignment horizontal="general" vertical="top" textRotation="0" wrapText="true" indent="0" shrinkToFit="false"/>
      <protection locked="true" hidden="false"/>
    </xf>
    <xf numFmtId="172" fontId="59" fillId="0" borderId="1" xfId="0" applyFont="true" applyBorder="true" applyAlignment="true" applyProtection="true">
      <alignment horizontal="general" vertical="top" textRotation="0" wrapText="true" indent="0" shrinkToFit="false"/>
      <protection locked="true" hidden="false"/>
    </xf>
    <xf numFmtId="164" fontId="59" fillId="0" borderId="1" xfId="0" applyFont="true" applyBorder="true" applyAlignment="true" applyProtection="true">
      <alignment horizontal="general" vertical="top" textRotation="0" wrapText="false" indent="0" shrinkToFit="false"/>
      <protection locked="true" hidden="false"/>
    </xf>
    <xf numFmtId="164" fontId="0" fillId="0" borderId="0" xfId="0" applyFont="true" applyBorder="false" applyAlignment="true" applyProtection="true">
      <alignment horizontal="general" vertical="top" textRotation="0" wrapText="false" indent="0" shrinkToFit="false"/>
      <protection locked="true" hidden="false"/>
    </xf>
    <xf numFmtId="164" fontId="0" fillId="0" borderId="0" xfId="0" applyFont="false" applyBorder="false" applyAlignment="true" applyProtection="true">
      <alignment horizontal="general" vertical="top" textRotation="0" wrapText="false" indent="0" shrinkToFit="false"/>
      <protection locked="true" hidden="false"/>
    </xf>
    <xf numFmtId="172" fontId="59" fillId="0" borderId="1" xfId="0" applyFont="true" applyBorder="true" applyAlignment="true" applyProtection="true">
      <alignment horizontal="general" vertical="top" textRotation="0" wrapText="false" indent="0" shrinkToFit="false"/>
      <protection locked="true" hidden="false"/>
    </xf>
    <xf numFmtId="172" fontId="59" fillId="0" borderId="4" xfId="0" applyFont="true" applyBorder="true" applyAlignment="true" applyProtection="true">
      <alignment horizontal="general" vertical="top" textRotation="0" wrapText="false" indent="0" shrinkToFit="false"/>
      <protection locked="true" hidden="false"/>
    </xf>
    <xf numFmtId="164" fontId="59" fillId="0" borderId="1" xfId="0" applyFont="true" applyBorder="true" applyAlignment="true" applyProtection="true">
      <alignment horizontal="general" vertical="bottom" textRotation="0" wrapText="false" indent="0" shrinkToFit="false"/>
      <protection locked="true" hidden="false"/>
    </xf>
    <xf numFmtId="164" fontId="59" fillId="0" borderId="0" xfId="0" applyFont="true" applyBorder="false" applyAlignment="true" applyProtection="true">
      <alignment horizontal="general" vertical="top" textRotation="0" wrapText="false" indent="0" shrinkToFit="false"/>
      <protection locked="true" hidden="false"/>
    </xf>
    <xf numFmtId="164" fontId="59" fillId="0" borderId="0" xfId="0" applyFont="true" applyBorder="false" applyAlignment="true" applyProtection="true">
      <alignment horizontal="general" vertical="top" textRotation="0" wrapText="true" indent="0" shrinkToFit="false"/>
      <protection locked="true" hidden="false"/>
    </xf>
    <xf numFmtId="172" fontId="59" fillId="0" borderId="0" xfId="0" applyFont="true" applyBorder="false" applyAlignment="true" applyProtection="true">
      <alignment horizontal="general" vertical="top" textRotation="0" wrapText="false" indent="0" shrinkToFit="false"/>
      <protection locked="true" hidden="false"/>
    </xf>
    <xf numFmtId="172" fontId="0" fillId="0" borderId="0" xfId="0" applyFont="true" applyBorder="false" applyAlignment="true" applyProtection="true">
      <alignment horizontal="general" vertical="top" textRotation="0" wrapText="false" indent="0" shrinkToFit="false"/>
      <protection locked="true" hidden="false"/>
    </xf>
    <xf numFmtId="164" fontId="59" fillId="6" borderId="1" xfId="0" applyFont="true" applyBorder="true" applyAlignment="true" applyProtection="true">
      <alignment horizontal="general" vertical="bottom" textRotation="0" wrapText="false" indent="0" shrinkToFit="false"/>
      <protection locked="true" hidden="false"/>
    </xf>
    <xf numFmtId="172" fontId="59" fillId="13" borderId="1" xfId="0" applyFont="true" applyBorder="true" applyAlignment="true" applyProtection="true">
      <alignment horizontal="general" vertical="top" textRotation="0" wrapText="false" indent="0" shrinkToFit="false"/>
      <protection locked="true" hidden="false"/>
    </xf>
    <xf numFmtId="164" fontId="60" fillId="0" borderId="1" xfId="0" applyFont="true" applyBorder="true" applyAlignment="true" applyProtection="true">
      <alignment horizontal="general" vertical="top" textRotation="0" wrapText="false" indent="0" shrinkToFit="false"/>
      <protection locked="true" hidden="false"/>
    </xf>
    <xf numFmtId="164" fontId="60" fillId="0" borderId="1" xfId="0" applyFont="true" applyBorder="true" applyAlignment="true" applyProtection="true">
      <alignment horizontal="general" vertical="top" textRotation="0" wrapText="true" indent="0" shrinkToFit="false"/>
      <protection locked="true" hidden="false"/>
    </xf>
    <xf numFmtId="172" fontId="60" fillId="12" borderId="1" xfId="0" applyFont="true" applyBorder="true" applyAlignment="true" applyProtection="true">
      <alignment horizontal="general" vertical="top" textRotation="0" wrapText="false" indent="0" shrinkToFit="false"/>
      <protection locked="true" hidden="false"/>
    </xf>
    <xf numFmtId="172" fontId="60" fillId="0" borderId="1" xfId="0" applyFont="true" applyBorder="true" applyAlignment="true" applyProtection="true">
      <alignment horizontal="general" vertical="top" textRotation="0" wrapText="false" indent="0" shrinkToFit="false"/>
      <protection locked="true" hidden="false"/>
    </xf>
    <xf numFmtId="172" fontId="60" fillId="13" borderId="1" xfId="0" applyFont="true" applyBorder="true" applyAlignment="true" applyProtection="true">
      <alignment horizontal="general" vertical="top" textRotation="0" wrapText="false" indent="0" shrinkToFit="false"/>
      <protection locked="true" hidden="false"/>
    </xf>
    <xf numFmtId="164" fontId="61" fillId="0" borderId="0" xfId="0" applyFont="true" applyBorder="false" applyAlignment="true" applyProtection="true">
      <alignment horizontal="general" vertical="bottom" textRotation="0" wrapText="false" indent="0" shrinkToFit="false"/>
      <protection locked="true" hidden="false"/>
    </xf>
    <xf numFmtId="172" fontId="59" fillId="13" borderId="1" xfId="0" applyFont="true" applyBorder="true" applyAlignment="true" applyProtection="true">
      <alignment horizontal="general" vertical="top" textRotation="0" wrapText="true" indent="0" shrinkToFit="false"/>
      <protection locked="true" hidden="false"/>
    </xf>
    <xf numFmtId="164" fontId="60" fillId="2" borderId="1" xfId="0" applyFont="true" applyBorder="true" applyAlignment="true" applyProtection="true">
      <alignment horizontal="general" vertical="top" textRotation="0" wrapText="true" indent="0" shrinkToFit="false"/>
      <protection locked="true" hidden="false"/>
    </xf>
    <xf numFmtId="172" fontId="60" fillId="2" borderId="1" xfId="0" applyFont="true" applyBorder="true" applyAlignment="true" applyProtection="true">
      <alignment horizontal="general" vertical="top" textRotation="0" wrapText="true" indent="0" shrinkToFit="false"/>
      <protection locked="true" hidden="false"/>
    </xf>
    <xf numFmtId="164" fontId="60" fillId="2" borderId="1" xfId="0" applyFont="true" applyBorder="true" applyAlignment="true" applyProtection="true">
      <alignment horizontal="general" vertical="top" textRotation="0" wrapText="false" indent="0" shrinkToFit="false"/>
      <protection locked="true" hidden="false"/>
    </xf>
    <xf numFmtId="164" fontId="9" fillId="14" borderId="1" xfId="0" applyFont="true" applyBorder="true" applyAlignment="true" applyProtection="true">
      <alignment horizontal="center" vertical="bottom" textRotation="0" wrapText="false" indent="0" shrinkToFit="false"/>
      <protection locked="true" hidden="false"/>
    </xf>
    <xf numFmtId="172" fontId="18" fillId="14" borderId="1" xfId="0" applyFont="true" applyBorder="true" applyAlignment="true" applyProtection="true">
      <alignment horizontal="center" vertical="bottom" textRotation="0" wrapText="false" indent="0" shrinkToFit="false"/>
      <protection locked="true" hidden="false"/>
    </xf>
    <xf numFmtId="176" fontId="18" fillId="8" borderId="1" xfId="0" applyFont="true" applyBorder="true" applyAlignment="true" applyProtection="true">
      <alignment horizontal="right" vertical="bottom" textRotation="0" wrapText="false" indent="0" shrinkToFit="false"/>
      <protection locked="true" hidden="false"/>
    </xf>
    <xf numFmtId="172" fontId="18" fillId="8" borderId="1" xfId="0" applyFont="true" applyBorder="true" applyAlignment="true" applyProtection="true">
      <alignment horizontal="general" vertical="bottom" textRotation="0" wrapText="false" indent="0" shrinkToFit="false"/>
      <protection locked="true" hidden="false"/>
    </xf>
    <xf numFmtId="176" fontId="18" fillId="17" borderId="1" xfId="0" applyFont="true" applyBorder="true" applyAlignment="true" applyProtection="true">
      <alignment horizontal="right" vertical="bottom" textRotation="0" wrapText="false" indent="0" shrinkToFit="false"/>
      <protection locked="true" hidden="false"/>
    </xf>
    <xf numFmtId="172" fontId="18" fillId="17" borderId="1" xfId="0" applyFont="true" applyBorder="true" applyAlignment="true" applyProtection="true">
      <alignment horizontal="general" vertical="bottom" textRotation="0" wrapText="false" indent="0" shrinkToFit="false"/>
      <protection locked="true" hidden="false"/>
    </xf>
    <xf numFmtId="164" fontId="18" fillId="14" borderId="1" xfId="0" applyFont="true" applyBorder="true" applyAlignment="true" applyProtection="true">
      <alignment horizontal="right" vertical="bottom" textRotation="0" wrapText="false" indent="0" shrinkToFit="false"/>
      <protection locked="true" hidden="false"/>
    </xf>
    <xf numFmtId="172" fontId="18" fillId="14" borderId="1" xfId="0" applyFont="true" applyBorder="true" applyAlignment="true" applyProtection="true">
      <alignment horizontal="general" vertical="bottom" textRotation="0" wrapText="false" indent="0" shrinkToFit="false"/>
      <protection locked="true" hidden="false"/>
    </xf>
    <xf numFmtId="164" fontId="18" fillId="14" borderId="4" xfId="0" applyFont="true" applyBorder="true" applyAlignment="true" applyProtection="true">
      <alignment horizontal="center" vertical="bottom" textRotation="0" wrapText="false" indent="0" shrinkToFit="false"/>
      <protection locked="true" hidden="false"/>
    </xf>
    <xf numFmtId="164" fontId="0" fillId="0" borderId="1" xfId="0" applyFont="true" applyBorder="true" applyAlignment="true" applyProtection="true">
      <alignment horizontal="general" vertical="bottom" textRotation="0" wrapText="false" indent="0" shrinkToFit="false"/>
      <protection locked="true" hidden="false"/>
    </xf>
    <xf numFmtId="164" fontId="9" fillId="17" borderId="1" xfId="0" applyFont="true" applyBorder="true" applyAlignment="true" applyProtection="true">
      <alignment horizontal="center" vertical="bottom" textRotation="0" wrapText="false" indent="0" shrinkToFit="false"/>
      <protection locked="true" hidden="false"/>
    </xf>
    <xf numFmtId="172" fontId="9" fillId="17" borderId="1" xfId="0" applyFont="true" applyBorder="true" applyAlignment="true" applyProtection="true">
      <alignment horizontal="center" vertical="bottom" textRotation="0" wrapText="false" indent="0" shrinkToFit="false"/>
      <protection locked="true" hidden="false"/>
    </xf>
    <xf numFmtId="172" fontId="9" fillId="14" borderId="1" xfId="0" applyFont="true" applyBorder="true" applyAlignment="true" applyProtection="true">
      <alignment horizontal="center" vertical="bottom" textRotation="0" wrapText="false" indent="0" shrinkToFit="false"/>
      <protection locked="true" hidden="false"/>
    </xf>
    <xf numFmtId="176" fontId="9" fillId="8" borderId="1" xfId="0" applyFont="true" applyBorder="true" applyAlignment="true" applyProtection="true">
      <alignment horizontal="right" vertical="bottom" textRotation="0" wrapText="false" indent="0" shrinkToFit="false"/>
      <protection locked="true" hidden="false"/>
    </xf>
    <xf numFmtId="172" fontId="9" fillId="8" borderId="1" xfId="0" applyFont="true" applyBorder="true" applyAlignment="true" applyProtection="true">
      <alignment horizontal="general" vertical="bottom" textRotation="0" wrapText="false" indent="0" shrinkToFit="false"/>
      <protection locked="true" hidden="false"/>
    </xf>
    <xf numFmtId="176" fontId="9" fillId="17" borderId="1" xfId="0" applyFont="true" applyBorder="true" applyAlignment="true" applyProtection="true">
      <alignment horizontal="right" vertical="bottom" textRotation="0" wrapText="false" indent="0" shrinkToFit="false"/>
      <protection locked="true" hidden="false"/>
    </xf>
    <xf numFmtId="172" fontId="9" fillId="17" borderId="1" xfId="0" applyFont="true" applyBorder="true" applyAlignment="true" applyProtection="true">
      <alignment horizontal="general" vertical="bottom" textRotation="0" wrapText="false" indent="0" shrinkToFit="false"/>
      <protection locked="true" hidden="false"/>
    </xf>
    <xf numFmtId="164" fontId="9" fillId="14" borderId="1" xfId="0" applyFont="true" applyBorder="true" applyAlignment="true" applyProtection="true">
      <alignment horizontal="right" vertical="bottom" textRotation="0" wrapText="false" indent="0" shrinkToFit="false"/>
      <protection locked="true" hidden="false"/>
    </xf>
    <xf numFmtId="172" fontId="9" fillId="14" borderId="1" xfId="0" applyFont="true" applyBorder="true" applyAlignment="true" applyProtection="true">
      <alignment horizontal="general" vertical="bottom" textRotation="0" wrapText="false" indent="0" shrinkToFit="false"/>
      <protection locked="true" hidden="false"/>
    </xf>
    <xf numFmtId="164" fontId="0" fillId="0" borderId="1" xfId="0" applyFont="false" applyBorder="true" applyAlignment="true" applyProtection="true">
      <alignment horizontal="general" vertical="bottom" textRotation="0" wrapText="false" indent="0" shrinkToFit="false"/>
      <protection locked="true" hidden="false"/>
    </xf>
    <xf numFmtId="172" fontId="0" fillId="0" borderId="1" xfId="0" applyFont="false" applyBorder="true" applyAlignment="true" applyProtection="true">
      <alignment horizontal="general" vertical="bottom" textRotation="0" wrapText="false" indent="0" shrinkToFit="false"/>
      <protection locked="true" hidden="false"/>
    </xf>
    <xf numFmtId="176" fontId="0" fillId="0" borderId="1" xfId="0" applyFont="false" applyBorder="true" applyAlignment="true" applyProtection="true">
      <alignment horizontal="general" vertical="bottom" textRotation="0" wrapText="false" indent="0" shrinkToFit="false"/>
      <protection locked="true" hidden="false"/>
    </xf>
    <xf numFmtId="164" fontId="62" fillId="0" borderId="0" xfId="0" applyFont="true" applyBorder="false" applyAlignment="true" applyProtection="true">
      <alignment horizontal="general" vertical="bottom" textRotation="0" wrapText="false" indent="0" shrinkToFit="false"/>
      <protection locked="true" hidden="false"/>
    </xf>
    <xf numFmtId="176" fontId="0" fillId="0" borderId="0" xfId="0" applyFont="false" applyBorder="false" applyAlignment="true" applyProtection="true">
      <alignment horizontal="general" vertical="bottom" textRotation="0" wrapText="false" indent="0" shrinkToFit="false"/>
      <protection locked="true" hidden="false"/>
    </xf>
    <xf numFmtId="176" fontId="9" fillId="14" borderId="1" xfId="0" applyFont="true" applyBorder="true" applyAlignment="true" applyProtection="true">
      <alignment horizontal="center" vertical="bottom" textRotation="0" wrapText="false" indent="0" shrinkToFit="false"/>
      <protection locked="true" hidden="false"/>
    </xf>
    <xf numFmtId="164" fontId="0" fillId="0" borderId="1" xfId="0" applyFont="true" applyBorder="true" applyAlignment="true" applyProtection="true">
      <alignment horizontal="right" vertical="bottom" textRotation="0" wrapText="false" indent="0" shrinkToFit="false"/>
      <protection locked="true" hidden="false"/>
    </xf>
    <xf numFmtId="164" fontId="0" fillId="0" borderId="1" xfId="0" applyFont="true" applyBorder="true" applyAlignment="true" applyProtection="true">
      <alignment horizontal="center" vertical="bottom" textRotation="0" wrapText="false" indent="0" shrinkToFit="false"/>
      <protection locked="true" hidden="false"/>
    </xf>
    <xf numFmtId="176" fontId="0" fillId="0" borderId="1" xfId="0" applyFont="true" applyBorder="true" applyAlignment="true" applyProtection="true">
      <alignment horizontal="general" vertical="bottom" textRotation="0" wrapText="false" indent="0" shrinkToFit="false"/>
      <protection locked="true" hidden="false"/>
    </xf>
    <xf numFmtId="164" fontId="12" fillId="14" borderId="1" xfId="0" applyFont="true" applyBorder="true" applyAlignment="true" applyProtection="true">
      <alignment horizontal="center" vertical="bottom" textRotation="0" wrapText="false" indent="0" shrinkToFit="false"/>
      <protection locked="true" hidden="false"/>
    </xf>
    <xf numFmtId="164" fontId="12" fillId="0" borderId="3" xfId="0" applyFont="true" applyBorder="true" applyAlignment="true" applyProtection="true">
      <alignment horizontal="center" vertical="bottom" textRotation="0" wrapText="false" indent="0" shrinkToFit="false"/>
      <protection locked="true" hidden="false"/>
    </xf>
    <xf numFmtId="170" fontId="12" fillId="0" borderId="4" xfId="0" applyFont="true" applyBorder="true" applyAlignment="true" applyProtection="true">
      <alignment horizontal="general" vertical="bottom" textRotation="0" wrapText="false" indent="0" shrinkToFit="false"/>
      <protection locked="true" hidden="false"/>
    </xf>
    <xf numFmtId="164" fontId="12" fillId="14" borderId="3" xfId="0" applyFont="true" applyBorder="true" applyAlignment="true" applyProtection="true">
      <alignment horizontal="center" vertical="bottom" textRotation="0" wrapText="false" indent="0" shrinkToFit="false"/>
      <protection locked="true" hidden="false"/>
    </xf>
    <xf numFmtId="164" fontId="12" fillId="12" borderId="3" xfId="0" applyFont="true" applyBorder="true" applyAlignment="true" applyProtection="true">
      <alignment horizontal="center" vertical="bottom" textRotation="0" wrapText="false" indent="0" shrinkToFit="false"/>
      <protection locked="true" hidden="false"/>
    </xf>
    <xf numFmtId="164" fontId="56" fillId="0" borderId="1" xfId="171" applyFont="true" applyBorder="true" applyAlignment="true" applyProtection="true">
      <alignment horizontal="center" vertical="top" textRotation="0" wrapText="false" indent="0" shrinkToFit="false"/>
      <protection locked="true" hidden="false"/>
    </xf>
    <xf numFmtId="170" fontId="10" fillId="14" borderId="1" xfId="40" applyFont="true" applyBorder="true" applyAlignment="true" applyProtection="true">
      <alignment horizontal="general" vertical="top" textRotation="0" wrapText="false" indent="0" shrinkToFit="false"/>
      <protection locked="true" hidden="false"/>
    </xf>
    <xf numFmtId="170" fontId="12" fillId="14" borderId="1" xfId="0" applyFont="true" applyBorder="true" applyAlignment="true" applyProtection="true">
      <alignment horizontal="center" vertical="bottom" textRotation="0" wrapText="false" indent="0" shrinkToFit="false"/>
      <protection locked="true" hidden="false"/>
    </xf>
    <xf numFmtId="170" fontId="12" fillId="12" borderId="1" xfId="0" applyFont="true" applyBorder="true" applyAlignment="true" applyProtection="true">
      <alignment horizontal="center" vertical="bottom" textRotation="0" wrapText="false" indent="0" shrinkToFit="false"/>
      <protection locked="true" hidden="false"/>
    </xf>
    <xf numFmtId="164" fontId="12" fillId="0" borderId="3" xfId="0" applyFont="true" applyBorder="true" applyAlignment="true" applyProtection="true">
      <alignment horizontal="general" vertical="bottom" textRotation="0" wrapText="false" indent="0" shrinkToFit="false"/>
      <protection locked="true" hidden="false"/>
    </xf>
    <xf numFmtId="164" fontId="12" fillId="0" borderId="6" xfId="0" applyFont="true" applyBorder="true" applyAlignment="true" applyProtection="true">
      <alignment horizontal="general" vertical="bottom" textRotation="0" wrapText="false" indent="0" shrinkToFit="false"/>
      <protection locked="true" hidden="false"/>
    </xf>
    <xf numFmtId="164" fontId="12" fillId="0" borderId="4" xfId="0" applyFont="true" applyBorder="true" applyAlignment="true" applyProtection="true">
      <alignment horizontal="general" vertical="bottom" textRotation="0" wrapText="false" indent="0" shrinkToFit="false"/>
      <protection locked="true" hidden="false"/>
    </xf>
    <xf numFmtId="164" fontId="50" fillId="0" borderId="0" xfId="0" applyFont="true" applyBorder="false" applyAlignment="true" applyProtection="true">
      <alignment horizontal="center" vertical="bottom" textRotation="0" wrapText="false" indent="0" shrinkToFit="false"/>
      <protection locked="true" hidden="false"/>
    </xf>
    <xf numFmtId="170" fontId="11" fillId="0" borderId="0" xfId="0" applyFont="true" applyBorder="false" applyAlignment="true" applyProtection="true">
      <alignment horizontal="general" vertical="bottom" textRotation="0" wrapText="false" indent="0" shrinkToFit="false"/>
      <protection locked="true" hidden="false"/>
    </xf>
    <xf numFmtId="164" fontId="63" fillId="0" borderId="0" xfId="0" applyFont="true" applyBorder="false" applyAlignment="true" applyProtection="true">
      <alignment horizontal="general" vertical="bottom" textRotation="0" wrapText="false" indent="0" shrinkToFit="false"/>
      <protection locked="true" hidden="false"/>
    </xf>
    <xf numFmtId="172" fontId="50" fillId="0" borderId="0" xfId="0" applyFont="true" applyBorder="false" applyAlignment="true" applyProtection="true">
      <alignment horizontal="general" vertical="bottom" textRotation="0" wrapText="false" indent="0" shrinkToFit="false"/>
      <protection locked="true" hidden="false"/>
    </xf>
    <xf numFmtId="177" fontId="0" fillId="0" borderId="0" xfId="0" applyFont="false" applyBorder="false" applyAlignment="true" applyProtection="true">
      <alignment horizontal="general" vertical="bottom" textRotation="0" wrapText="false" indent="0" shrinkToFit="false"/>
      <protection locked="true" hidden="false"/>
    </xf>
    <xf numFmtId="164" fontId="9" fillId="12" borderId="1" xfId="0" applyFont="true" applyBorder="true" applyAlignment="true" applyProtection="true">
      <alignment horizontal="center" vertical="bottom" textRotation="0" wrapText="false" indent="0" shrinkToFit="false"/>
      <protection locked="true" hidden="false"/>
    </xf>
    <xf numFmtId="177" fontId="9" fillId="12" borderId="1" xfId="0" applyFont="true" applyBorder="true" applyAlignment="true" applyProtection="true">
      <alignment horizontal="center" vertical="bottom" textRotation="0" wrapText="false" indent="0" shrinkToFit="false"/>
      <protection locked="true" hidden="false"/>
    </xf>
    <xf numFmtId="177" fontId="0" fillId="0" borderId="1" xfId="0" applyFont="false" applyBorder="true" applyAlignment="true" applyProtection="true">
      <alignment horizontal="general" vertical="bottom" textRotation="0" wrapText="false" indent="0" shrinkToFit="false"/>
      <protection locked="true" hidden="false"/>
    </xf>
    <xf numFmtId="164" fontId="11" fillId="9" borderId="0" xfId="0" applyFont="true" applyBorder="false" applyAlignment="true" applyProtection="true">
      <alignment horizontal="general" vertical="top" textRotation="0" wrapText="false" indent="0" shrinkToFit="false"/>
      <protection locked="true" hidden="false"/>
    </xf>
    <xf numFmtId="164" fontId="50" fillId="9" borderId="0" xfId="0" applyFont="true" applyBorder="false" applyAlignment="true" applyProtection="true">
      <alignment horizontal="general" vertical="top" textRotation="0" wrapText="false" indent="0" shrinkToFit="false"/>
      <protection locked="true" hidden="false"/>
    </xf>
    <xf numFmtId="164" fontId="11" fillId="6" borderId="1" xfId="0" applyFont="true" applyBorder="true" applyAlignment="true" applyProtection="true">
      <alignment horizontal="center" vertical="center" textRotation="0" wrapText="false" indent="0" shrinkToFit="false"/>
      <protection locked="true" hidden="false"/>
    </xf>
    <xf numFmtId="164" fontId="11" fillId="7" borderId="1" xfId="0" applyFont="true" applyBorder="true" applyAlignment="true" applyProtection="true">
      <alignment horizontal="center" vertical="center" textRotation="0" wrapText="false" indent="0" shrinkToFit="false"/>
      <protection locked="true" hidden="false"/>
    </xf>
    <xf numFmtId="164" fontId="11" fillId="3" borderId="1" xfId="0" applyFont="true" applyBorder="true" applyAlignment="true" applyProtection="true">
      <alignment horizontal="center" vertical="center" textRotation="0" wrapText="true" indent="0" shrinkToFit="false"/>
      <protection locked="true" hidden="false"/>
    </xf>
    <xf numFmtId="164" fontId="11" fillId="8" borderId="1" xfId="0" applyFont="true" applyBorder="true" applyAlignment="true" applyProtection="true">
      <alignment horizontal="center" vertical="center" textRotation="0" wrapText="true" indent="0" shrinkToFit="false"/>
      <protection locked="true" hidden="false"/>
    </xf>
    <xf numFmtId="164" fontId="50" fillId="0" borderId="3" xfId="0" applyFont="true" applyBorder="true" applyAlignment="true" applyProtection="true">
      <alignment horizontal="center" vertical="top" textRotation="0" wrapText="false" indent="0" shrinkToFit="false"/>
      <protection locked="true" hidden="false"/>
    </xf>
    <xf numFmtId="172" fontId="50" fillId="0" borderId="3" xfId="0" applyFont="true" applyBorder="true" applyAlignment="true" applyProtection="true">
      <alignment horizontal="right" vertical="top" textRotation="0" wrapText="true" indent="0" shrinkToFit="false"/>
      <protection locked="true" hidden="false"/>
    </xf>
    <xf numFmtId="172" fontId="50" fillId="0" borderId="1" xfId="0" applyFont="true" applyBorder="true" applyAlignment="true" applyProtection="true">
      <alignment horizontal="right" vertical="top" textRotation="0" wrapText="true" indent="0" shrinkToFit="false"/>
      <protection locked="true" hidden="false"/>
    </xf>
    <xf numFmtId="172" fontId="11" fillId="6" borderId="7" xfId="0" applyFont="true" applyBorder="true" applyAlignment="true" applyProtection="true">
      <alignment horizontal="general" vertical="top" textRotation="0" wrapText="false" indent="0" shrinkToFit="false"/>
      <protection locked="true" hidden="false"/>
    </xf>
    <xf numFmtId="171" fontId="11" fillId="6" borderId="1" xfId="19" applyFont="true" applyBorder="true" applyAlignment="true" applyProtection="true">
      <alignment horizontal="general" vertical="top" textRotation="0" wrapText="false" indent="0" shrinkToFit="false"/>
      <protection locked="true" hidden="false"/>
    </xf>
    <xf numFmtId="172" fontId="11" fillId="7" borderId="7" xfId="0" applyFont="true" applyBorder="true" applyAlignment="true" applyProtection="true">
      <alignment horizontal="general" vertical="top" textRotation="0" wrapText="false" indent="0" shrinkToFit="false"/>
      <protection locked="true" hidden="false"/>
    </xf>
    <xf numFmtId="170" fontId="11" fillId="7" borderId="1" xfId="0" applyFont="true" applyBorder="true" applyAlignment="true" applyProtection="true">
      <alignment horizontal="general" vertical="top" textRotation="0" wrapText="false" indent="0" shrinkToFit="false"/>
      <protection locked="true" hidden="false"/>
    </xf>
    <xf numFmtId="171" fontId="11" fillId="7" borderId="1" xfId="19" applyFont="true" applyBorder="true" applyAlignment="true" applyProtection="true">
      <alignment horizontal="general" vertical="top" textRotation="0" wrapText="false" indent="0" shrinkToFit="false"/>
      <protection locked="true" hidden="false"/>
    </xf>
  </cellXfs>
  <cellStyles count="185">
    <cellStyle name="Normal" xfId="0" builtinId="0"/>
    <cellStyle name="Comma" xfId="15" builtinId="3"/>
    <cellStyle name="Comma [0]" xfId="16" builtinId="6"/>
    <cellStyle name="Currency" xfId="17" builtinId="4"/>
    <cellStyle name="Currency [0]" xfId="18" builtinId="7"/>
    <cellStyle name="Percent" xfId="19" builtinId="5"/>
    <cellStyle name="Comma 10" xfId="20"/>
    <cellStyle name="Comma 10 2" xfId="21"/>
    <cellStyle name="Comma 11" xfId="22"/>
    <cellStyle name="Comma 11 2" xfId="23"/>
    <cellStyle name="Comma 12" xfId="24"/>
    <cellStyle name="Comma 12 2" xfId="25"/>
    <cellStyle name="Comma 13" xfId="26"/>
    <cellStyle name="Comma 13 2" xfId="27"/>
    <cellStyle name="Comma 14" xfId="28"/>
    <cellStyle name="Comma 14 2" xfId="29"/>
    <cellStyle name="Comma 15" xfId="30"/>
    <cellStyle name="Comma 15 2" xfId="31"/>
    <cellStyle name="Comma 16" xfId="32"/>
    <cellStyle name="Comma 16 2" xfId="33"/>
    <cellStyle name="Comma 17" xfId="34"/>
    <cellStyle name="Comma 17 2" xfId="35"/>
    <cellStyle name="Comma 18" xfId="36"/>
    <cellStyle name="Comma 18 2" xfId="37"/>
    <cellStyle name="Comma 19" xfId="38"/>
    <cellStyle name="Comma 19 2" xfId="39"/>
    <cellStyle name="Comma 2" xfId="40"/>
    <cellStyle name="Comma 2 2" xfId="41"/>
    <cellStyle name="Comma 2 2 2" xfId="42"/>
    <cellStyle name="Comma 2 2 2 2" xfId="43"/>
    <cellStyle name="Comma 2 2 3" xfId="44"/>
    <cellStyle name="Comma 2 3" xfId="45"/>
    <cellStyle name="Comma 2 3 2" xfId="46"/>
    <cellStyle name="Comma 2 3 2 2" xfId="47"/>
    <cellStyle name="Comma 2 3 3" xfId="48"/>
    <cellStyle name="Comma 2 4" xfId="49"/>
    <cellStyle name="Comma 2 4 2" xfId="50"/>
    <cellStyle name="Comma 2 4 2 2" xfId="51"/>
    <cellStyle name="Comma 2 4 3" xfId="52"/>
    <cellStyle name="Comma 2 5" xfId="53"/>
    <cellStyle name="Comma 2 5 2" xfId="54"/>
    <cellStyle name="Comma 2 6" xfId="55"/>
    <cellStyle name="Comma 2 7" xfId="56"/>
    <cellStyle name="Comma 20" xfId="57"/>
    <cellStyle name="Comma 20 2" xfId="58"/>
    <cellStyle name="Comma 21" xfId="59"/>
    <cellStyle name="Comma 21 2" xfId="60"/>
    <cellStyle name="Comma 22" xfId="61"/>
    <cellStyle name="Comma 22 2" xfId="62"/>
    <cellStyle name="Comma 23" xfId="63"/>
    <cellStyle name="Comma 23 2" xfId="64"/>
    <cellStyle name="Comma 24" xfId="65"/>
    <cellStyle name="Comma 24 2" xfId="66"/>
    <cellStyle name="Comma 25" xfId="67"/>
    <cellStyle name="Comma 25 2" xfId="68"/>
    <cellStyle name="Comma 26" xfId="69"/>
    <cellStyle name="Comma 26 2" xfId="70"/>
    <cellStyle name="Comma 27" xfId="71"/>
    <cellStyle name="Comma 27 2" xfId="72"/>
    <cellStyle name="Comma 28" xfId="73"/>
    <cellStyle name="Comma 28 2" xfId="74"/>
    <cellStyle name="Comma 29" xfId="75"/>
    <cellStyle name="Comma 29 2" xfId="76"/>
    <cellStyle name="Comma 3" xfId="77"/>
    <cellStyle name="Comma 3 2" xfId="78"/>
    <cellStyle name="Comma 30" xfId="79"/>
    <cellStyle name="Comma 30 2" xfId="80"/>
    <cellStyle name="Comma 31" xfId="81"/>
    <cellStyle name="Comma 31 2" xfId="82"/>
    <cellStyle name="Comma 32" xfId="83"/>
    <cellStyle name="Comma 32 2" xfId="84"/>
    <cellStyle name="Comma 33" xfId="85"/>
    <cellStyle name="Comma 33 2" xfId="86"/>
    <cellStyle name="Comma 34" xfId="87"/>
    <cellStyle name="Comma 34 2" xfId="88"/>
    <cellStyle name="Comma 35" xfId="89"/>
    <cellStyle name="Comma 35 2" xfId="90"/>
    <cellStyle name="Comma 36" xfId="91"/>
    <cellStyle name="Comma 36 2" xfId="92"/>
    <cellStyle name="Comma 37" xfId="93"/>
    <cellStyle name="Comma 37 2" xfId="94"/>
    <cellStyle name="Comma 38" xfId="95"/>
    <cellStyle name="Comma 38 2" xfId="96"/>
    <cellStyle name="Comma 39" xfId="97"/>
    <cellStyle name="Comma 39 2" xfId="98"/>
    <cellStyle name="Comma 4" xfId="99"/>
    <cellStyle name="Comma 4 2" xfId="100"/>
    <cellStyle name="Comma 4 2 2" xfId="101"/>
    <cellStyle name="Comma 4 3" xfId="102"/>
    <cellStyle name="Comma 40" xfId="103"/>
    <cellStyle name="Comma 40 2" xfId="104"/>
    <cellStyle name="Comma 41" xfId="105"/>
    <cellStyle name="Comma 41 2" xfId="106"/>
    <cellStyle name="Comma 42" xfId="107"/>
    <cellStyle name="Comma 42 2" xfId="108"/>
    <cellStyle name="Comma 43" xfId="109"/>
    <cellStyle name="Comma 43 2" xfId="110"/>
    <cellStyle name="Comma 44" xfId="111"/>
    <cellStyle name="Comma 44 2" xfId="112"/>
    <cellStyle name="Comma 45" xfId="113"/>
    <cellStyle name="Comma 45 2" xfId="114"/>
    <cellStyle name="Comma 45 3" xfId="115"/>
    <cellStyle name="Comma 46" xfId="116"/>
    <cellStyle name="Comma 46 2" xfId="117"/>
    <cellStyle name="Comma 47" xfId="118"/>
    <cellStyle name="Comma 47 2" xfId="119"/>
    <cellStyle name="Comma 48" xfId="120"/>
    <cellStyle name="Comma 48 2" xfId="121"/>
    <cellStyle name="Comma 49" xfId="122"/>
    <cellStyle name="Comma 49 2" xfId="123"/>
    <cellStyle name="Comma 5" xfId="124"/>
    <cellStyle name="Comma 5 2" xfId="125"/>
    <cellStyle name="Comma 50" xfId="126"/>
    <cellStyle name="Comma 50 2" xfId="127"/>
    <cellStyle name="Comma 51" xfId="128"/>
    <cellStyle name="Comma 51 2" xfId="129"/>
    <cellStyle name="Comma 52" xfId="130"/>
    <cellStyle name="Comma 52 2" xfId="131"/>
    <cellStyle name="Comma 53" xfId="132"/>
    <cellStyle name="Comma 53 2" xfId="133"/>
    <cellStyle name="Comma 54" xfId="134"/>
    <cellStyle name="Comma 54 2" xfId="135"/>
    <cellStyle name="Comma 55" xfId="136"/>
    <cellStyle name="Comma 55 2" xfId="137"/>
    <cellStyle name="Comma 56" xfId="138"/>
    <cellStyle name="Comma 56 2" xfId="139"/>
    <cellStyle name="Comma 57" xfId="140"/>
    <cellStyle name="Comma 57 2" xfId="141"/>
    <cellStyle name="Comma 57 3" xfId="142"/>
    <cellStyle name="Comma 58" xfId="143"/>
    <cellStyle name="Comma 58 2" xfId="144"/>
    <cellStyle name="Comma 58 3" xfId="145"/>
    <cellStyle name="Comma 59" xfId="146"/>
    <cellStyle name="Comma 59 2" xfId="147"/>
    <cellStyle name="Comma 59 3" xfId="148"/>
    <cellStyle name="Comma 6" xfId="149"/>
    <cellStyle name="Comma 6 2" xfId="150"/>
    <cellStyle name="Comma 60" xfId="151"/>
    <cellStyle name="Comma 61" xfId="152"/>
    <cellStyle name="Comma 62" xfId="153"/>
    <cellStyle name="Comma 7" xfId="154"/>
    <cellStyle name="Comma 7 2" xfId="155"/>
    <cellStyle name="Comma 8" xfId="156"/>
    <cellStyle name="Comma 8 2" xfId="157"/>
    <cellStyle name="Comma 8 2 2" xfId="158"/>
    <cellStyle name="Comma 8 3" xfId="159"/>
    <cellStyle name="Comma 8 3 2" xfId="160"/>
    <cellStyle name="Comma 8 4" xfId="161"/>
    <cellStyle name="Comma 9" xfId="162"/>
    <cellStyle name="Comma 9 2" xfId="163"/>
    <cellStyle name="Comma [0] 2" xfId="164"/>
    <cellStyle name="Hyperlink 2" xfId="165"/>
    <cellStyle name="Normal 10" xfId="166"/>
    <cellStyle name="Normal 11" xfId="167"/>
    <cellStyle name="Normal 12" xfId="168"/>
    <cellStyle name="Normal 13" xfId="169"/>
    <cellStyle name="Normal 14" xfId="170"/>
    <cellStyle name="Normal 2" xfId="171"/>
    <cellStyle name="Normal 2 2" xfId="172"/>
    <cellStyle name="Normal 2 3" xfId="173"/>
    <cellStyle name="Normal 2 4" xfId="174"/>
    <cellStyle name="Normal 2 5" xfId="175"/>
    <cellStyle name="Normal 2 6" xfId="176"/>
    <cellStyle name="Normal 3" xfId="177"/>
    <cellStyle name="Normal 4" xfId="178"/>
    <cellStyle name="Normal 5" xfId="179"/>
    <cellStyle name="Normal 6" xfId="180"/>
    <cellStyle name="Normal 7" xfId="181"/>
    <cellStyle name="Normal 8" xfId="182"/>
    <cellStyle name="Normal 9" xfId="183"/>
    <cellStyle name="Percent 2" xfId="184"/>
    <cellStyle name="Percent 2 2" xfId="185"/>
    <cellStyle name="Percent 2 2 2" xfId="186"/>
    <cellStyle name="Percent 2 3" xfId="187"/>
    <cellStyle name="Percent 2 3 2" xfId="188"/>
    <cellStyle name="Percent 2 4" xfId="189"/>
    <cellStyle name="Percent 2 4 2" xfId="190"/>
    <cellStyle name="Percent 2 5" xfId="191"/>
    <cellStyle name="Percent 3" xfId="192"/>
    <cellStyle name="Percent 3 2" xfId="193"/>
    <cellStyle name="Percent 4" xfId="194"/>
    <cellStyle name="Percent 5" xfId="195"/>
    <cellStyle name="Percent 5 2" xfId="196"/>
    <cellStyle name="Percent 5 3" xfId="197"/>
    <cellStyle name="Percent 6" xfId="198"/>
  </cellStyles>
  <dxfs count="17">
    <dxf>
      <fill>
        <patternFill patternType="solid">
          <fgColor rgb="FFB7DEE8"/>
          <bgColor rgb="FF000000"/>
        </patternFill>
      </fill>
    </dxf>
    <dxf>
      <fill>
        <patternFill patternType="solid">
          <fgColor rgb="FFFCD5B5"/>
          <bgColor rgb="FF000000"/>
        </patternFill>
      </fill>
    </dxf>
    <dxf>
      <fill>
        <patternFill patternType="solid">
          <fgColor rgb="FFFFFFFF"/>
          <bgColor rgb="FF000000"/>
        </patternFill>
      </fill>
    </dxf>
    <dxf>
      <fill>
        <patternFill patternType="solid">
          <bgColor rgb="FF000000"/>
        </patternFill>
      </fill>
    </dxf>
    <dxf>
      <fill>
        <patternFill patternType="solid">
          <fgColor rgb="FF000000"/>
          <bgColor rgb="FF000000"/>
        </patternFill>
      </fill>
    </dxf>
    <dxf>
      <fill>
        <patternFill patternType="solid">
          <fgColor rgb="FFD7E4BD"/>
          <bgColor rgb="FF000000"/>
        </patternFill>
      </fill>
    </dxf>
    <dxf>
      <fill>
        <patternFill patternType="solid">
          <fgColor rgb="FFD99694"/>
          <bgColor rgb="FF000000"/>
        </patternFill>
      </fill>
    </dxf>
    <dxf>
      <fill>
        <patternFill patternType="solid">
          <fgColor rgb="FF92D050"/>
          <bgColor rgb="FF000000"/>
        </patternFill>
      </fill>
    </dxf>
    <dxf>
      <fill>
        <patternFill patternType="solid">
          <fgColor rgb="FFF2F2F2"/>
          <bgColor rgb="FF000000"/>
        </patternFill>
      </fill>
    </dxf>
    <dxf>
      <font>
        <name val="Calibri"/>
        <charset val="1"/>
        <family val="2"/>
        <color rgb="FF000000"/>
        <sz val="11"/>
      </font>
      <fill>
        <patternFill>
          <bgColor rgb="FFFF0000"/>
        </patternFill>
      </fill>
    </dxf>
    <dxf>
      <font>
        <name val="Calibri"/>
        <charset val="1"/>
        <family val="2"/>
        <color rgb="FF000000"/>
        <sz val="11"/>
      </font>
      <fill>
        <patternFill>
          <bgColor rgb="FFFF0000"/>
        </patternFill>
      </fill>
    </dxf>
    <dxf>
      <font>
        <name val="Calibri"/>
        <charset val="1"/>
        <family val="2"/>
        <color rgb="FF000000"/>
        <sz val="11"/>
      </font>
      <fill>
        <patternFill>
          <bgColor rgb="FFFF0000"/>
        </patternFill>
      </fill>
    </dxf>
    <dxf>
      <font>
        <name val="Calibri"/>
        <charset val="1"/>
        <family val="2"/>
        <color rgb="FF000000"/>
        <sz val="11"/>
      </font>
      <fill>
        <patternFill>
          <bgColor rgb="FFFF0000"/>
        </patternFill>
      </fill>
    </dxf>
    <dxf>
      <fill>
        <patternFill patternType="solid">
          <fgColor rgb="FFC6D9F1"/>
          <bgColor rgb="FF000000"/>
        </patternFill>
      </fill>
    </dxf>
    <dxf>
      <fill>
        <patternFill patternType="solid">
          <fgColor rgb="FFFF0000"/>
          <bgColor rgb="FF000000"/>
        </patternFill>
      </fill>
    </dxf>
    <dxf>
      <fill>
        <patternFill patternType="solid">
          <fgColor rgb="FFEBF1DE"/>
          <bgColor rgb="FF000000"/>
        </patternFill>
      </fill>
    </dxf>
    <dxf>
      <fill>
        <patternFill patternType="solid">
          <fgColor rgb="FFFDEADA"/>
          <bgColor rgb="FF000000"/>
        </patternFill>
      </fill>
    </dxf>
  </dxfs>
  <colors>
    <indexedColors>
      <rgbColor rgb="FF000000"/>
      <rgbColor rgb="FFFFFFFF"/>
      <rgbColor rgb="FFFF0000"/>
      <rgbColor rgb="FFB7DEE8"/>
      <rgbColor rgb="FFD4E3F4"/>
      <rgbColor rgb="FFFFFF00"/>
      <rgbColor rgb="FFF8B590"/>
      <rgbColor rgb="FF93C4D5"/>
      <rgbColor rgb="FFE46C0A"/>
      <rgbColor rgb="FFB8D6E2"/>
      <rgbColor rgb="FFFFD9C4"/>
      <rgbColor rgb="FFD37C39"/>
      <rgbColor rgb="FFFBD2BE"/>
      <rgbColor rgb="FF4F81BD"/>
      <rgbColor rgb="FFBFBFBF"/>
      <rgbColor rgb="FF878787"/>
      <rgbColor rgb="FF8DB4E3"/>
      <rgbColor rgb="FFC0504D"/>
      <rgbColor rgb="FFEBF1DE"/>
      <rgbColor rgb="FFDBEEF4"/>
      <rgbColor rgb="FFFCD5B5"/>
      <rgbColor rgb="FFD99694"/>
      <rgbColor rgb="FF0066CC"/>
      <rgbColor rgb="FFC6D9F1"/>
      <rgbColor rgb="FFF2F2F2"/>
      <rgbColor rgb="FFFFC6B6"/>
      <rgbColor rgb="FFFAC090"/>
      <rgbColor rgb="FFA9CEDC"/>
      <rgbColor rgb="FFD9D9D9"/>
      <rgbColor rgb="FFFBD7C6"/>
      <rgbColor rgb="FFA4C1FF"/>
      <rgbColor rgb="FFF2DCDB"/>
      <rgbColor rgb="FF93CDDD"/>
      <rgbColor rgb="FFDCE6F2"/>
      <rgbColor rgb="FFCCFFCC"/>
      <rgbColor rgb="FFFDEADA"/>
      <rgbColor rgb="FF99CCFF"/>
      <rgbColor rgb="FFE6B9B8"/>
      <rgbColor rgb="FFC7AEED"/>
      <rgbColor rgb="FFFAC5AB"/>
      <rgbColor rgb="FF3E7FCC"/>
      <rgbColor rgb="FF4BABC6"/>
      <rgbColor rgb="FF92D050"/>
      <rgbColor rgb="FFFFA964"/>
      <rgbColor rgb="FFF79646"/>
      <rgbColor rgb="FFFC7200"/>
      <rgbColor rgb="FF8064A2"/>
      <rgbColor rgb="FF9BBB59"/>
      <rgbColor rgb="FF002060"/>
      <rgbColor rgb="FF388296"/>
      <rgbColor rgb="FFD7E4BD"/>
      <rgbColor rgb="FF595959"/>
      <rgbColor rgb="FFB65708"/>
      <rgbColor rgb="FF7E5AAA"/>
      <rgbColor rgb="FF1F497D"/>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_rels/chart2.xml.rels><?xml version="1.0" encoding="UTF-8"?>
<Relationships xmlns="http://schemas.openxmlformats.org/package/2006/relationships"><Relationship Id="rId1" Type="http://schemas.microsoft.com/office/2011/relationships/chartStyle" Target="style2.xml"/><Relationship Id="rId2" Type="http://schemas.microsoft.com/office/2011/relationships/chartColorStyle" Target="colors2.xml"/>
</Relationships>
</file>

<file path=xl/charts/_rels/chart3.xml.rels><?xml version="1.0" encoding="UTF-8"?>
<Relationships xmlns="http://schemas.openxmlformats.org/package/2006/relationships"><Relationship Id="rId1" Type="http://schemas.microsoft.com/office/2011/relationships/chartStyle" Target="style3.xml"/><Relationship Id="rId2" Type="http://schemas.microsoft.com/office/2011/relationships/chartColorStyle" Target="colors3.xml"/>
</Relationships>
</file>

<file path=xl/charts/_rels/chart4.xml.rels><?xml version="1.0" encoding="UTF-8"?>
<Relationships xmlns="http://schemas.openxmlformats.org/package/2006/relationships"><Relationship Id="rId1" Type="http://schemas.microsoft.com/office/2011/relationships/chartStyle" Target="style4.xml"/><Relationship Id="rId2" Type="http://schemas.microsoft.com/office/2011/relationships/chartColorStyle" Target="colors4.xml"/>
</Relationships>
</file>

<file path=xl/charts/_rels/chart5.xml.rels><?xml version="1.0" encoding="UTF-8"?>
<Relationships xmlns="http://schemas.openxmlformats.org/package/2006/relationships"><Relationship Id="rId1" Type="http://schemas.microsoft.com/office/2011/relationships/chartStyle" Target="style5.xml"/><Relationship Id="rId2" Type="http://schemas.microsoft.com/office/2011/relationships/chartColorStyle" Target="colors5.xml"/>
</Relationships>
</file>

<file path=xl/charts/_rels/chart6.xml.rels><?xml version="1.0" encoding="UTF-8"?>
<Relationships xmlns="http://schemas.openxmlformats.org/package/2006/relationships"><Relationship Id="rId1" Type="http://schemas.microsoft.com/office/2011/relationships/chartStyle" Target="style6.xml"/><Relationship Id="rId2" Type="http://schemas.microsoft.com/office/2011/relationships/chartColorStyle" Target="colors6.xml"/>
</Relationships>
</file>

<file path=xl/charts/_rels/chart7.xml.rels><?xml version="1.0" encoding="UTF-8"?>
<Relationships xmlns="http://schemas.openxmlformats.org/package/2006/relationships"><Relationship Id="rId1" Type="http://schemas.microsoft.com/office/2011/relationships/chartStyle" Target="style7.xml"/><Relationship Id="rId2" Type="http://schemas.microsoft.com/office/2011/relationships/chartColorStyle" Target="colors7.xml"/>
</Relationships>
</file>

<file path=xl/charts/_rels/chart8.xml.rels><?xml version="1.0" encoding="UTF-8"?>
<Relationships xmlns="http://schemas.openxmlformats.org/package/2006/relationships"><Relationship Id="rId1" Type="http://schemas.microsoft.com/office/2011/relationships/chartStyle" Target="style8.xml"/><Relationship Id="rId2" Type="http://schemas.microsoft.com/office/2011/relationships/chartColorStyle" Target="colors8.xml"/>
</Relationships>
</file>

<file path=xl/charts/_rels/chart9.xml.rels><?xml version="1.0" encoding="UTF-8"?>
<Relationships xmlns="http://schemas.openxmlformats.org/package/2006/relationships"><Relationship Id="rId1" Type="http://schemas.microsoft.com/office/2011/relationships/chartStyle" Target="style9.xml"/><Relationship Id="rId2" Type="http://schemas.microsoft.com/office/2011/relationships/chartColorStyle" Target="colors9.xml"/>
</Relationships>
</file>

<file path=xl/charts/_rels/chart10.xml.rels><?xml version="1.0" encoding="UTF-8"?>
<Relationships xmlns="http://schemas.openxmlformats.org/package/2006/relationships"><Relationship Id="rId1" Type="http://schemas.microsoft.com/office/2011/relationships/chartStyle" Target="style10.xml"/><Relationship Id="rId2" Type="http://schemas.microsoft.com/office/2011/relationships/chartColorStyle" Target="colors10.xml"/>
</Relationships>
</file>

<file path=xl/charts/_rels/chart11.xml.rels><?xml version="1.0" encoding="UTF-8"?>
<Relationships xmlns="http://schemas.openxmlformats.org/package/2006/relationships"><Relationship Id="rId1" Type="http://schemas.microsoft.com/office/2011/relationships/chartStyle" Target="style11.xml"/><Relationship Id="rId2" Type="http://schemas.microsoft.com/office/2011/relationships/chartColorStyle" Target="colors11.xml"/>
</Relationships>
</file>

<file path=xl/charts/_rels/chart12.xml.rels><?xml version="1.0" encoding="UTF-8"?>
<Relationships xmlns="http://schemas.openxmlformats.org/package/2006/relationships"><Relationship Id="rId1" Type="http://schemas.microsoft.com/office/2011/relationships/chartStyle" Target="style12.xml"/><Relationship Id="rId2" Type="http://schemas.microsoft.com/office/2011/relationships/chartColorStyle" Target="colors12.xml"/>
</Relationships>
</file>

<file path=xl/charts/_rels/chart13.xml.rels><?xml version="1.0" encoding="UTF-8"?>
<Relationships xmlns="http://schemas.openxmlformats.org/package/2006/relationships"><Relationship Id="rId1" Type="http://schemas.microsoft.com/office/2011/relationships/chartStyle" Target="style13.xml"/><Relationship Id="rId2" Type="http://schemas.microsoft.com/office/2011/relationships/chartColorStyle" Target="colors13.xml"/>
</Relationships>
</file>

<file path=xl/charts/_rels/chart14.xml.rels><?xml version="1.0" encoding="UTF-8"?>
<Relationships xmlns="http://schemas.openxmlformats.org/package/2006/relationships"><Relationship Id="rId1" Type="http://schemas.microsoft.com/office/2011/relationships/chartStyle" Target="style14.xml"/><Relationship Id="rId2" Type="http://schemas.microsoft.com/office/2011/relationships/chartColorStyle" Target="colors14.xml"/>
</Relationships>
</file>

<file path=xl/charts/_rels/chart15.xml.rels><?xml version="1.0" encoding="UTF-8"?>
<Relationships xmlns="http://schemas.openxmlformats.org/package/2006/relationships"><Relationship Id="rId1" Type="http://schemas.microsoft.com/office/2011/relationships/chartStyle" Target="style15.xml"/><Relationship Id="rId2" Type="http://schemas.microsoft.com/office/2011/relationships/chartColorStyle" Target="colors15.xml"/>
</Relationships>
</file>

<file path=xl/charts/_rels/chart16.xml.rels><?xml version="1.0" encoding="UTF-8"?>
<Relationships xmlns="http://schemas.openxmlformats.org/package/2006/relationships"><Relationship Id="rId1" Type="http://schemas.microsoft.com/office/2011/relationships/chartStyle" Target="style16.xml"/><Relationship Id="rId2" Type="http://schemas.microsoft.com/office/2011/relationships/chartColorStyle" Target="colors16.xml"/>
</Relationships>
</file>

<file path=xl/charts/_rels/chart17.xml.rels><?xml version="1.0" encoding="UTF-8"?>
<Relationships xmlns="http://schemas.openxmlformats.org/package/2006/relationships"><Relationship Id="rId1" Type="http://schemas.microsoft.com/office/2011/relationships/chartStyle" Target="style17.xml"/><Relationship Id="rId2" Type="http://schemas.microsoft.com/office/2011/relationships/chartColorStyle" Target="colors17.xml"/>
</Relationships>
</file>

<file path=xl/charts/_rels/chart18.xml.rels><?xml version="1.0" encoding="UTF-8"?>
<Relationships xmlns="http://schemas.openxmlformats.org/package/2006/relationships"><Relationship Id="rId1" Type="http://schemas.microsoft.com/office/2011/relationships/chartStyle" Target="style18.xml"/><Relationship Id="rId2" Type="http://schemas.microsoft.com/office/2011/relationships/chartColorStyle" Target="colors18.xml"/>
</Relationships>
</file>

<file path=xl/charts/_rels/chart19.xml.rels><?xml version="1.0" encoding="UTF-8"?>
<Relationships xmlns="http://schemas.openxmlformats.org/package/2006/relationships"><Relationship Id="rId1" Type="http://schemas.microsoft.com/office/2011/relationships/chartStyle" Target="style19.xml"/><Relationship Id="rId2" Type="http://schemas.microsoft.com/office/2011/relationships/chartColorStyle" Target="colors19.xml"/>
</Relationships>
</file>

<file path=xl/charts/_rels/chart20.xml.rels><?xml version="1.0" encoding="UTF-8"?>
<Relationships xmlns="http://schemas.openxmlformats.org/package/2006/relationships"><Relationship Id="rId1" Type="http://schemas.microsoft.com/office/2011/relationships/chartStyle" Target="style20.xml"/><Relationship Id="rId2" Type="http://schemas.microsoft.com/office/2011/relationships/chartColorStyle" Target="colors20.xml"/>
</Relationships>
</file>

<file path=xl/charts/_rels/chart21.xml.rels><?xml version="1.0" encoding="UTF-8"?>
<Relationships xmlns="http://schemas.openxmlformats.org/package/2006/relationships"><Relationship Id="rId1" Type="http://schemas.microsoft.com/office/2011/relationships/chartStyle" Target="style21.xml"/><Relationship Id="rId2" Type="http://schemas.microsoft.com/office/2011/relationships/chartColorStyle" Target="colors21.xml"/>
</Relationships>
</file>

<file path=xl/charts/_rels/chart22.xml.rels><?xml version="1.0" encoding="UTF-8"?>
<Relationships xmlns="http://schemas.openxmlformats.org/package/2006/relationships"><Relationship Id="rId1" Type="http://schemas.microsoft.com/office/2011/relationships/chartStyle" Target="style22.xml"/><Relationship Id="rId2" Type="http://schemas.microsoft.com/office/2011/relationships/chartColorStyle" Target="colors22.xml"/>
</Relationships>
</file>

<file path=xl/charts/_rels/chart23.xml.rels><?xml version="1.0" encoding="UTF-8"?>
<Relationships xmlns="http://schemas.openxmlformats.org/package/2006/relationships"><Relationship Id="rId1" Type="http://schemas.microsoft.com/office/2011/relationships/chartStyle" Target="style23.xml"/><Relationship Id="rId2" Type="http://schemas.microsoft.com/office/2011/relationships/chartColorStyle" Target="colors23.xml"/>
</Relationships>
</file>

<file path=xl/charts/_rels/chart24.xml.rels><?xml version="1.0" encoding="UTF-8"?>
<Relationships xmlns="http://schemas.openxmlformats.org/package/2006/relationships"><Relationship Id="rId1" Type="http://schemas.microsoft.com/office/2011/relationships/chartStyle" Target="style24.xml"/><Relationship Id="rId2" Type="http://schemas.microsoft.com/office/2011/relationships/chartColorStyle" Target="colors24.xml"/>
</Relationships>
</file>

<file path=xl/charts/_rels/chart25.xml.rels><?xml version="1.0" encoding="UTF-8"?>
<Relationships xmlns="http://schemas.openxmlformats.org/package/2006/relationships"><Relationship Id="rId1" Type="http://schemas.microsoft.com/office/2011/relationships/chartStyle" Target="style25.xml"/><Relationship Id="rId2" Type="http://schemas.microsoft.com/office/2011/relationships/chartColorStyle" Target="colors25.xml"/>
</Relationships>
</file>

<file path=xl/charts/_rels/chart26.xml.rels><?xml version="1.0" encoding="UTF-8"?>
<Relationships xmlns="http://schemas.openxmlformats.org/package/2006/relationships"><Relationship Id="rId1" Type="http://schemas.microsoft.com/office/2011/relationships/chartStyle" Target="style26.xml"/><Relationship Id="rId2" Type="http://schemas.microsoft.com/office/2011/relationships/chartColorStyle" Target="colors26.xml"/>
</Relationships>
</file>

<file path=xl/charts/_rels/chart27.xml.rels><?xml version="1.0" encoding="UTF-8"?>
<Relationships xmlns="http://schemas.openxmlformats.org/package/2006/relationships"><Relationship Id="rId1" Type="http://schemas.microsoft.com/office/2011/relationships/chartStyle" Target="style27.xml"/><Relationship Id="rId2" Type="http://schemas.microsoft.com/office/2011/relationships/chartColorStyle" Target="colors27.xml"/>
</Relationships>
</file>

<file path=xl/charts/_rels/chart28.xml.rels><?xml version="1.0" encoding="UTF-8"?>
<Relationships xmlns="http://schemas.openxmlformats.org/package/2006/relationships"><Relationship Id="rId1" Type="http://schemas.microsoft.com/office/2011/relationships/chartStyle" Target="style28.xml"/><Relationship Id="rId2" Type="http://schemas.microsoft.com/office/2011/relationships/chartColorStyle" Target="colors28.xml"/>
</Relationships>
</file>

<file path=xl/charts/_rels/chart29.xml.rels><?xml version="1.0" encoding="UTF-8"?>
<Relationships xmlns="http://schemas.openxmlformats.org/package/2006/relationships"><Relationship Id="rId1" Type="http://schemas.microsoft.com/office/2011/relationships/chartStyle" Target="style29.xml"/><Relationship Id="rId2" Type="http://schemas.microsoft.com/office/2011/relationships/chartColorStyle" Target="colors29.xml"/>
</Relationships>
</file>

<file path=xl/charts/_rels/chart30.xml.rels><?xml version="1.0" encoding="UTF-8"?>
<Relationships xmlns="http://schemas.openxmlformats.org/package/2006/relationships"><Relationship Id="rId1" Type="http://schemas.microsoft.com/office/2011/relationships/chartStyle" Target="style30.xml"/><Relationship Id="rId2" Type="http://schemas.microsoft.com/office/2011/relationships/chartColorStyle" Target="colors30.xml"/>
</Relationships>
</file>

<file path=xl/charts/_rels/chart31.xml.rels><?xml version="1.0" encoding="UTF-8"?>
<Relationships xmlns="http://schemas.openxmlformats.org/package/2006/relationships"><Relationship Id="rId1" Type="http://schemas.microsoft.com/office/2011/relationships/chartStyle" Target="style31.xml"/><Relationship Id="rId2" Type="http://schemas.microsoft.com/office/2011/relationships/chartColorStyle" Target="colors31.xml"/>
</Relationships>
</file>

<file path=xl/charts/_rels/chart32.xml.rels><?xml version="1.0" encoding="UTF-8"?>
<Relationships xmlns="http://schemas.openxmlformats.org/package/2006/relationships"><Relationship Id="rId1" Type="http://schemas.microsoft.com/office/2011/relationships/chartStyle" Target="style32.xml"/><Relationship Id="rId2" Type="http://schemas.microsoft.com/office/2011/relationships/chartColorStyle" Target="colors32.xml"/>
</Relationships>
</file>

<file path=xl/charts/_rels/chart33.xml.rels><?xml version="1.0" encoding="UTF-8"?>
<Relationships xmlns="http://schemas.openxmlformats.org/package/2006/relationships"><Relationship Id="rId1" Type="http://schemas.microsoft.com/office/2011/relationships/chartStyle" Target="style33.xml"/><Relationship Id="rId2" Type="http://schemas.microsoft.com/office/2011/relationships/chartColorStyle" Target="colors33.xml"/>
</Relationships>
</file>

<file path=xl/charts/_rels/chart34.xml.rels><?xml version="1.0" encoding="UTF-8"?>
<Relationships xmlns="http://schemas.openxmlformats.org/package/2006/relationships"><Relationship Id="rId1" Type="http://schemas.microsoft.com/office/2011/relationships/chartStyle" Target="style34.xml"/><Relationship Id="rId2" Type="http://schemas.microsoft.com/office/2011/relationships/chartColorStyle" Target="colors34.xml"/>
</Relationships>
</file>

<file path=xl/charts/_rels/chart35.xml.rels><?xml version="1.0" encoding="UTF-8"?>
<Relationships xmlns="http://schemas.openxmlformats.org/package/2006/relationships"><Relationship Id="rId1" Type="http://schemas.microsoft.com/office/2011/relationships/chartStyle" Target="style35.xml"/><Relationship Id="rId2" Type="http://schemas.microsoft.com/office/2011/relationships/chartColorStyle" Target="colors35.xml"/>
</Relationships>
</file>

<file path=xl/charts/_rels/chart36.xml.rels><?xml version="1.0" encoding="UTF-8"?>
<Relationships xmlns="http://schemas.openxmlformats.org/package/2006/relationships"><Relationship Id="rId1" Type="http://schemas.microsoft.com/office/2011/relationships/chartStyle" Target="style36.xml"/><Relationship Id="rId2" Type="http://schemas.microsoft.com/office/2011/relationships/chartColorStyle" Target="colors36.xml"/>
</Relationships>
</file>

<file path=xl/charts/_rels/chart37.xml.rels><?xml version="1.0" encoding="UTF-8"?>
<Relationships xmlns="http://schemas.openxmlformats.org/package/2006/relationships"><Relationship Id="rId1" Type="http://schemas.microsoft.com/office/2011/relationships/chartStyle" Target="style37.xml"/><Relationship Id="rId2" Type="http://schemas.microsoft.com/office/2011/relationships/chartColorStyle" Target="colors37.xml"/>
</Relationships>
</file>

<file path=xl/charts/_rels/chart38.xml.rels><?xml version="1.0" encoding="UTF-8"?>
<Relationships xmlns="http://schemas.openxmlformats.org/package/2006/relationships"><Relationship Id="rId1" Type="http://schemas.microsoft.com/office/2011/relationships/chartStyle" Target="style38.xml"/><Relationship Id="rId2" Type="http://schemas.microsoft.com/office/2011/relationships/chartColorStyle" Target="colors38.xml"/>
</Relationships>
</file>

<file path=xl/charts/_rels/chart39.xml.rels><?xml version="1.0" encoding="UTF-8"?>
<Relationships xmlns="http://schemas.openxmlformats.org/package/2006/relationships"><Relationship Id="rId1" Type="http://schemas.microsoft.com/office/2011/relationships/chartStyle" Target="style39.xml"/><Relationship Id="rId2" Type="http://schemas.microsoft.com/office/2011/relationships/chartColorStyle" Target="colors39.xml"/>
</Relationships>
</file>

<file path=xl/charts/_rels/chart40.xml.rels><?xml version="1.0" encoding="UTF-8"?>
<Relationships xmlns="http://schemas.openxmlformats.org/package/2006/relationships"><Relationship Id="rId1" Type="http://schemas.microsoft.com/office/2011/relationships/chartStyle" Target="style40.xml"/><Relationship Id="rId2" Type="http://schemas.microsoft.com/office/2011/relationships/chartColorStyle" Target="colors40.xml"/>
</Relationships>
</file>

<file path=xl/charts/_rels/chart41.xml.rels><?xml version="1.0" encoding="UTF-8"?>
<Relationships xmlns="http://schemas.openxmlformats.org/package/2006/relationships"><Relationship Id="rId1" Type="http://schemas.microsoft.com/office/2011/relationships/chartStyle" Target="style41.xml"/><Relationship Id="rId2" Type="http://schemas.microsoft.com/office/2011/relationships/chartColorStyle" Target="colors41.xml"/>
</Relationships>
</file>

<file path=xl/charts/_rels/chart42.xml.rels><?xml version="1.0" encoding="UTF-8"?>
<Relationships xmlns="http://schemas.openxmlformats.org/package/2006/relationships"><Relationship Id="rId1" Type="http://schemas.microsoft.com/office/2011/relationships/chartStyle" Target="style42.xml"/><Relationship Id="rId2" Type="http://schemas.microsoft.com/office/2011/relationships/chartColorStyle" Target="colors42.xml"/>
</Relationships>
</file>

<file path=xl/charts/_rels/chart43.xml.rels><?xml version="1.0" encoding="UTF-8"?>
<Relationships xmlns="http://schemas.openxmlformats.org/package/2006/relationships"><Relationship Id="rId1" Type="http://schemas.microsoft.com/office/2011/relationships/chartStyle" Target="style43.xml"/><Relationship Id="rId2" Type="http://schemas.microsoft.com/office/2011/relationships/chartColorStyle" Target="colors43.xml"/>
</Relationships>
</file>

<file path=xl/charts/_rels/chart44.xml.rels><?xml version="1.0" encoding="UTF-8"?>
<Relationships xmlns="http://schemas.openxmlformats.org/package/2006/relationships"><Relationship Id="rId1" Type="http://schemas.microsoft.com/office/2011/relationships/chartStyle" Target="style44.xml"/><Relationship Id="rId2" Type="http://schemas.microsoft.com/office/2011/relationships/chartColorStyle" Target="colors44.xml"/>
</Relationships>
</file>

<file path=xl/charts/_rels/chart45.xml.rels><?xml version="1.0" encoding="UTF-8"?>
<Relationships xmlns="http://schemas.openxmlformats.org/package/2006/relationships"><Relationship Id="rId1" Type="http://schemas.microsoft.com/office/2011/relationships/chartStyle" Target="style45.xml"/><Relationship Id="rId2" Type="http://schemas.microsoft.com/office/2011/relationships/chartColorStyle" Target="colors45.xml"/>
</Relationships>
</file>

<file path=xl/charts/_rels/chart46.xml.rels><?xml version="1.0" encoding="UTF-8"?>
<Relationships xmlns="http://schemas.openxmlformats.org/package/2006/relationships"><Relationship Id="rId1" Type="http://schemas.microsoft.com/office/2011/relationships/chartStyle" Target="style46.xml"/><Relationship Id="rId2" Type="http://schemas.microsoft.com/office/2011/relationships/chartColorStyle" Target="colors46.xml"/>
</Relationships>
</file>

<file path=xl/charts/_rels/chart47.xml.rels><?xml version="1.0" encoding="UTF-8"?>
<Relationships xmlns="http://schemas.openxmlformats.org/package/2006/relationships"><Relationship Id="rId1" Type="http://schemas.microsoft.com/office/2011/relationships/chartStyle" Target="style47.xml"/><Relationship Id="rId2" Type="http://schemas.microsoft.com/office/2011/relationships/chartColorStyle" Target="colors47.xml"/>
</Relationships>
</file>

<file path=xl/charts/_rels/chart48.xml.rels><?xml version="1.0" encoding="UTF-8"?>
<Relationships xmlns="http://schemas.openxmlformats.org/package/2006/relationships"><Relationship Id="rId1" Type="http://schemas.microsoft.com/office/2011/relationships/chartStyle" Target="style48.xml"/><Relationship Id="rId2" Type="http://schemas.microsoft.com/office/2011/relationships/chartColorStyle" Target="colors48.xml"/>
</Relationships>
</file>

<file path=xl/charts/_rels/chart49.xml.rels><?xml version="1.0" encoding="UTF-8"?>
<Relationships xmlns="http://schemas.openxmlformats.org/package/2006/relationships"><Relationship Id="rId1" Type="http://schemas.microsoft.com/office/2011/relationships/chartStyle" Target="style49.xml"/><Relationship Id="rId2" Type="http://schemas.microsoft.com/office/2011/relationships/chartColorStyle" Target="colors49.xml"/>
</Relationships>
</file>

<file path=xl/charts/_rels/chart50.xml.rels><?xml version="1.0" encoding="UTF-8"?>
<Relationships xmlns="http://schemas.openxmlformats.org/package/2006/relationships"><Relationship Id="rId1" Type="http://schemas.microsoft.com/office/2011/relationships/chartStyle" Target="style50.xml"/><Relationship Id="rId2" Type="http://schemas.microsoft.com/office/2011/relationships/chartColorStyle" Target="colors50.xml"/>
</Relationships>
</file>

<file path=xl/charts/_rels/chart51.xml.rels><?xml version="1.0" encoding="UTF-8"?>
<Relationships xmlns="http://schemas.openxmlformats.org/package/2006/relationships"><Relationship Id="rId1" Type="http://schemas.microsoft.com/office/2011/relationships/chartStyle" Target="style51.xml"/><Relationship Id="rId2" Type="http://schemas.microsoft.com/office/2011/relationships/chartColorStyle" Target="colors51.xml"/>
</Relationships>
</file>

<file path=xl/charts/_rels/chart52.xml.rels><?xml version="1.0" encoding="UTF-8"?>
<Relationships xmlns="http://schemas.openxmlformats.org/package/2006/relationships"><Relationship Id="rId1" Type="http://schemas.microsoft.com/office/2011/relationships/chartStyle" Target="style52.xml"/><Relationship Id="rId2" Type="http://schemas.microsoft.com/office/2011/relationships/chartColorStyle" Target="colors52.xml"/>
</Relationships>
</file>

<file path=xl/charts/_rels/chart53.xml.rels><?xml version="1.0" encoding="UTF-8"?>
<Relationships xmlns="http://schemas.openxmlformats.org/package/2006/relationships"><Relationship Id="rId1" Type="http://schemas.microsoft.com/office/2011/relationships/chartStyle" Target="style53.xml"/><Relationship Id="rId2" Type="http://schemas.microsoft.com/office/2011/relationships/chartColorStyle" Target="colors53.xml"/>
</Relationships>
</file>

<file path=xl/charts/_rels/chart54.xml.rels><?xml version="1.0" encoding="UTF-8"?>
<Relationships xmlns="http://schemas.openxmlformats.org/package/2006/relationships"><Relationship Id="rId1" Type="http://schemas.microsoft.com/office/2011/relationships/chartStyle" Target="style54.xml"/><Relationship Id="rId2" Type="http://schemas.microsoft.com/office/2011/relationships/chartColorStyle" Target="colors54.xml"/>
</Relationships>
</file>

<file path=xl/charts/_rels/chart55.xml.rels><?xml version="1.0" encoding="UTF-8"?>
<Relationships xmlns="http://schemas.openxmlformats.org/package/2006/relationships"><Relationship Id="rId1" Type="http://schemas.microsoft.com/office/2011/relationships/chartStyle" Target="style55.xml"/><Relationship Id="rId2" Type="http://schemas.microsoft.com/office/2011/relationships/chartColorStyle" Target="colors55.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lang="en-US" sz="1600" b="1" u="none" strike="noStrike">
                <a:solidFill>
                  <a:schemeClr val="tx2"/>
                </a:solidFill>
                <a:uFillTx/>
                <a:latin typeface="Calibri"/>
                <a:ea typeface="DejaVu Sans"/>
              </a:rPr>
              <a:t>HỢP ĐỒNG</a:t>
            </a:r>
          </a:p>
        </c:rich>
      </c:tx>
      <c:overlay val="0"/>
      <c:spPr>
        <a:noFill/>
        <a:ln w="0">
          <a:noFill/>
        </a:ln>
      </c:spPr>
    </c:title>
    <c:autoTitleDeleted val="0"/>
    <c:plotArea>
      <c:barChart>
        <c:barDir val="col"/>
        <c:grouping val="clustered"/>
        <c:varyColors val="0"/>
        <c:ser>
          <c:idx val="0"/>
          <c:order val="0"/>
          <c:tx>
            <c:strRef>
              <c:f>"Kế hoạch"</c:f>
              <c:strCache>
                <c:ptCount val="1"/>
                <c:pt idx="0">
                  <c:v>Kế hoạch</c:v>
                </c:pt>
              </c:strCache>
            </c:strRef>
          </c:tx>
          <c:spPr>
            <a:gradFill>
              <a:gsLst>
                <a:gs pos="0">
                  <a:srgbClr val="3E7FCC"/>
                </a:gs>
                <a:gs pos="100000">
                  <a:srgbClr val="A4C1FF"/>
                </a:gs>
              </a:gsLst>
              <a:lin ang="16200000"/>
            </a:gradFill>
            <a:ln w="12600">
              <a:noFill/>
            </a:ln>
          </c:spPr>
          <c:invertIfNegative val="0"/>
          <c:dLbls>
            <c:numFmt formatCode="#,##0" sourceLinked="1"/>
            <c:txPr>
              <a:bodyPr wrap="square"/>
              <a:lstStyle/>
              <a:p>
                <a:pPr>
                  <a:defRPr sz="900" b="0" u="none" strike="noStrike">
                    <a:solidFill>
                      <a:srgbClr val="1F497D"/>
                    </a:solidFill>
                    <a:uFillTx/>
                    <a:latin typeface="Calibri"/>
                    <a:ea typeface="DejaVu Sans"/>
                  </a:defRPr>
                </a:pPr>
              </a:p>
            </c:txPr>
            <c:dLblPos val="outEnd"/>
            <c:showLegendKey val="0"/>
            <c:showVal val="1"/>
            <c:showCatName val="0"/>
            <c:showSerName val="0"/>
            <c:showPercent val="0"/>
            <c:separator>; </c:separator>
            <c:showLeaderLines val="0"/>
            <c:extLst>
              <c:ext xmlns:c15="http://schemas.microsoft.com/office/drawing/2012/chart" uri="{CE6537A1-D6FC-4f65-9D91-7224C49458BB}">
                <c15:showLeaderLines val="0"/>
              </c:ext>
            </c:extLst>
          </c:dLbls>
          <c:cat>
            <c:strRef>
              <c:f>BaoCaoQuy!$A$37:$A$39</c:f>
              <c:strCache>
                <c:ptCount val="3"/>
                <c:pt idx="0">
                  <c:v>ITO</c:v>
                </c:pt>
                <c:pt idx="1">
                  <c:v>UNI</c:v>
                </c:pt>
                <c:pt idx="2">
                  <c:v>G2B</c:v>
                </c:pt>
              </c:strCache>
            </c:strRef>
          </c:cat>
          <c:val>
            <c:numRef>
              <c:f>BaoCaoQuy!$B$37:$B$39</c:f>
              <c:numCache>
                <c:formatCode>#,##0</c:formatCode>
                <c:ptCount val="3"/>
                <c:pt idx="0">
                  <c:v>11400000000</c:v>
                </c:pt>
                <c:pt idx="1">
                  <c:v>10100000000</c:v>
                </c:pt>
                <c:pt idx="2">
                  <c:v>10000000000</c:v>
                </c:pt>
              </c:numCache>
            </c:numRef>
          </c:val>
        </c:ser>
        <c:ser>
          <c:idx val="1"/>
          <c:order val="1"/>
          <c:tx>
            <c:strRef>
              <c:f>"Thực tế"</c:f>
              <c:strCache>
                <c:ptCount val="1"/>
                <c:pt idx="0">
                  <c:v>Thực tế</c:v>
                </c:pt>
              </c:strCache>
            </c:strRef>
          </c:tx>
          <c:spPr>
            <a:gradFill>
              <a:gsLst>
                <a:gs pos="0">
                  <a:srgbClr val="7E5AAA"/>
                </a:gs>
                <a:gs pos="100000">
                  <a:srgbClr val="C7AEED"/>
                </a:gs>
              </a:gsLst>
              <a:lin ang="16200000"/>
            </a:gradFill>
            <a:ln w="12600">
              <a:noFill/>
            </a:ln>
          </c:spPr>
          <c:invertIfNegative val="0"/>
          <c:dPt>
            <c:idx val="0"/>
            <c:invertIfNegative val="0"/>
            <c:spPr>
              <a:gradFill>
                <a:gsLst>
                  <a:gs pos="0">
                    <a:srgbClr val="7E5AAA"/>
                  </a:gs>
                  <a:gs pos="100000">
                    <a:srgbClr val="C7AEED"/>
                  </a:gs>
                </a:gsLst>
                <a:lin ang="16200000"/>
              </a:gradFill>
              <a:ln w="12600">
                <a:noFill/>
              </a:ln>
            </c:spPr>
          </c:dPt>
          <c:dPt>
            <c:idx val="1"/>
            <c:invertIfNegative val="0"/>
            <c:spPr>
              <a:gradFill>
                <a:gsLst>
                  <a:gs pos="0">
                    <a:srgbClr val="7E5AAA"/>
                  </a:gs>
                  <a:gs pos="100000">
                    <a:srgbClr val="C7AEED"/>
                  </a:gs>
                </a:gsLst>
                <a:lin ang="16200000"/>
              </a:gradFill>
              <a:ln w="12600">
                <a:noFill/>
              </a:ln>
            </c:spPr>
          </c:dPt>
          <c:dPt>
            <c:idx val="2"/>
            <c:invertIfNegative val="0"/>
            <c:spPr>
              <a:gradFill>
                <a:gsLst>
                  <a:gs pos="0">
                    <a:srgbClr val="7E5AAA"/>
                  </a:gs>
                  <a:gs pos="100000">
                    <a:srgbClr val="C7AEED"/>
                  </a:gs>
                </a:gsLst>
                <a:lin ang="16200000"/>
              </a:gradFill>
              <a:ln w="12600">
                <a:noFill/>
              </a:ln>
            </c:spPr>
          </c:dPt>
          <c:dLbls>
            <c:dLbl>
              <c:idx val="0"/>
              <c:layout>
                <c:manualLayout>
                  <c:x val="0.052737348117858"/>
                  <c:y val="0"/>
                </c:manualLayout>
              </c:layout>
              <c:numFmt formatCode="_(* #,##0_);_(* \(#,##0\);_(* \-??_);_(@_)" sourceLinked="1"/>
              <c:txPr>
                <a:bodyPr wrap="square"/>
                <a:lstStyle/>
                <a:p>
                  <a:pPr>
                    <a:defRPr sz="900" b="0" u="none" strike="noStrike">
                      <a:solidFill>
                        <a:srgbClr val="1F497D"/>
                      </a:solidFill>
                      <a:uFillTx/>
                      <a:latin typeface="Calibri"/>
                      <a:ea typeface="DejaVu Sans"/>
                    </a:defRPr>
                  </a:pPr>
                </a:p>
              </c:txPr>
              <c:dLblPos val="outEnd"/>
              <c:showLegendKey val="0"/>
              <c:showVal val="1"/>
              <c:showCatName val="0"/>
              <c:showSerName val="0"/>
              <c:showPercent val="0"/>
              <c:separator>; </c:separator>
            </c:dLbl>
            <c:dLbl>
              <c:idx val="1"/>
              <c:layout>
                <c:manualLayout>
                  <c:x val="0.0471860483159782"/>
                  <c:y val="-8.48755627201334E-017"/>
                </c:manualLayout>
              </c:layout>
              <c:numFmt formatCode="_(* #,##0_);_(* \(#,##0\);_(* \-??_);_(@_)" sourceLinked="1"/>
              <c:txPr>
                <a:bodyPr wrap="square"/>
                <a:lstStyle/>
                <a:p>
                  <a:pPr>
                    <a:defRPr sz="900" b="0" u="none" strike="noStrike">
                      <a:solidFill>
                        <a:srgbClr val="1F497D"/>
                      </a:solidFill>
                      <a:uFillTx/>
                      <a:latin typeface="Calibri"/>
                      <a:ea typeface="DejaVu Sans"/>
                    </a:defRPr>
                  </a:pPr>
                </a:p>
              </c:txPr>
              <c:dLblPos val="outEnd"/>
              <c:showLegendKey val="0"/>
              <c:showVal val="1"/>
              <c:showCatName val="0"/>
              <c:showSerName val="0"/>
              <c:showPercent val="0"/>
              <c:separator>; </c:separator>
            </c:dLbl>
            <c:dLbl>
              <c:idx val="2"/>
              <c:layout>
                <c:manualLayout>
                  <c:x val="0.0249808491084592"/>
                  <c:y val="0"/>
                </c:manualLayout>
              </c:layout>
              <c:numFmt formatCode="_(* #,##0_);_(* \(#,##0\);_(* \-??_);_(@_)" sourceLinked="1"/>
              <c:txPr>
                <a:bodyPr wrap="square"/>
                <a:lstStyle/>
                <a:p>
                  <a:pPr>
                    <a:defRPr sz="900" b="0" u="none" strike="noStrike">
                      <a:solidFill>
                        <a:srgbClr val="1F497D"/>
                      </a:solidFill>
                      <a:uFillTx/>
                      <a:latin typeface="Calibri"/>
                      <a:ea typeface="DejaVu Sans"/>
                    </a:defRPr>
                  </a:pPr>
                </a:p>
              </c:txPr>
              <c:dLblPos val="outEnd"/>
              <c:showLegendKey val="0"/>
              <c:showVal val="1"/>
              <c:showCatName val="0"/>
              <c:showSerName val="0"/>
              <c:showPercent val="0"/>
              <c:separator>; </c:separator>
            </c:dLbl>
            <c:numFmt formatCode="_(* #,##0_);_(* \(#,##0\);_(* \-??_);_(@_)" sourceLinked="1"/>
            <c:txPr>
              <a:bodyPr wrap="square"/>
              <a:lstStyle/>
              <a:p>
                <a:pPr>
                  <a:defRPr sz="900" b="0" u="none" strike="noStrike">
                    <a:solidFill>
                      <a:srgbClr val="1F497D"/>
                    </a:solidFill>
                    <a:uFillTx/>
                    <a:latin typeface="Calibri"/>
                    <a:ea typeface="DejaVu Sans"/>
                  </a:defRPr>
                </a:pPr>
              </a:p>
            </c:txPr>
            <c:dLblPos val="outEnd"/>
            <c:showLegendKey val="0"/>
            <c:showVal val="1"/>
            <c:showCatName val="0"/>
            <c:showSerName val="0"/>
            <c:showPercent val="0"/>
            <c:separator>; </c:separator>
            <c:showLeaderLines val="0"/>
            <c:extLst>
              <c:ext xmlns:c15="http://schemas.microsoft.com/office/drawing/2012/chart" uri="{CE6537A1-D6FC-4f65-9D91-7224C49458BB}">
                <c15:showLeaderLines val="0"/>
              </c:ext>
            </c:extLst>
          </c:dLbls>
          <c:cat>
            <c:strRef>
              <c:f>BaoCaoQuy!$A$37:$A$39</c:f>
              <c:strCache>
                <c:ptCount val="3"/>
                <c:pt idx="0">
                  <c:v>ITO</c:v>
                </c:pt>
                <c:pt idx="1">
                  <c:v>UNI</c:v>
                </c:pt>
                <c:pt idx="2">
                  <c:v>G2B</c:v>
                </c:pt>
              </c:strCache>
            </c:strRef>
          </c:cat>
          <c:val>
            <c:numRef>
              <c:f>BaoCaoQuy!$E$37:$E$39</c:f>
              <c:numCache>
                <c:formatCode>_(* #,##0_);_(* \(#,##0\);_(* \-??_);_(@_)</c:formatCode>
                <c:ptCount val="3"/>
                <c:pt idx="0">
                  <c:v>0</c:v>
                </c:pt>
                <c:pt idx="1">
                  <c:v>0</c:v>
                </c:pt>
                <c:pt idx="2">
                  <c:v>0</c:v>
                </c:pt>
              </c:numCache>
            </c:numRef>
          </c:val>
        </c:ser>
        <c:gapWidth val="100"/>
        <c:overlap val="-24"/>
        <c:axId val="52308642"/>
        <c:axId val="44466083"/>
      </c:barChart>
      <c:catAx>
        <c:axId val="52308642"/>
        <c:scaling>
          <c:orientation val="minMax"/>
        </c:scaling>
        <c:delete val="0"/>
        <c:axPos val="b"/>
        <c:numFmt formatCode="General" sourceLinked="0"/>
        <c:majorTickMark val="none"/>
        <c:minorTickMark val="none"/>
        <c:tickLblPos val="nextTo"/>
        <c:spPr>
          <a:ln w="9360">
            <a:solidFill>
              <a:srgbClr val="D4E3F4"/>
            </a:solidFill>
            <a:round/>
          </a:ln>
        </c:spPr>
        <c:txPr>
          <a:bodyPr/>
          <a:lstStyle/>
          <a:p>
            <a:pPr>
              <a:defRPr sz="900" b="0" u="none" strike="noStrike">
                <a:solidFill>
                  <a:srgbClr val="1F497D"/>
                </a:solidFill>
                <a:uFillTx/>
                <a:latin typeface="Calibri"/>
                <a:ea typeface="DejaVu Sans"/>
              </a:defRPr>
            </a:pPr>
          </a:p>
        </c:txPr>
        <c:crossAx val="44466083"/>
        <c:crosses val="autoZero"/>
        <c:auto val="1"/>
        <c:lblAlgn val="ctr"/>
        <c:lblOffset val="100"/>
        <c:noMultiLvlLbl val="0"/>
      </c:catAx>
      <c:valAx>
        <c:axId val="44466083"/>
        <c:scaling>
          <c:orientation val="minMax"/>
        </c:scaling>
        <c:delete val="0"/>
        <c:axPos val="l"/>
        <c:majorGridlines>
          <c:spPr>
            <a:ln w="9360">
              <a:solidFill>
                <a:srgbClr val="D4E3F4"/>
              </a:solidFill>
              <a:round/>
            </a:ln>
          </c:spPr>
        </c:majorGridlines>
        <c:numFmt formatCode="#,##0" sourceLinked="0"/>
        <c:majorTickMark val="none"/>
        <c:minorTickMark val="none"/>
        <c:tickLblPos val="nextTo"/>
        <c:spPr>
          <a:ln w="9360">
            <a:noFill/>
          </a:ln>
        </c:spPr>
        <c:txPr>
          <a:bodyPr/>
          <a:lstStyle/>
          <a:p>
            <a:pPr>
              <a:defRPr sz="900" b="0" u="none" strike="noStrike">
                <a:solidFill>
                  <a:srgbClr val="1F497D"/>
                </a:solidFill>
                <a:uFillTx/>
                <a:latin typeface="Calibri"/>
                <a:ea typeface="DejaVu Sans"/>
              </a:defRPr>
            </a:pPr>
          </a:p>
        </c:txPr>
        <c:crossAx val="52308642"/>
        <c:crosses val="autoZero"/>
        <c:crossBetween val="between"/>
      </c:valAx>
      <c:spPr>
        <a:noFill/>
        <a:ln w="0">
          <a:noFill/>
        </a:ln>
      </c:spPr>
    </c:plotArea>
    <c:legend>
      <c:legendPos val="b"/>
      <c:overlay val="0"/>
      <c:spPr>
        <a:noFill/>
        <a:ln w="0">
          <a:noFill/>
        </a:ln>
      </c:spPr>
      <c:txPr>
        <a:bodyPr/>
        <a:lstStyle/>
        <a:p>
          <a:pPr>
            <a:defRPr sz="900" b="0" u="none" strike="noStrike">
              <a:solidFill>
                <a:srgbClr val="1F497D"/>
              </a:solidFill>
              <a:uFillTx/>
              <a:latin typeface="Calibri"/>
              <a:ea typeface="DejaVu Sans"/>
            </a:defRPr>
          </a:pPr>
        </a:p>
      </c:txPr>
    </c:legend>
    <c:plotVisOnly val="1"/>
    <c:dispBlanksAs val="gap"/>
  </c:chart>
  <c:spPr>
    <a:solidFill>
      <a:srgbClr val="FFFFFF"/>
    </a:solidFill>
    <a:ln w="9360">
      <a:solidFill>
        <a:srgbClr val="D4E3F4"/>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lang="en-US" sz="1600" b="1" u="none" strike="noStrike">
                <a:solidFill>
                  <a:schemeClr val="tx2"/>
                </a:solidFill>
                <a:uFillTx/>
                <a:latin typeface="Calibri"/>
                <a:ea typeface="DejaVu Sans"/>
              </a:rPr>
              <a:t>DOANH THU</a:t>
            </a:r>
          </a:p>
        </c:rich>
      </c:tx>
      <c:overlay val="0"/>
      <c:spPr>
        <a:noFill/>
        <a:ln w="0">
          <a:noFill/>
        </a:ln>
      </c:spPr>
    </c:title>
    <c:autoTitleDeleted val="0"/>
    <c:plotArea>
      <c:barChart>
        <c:barDir val="col"/>
        <c:grouping val="clustered"/>
        <c:varyColors val="0"/>
        <c:ser>
          <c:idx val="0"/>
          <c:order val="0"/>
          <c:tx>
            <c:strRef>
              <c:f>"Kế hoạch"</c:f>
              <c:strCache>
                <c:ptCount val="1"/>
                <c:pt idx="0">
                  <c:v>Kế hoạch</c:v>
                </c:pt>
              </c:strCache>
            </c:strRef>
          </c:tx>
          <c:spPr>
            <a:gradFill>
              <a:gsLst>
                <a:gs pos="0">
                  <a:srgbClr val="FFA963"/>
                </a:gs>
                <a:gs pos="100000">
                  <a:srgbClr val="FFD9C4"/>
                </a:gs>
              </a:gsLst>
              <a:lin ang="16200000"/>
            </a:gradFill>
            <a:ln w="12600">
              <a:noFill/>
            </a:ln>
          </c:spPr>
          <c:invertIfNegative val="0"/>
          <c:dLbls>
            <c:numFmt formatCode="#,##0" sourceLinked="1"/>
            <c:txPr>
              <a:bodyPr wrap="square"/>
              <a:lstStyle/>
              <a:p>
                <a:pPr>
                  <a:defRPr sz="900" b="0" u="none" strike="noStrike">
                    <a:solidFill>
                      <a:srgbClr val="1F497D"/>
                    </a:solidFill>
                    <a:uFillTx/>
                    <a:latin typeface="Calibri"/>
                    <a:ea typeface="DejaVu Sans"/>
                  </a:defRPr>
                </a:pPr>
              </a:p>
            </c:txPr>
            <c:dLblPos val="inEnd"/>
            <c:showLegendKey val="0"/>
            <c:showVal val="1"/>
            <c:showCatName val="0"/>
            <c:showSerName val="0"/>
            <c:showPercent val="0"/>
            <c:separator>; </c:separator>
            <c:showLeaderLines val="0"/>
            <c:extLst>
              <c:ext xmlns:c15="http://schemas.microsoft.com/office/drawing/2012/chart" uri="{CE6537A1-D6FC-4f65-9D91-7224C49458BB}">
                <c15:showLeaderLines val="0"/>
              </c:ext>
            </c:extLst>
          </c:dLbls>
          <c:cat>
            <c:strRef>
              <c:f>BaoCaoQuy!$A$37:$A$39</c:f>
              <c:strCache>
                <c:ptCount val="3"/>
                <c:pt idx="0">
                  <c:v>ITO</c:v>
                </c:pt>
                <c:pt idx="1">
                  <c:v>UNI</c:v>
                </c:pt>
                <c:pt idx="2">
                  <c:v>G2B</c:v>
                </c:pt>
              </c:strCache>
            </c:strRef>
          </c:cat>
          <c:val>
            <c:numRef>
              <c:f>BaoCaoQuy!$H$37:$H$39</c:f>
              <c:numCache>
                <c:formatCode>#,##0</c:formatCode>
                <c:ptCount val="3"/>
                <c:pt idx="0">
                  <c:v>11400000000</c:v>
                </c:pt>
                <c:pt idx="1">
                  <c:v>9300000000</c:v>
                </c:pt>
                <c:pt idx="2">
                  <c:v>9300000000</c:v>
                </c:pt>
              </c:numCache>
            </c:numRef>
          </c:val>
        </c:ser>
        <c:ser>
          <c:idx val="1"/>
          <c:order val="1"/>
          <c:tx>
            <c:strRef>
              <c:f>"Thực tế"</c:f>
              <c:strCache>
                <c:ptCount val="1"/>
                <c:pt idx="0">
                  <c:v>Thực tế</c:v>
                </c:pt>
              </c:strCache>
            </c:strRef>
          </c:tx>
          <c:spPr>
            <a:gradFill>
              <a:gsLst>
                <a:gs pos="0">
                  <a:srgbClr val="FC7200"/>
                </a:gs>
                <a:gs pos="100000">
                  <a:srgbClr val="FFC6B6"/>
                </a:gs>
              </a:gsLst>
              <a:lin ang="16200000"/>
            </a:gradFill>
            <a:ln w="12600">
              <a:noFill/>
            </a:ln>
          </c:spPr>
          <c:invertIfNegative val="0"/>
          <c:dLbls>
            <c:numFmt formatCode="_(* #,##0_);_(* \(#,##0\);_(* \-??_);_(@_)" sourceLinked="1"/>
            <c:txPr>
              <a:bodyPr wrap="square"/>
              <a:lstStyle/>
              <a:p>
                <a:pPr>
                  <a:defRPr sz="900" b="0" u="none" strike="noStrike">
                    <a:solidFill>
                      <a:srgbClr val="1F497D"/>
                    </a:solidFill>
                    <a:uFillTx/>
                    <a:latin typeface="Calibri"/>
                    <a:ea typeface="DejaVu Sans"/>
                  </a:defRPr>
                </a:pPr>
              </a:p>
            </c:txPr>
            <c:dLblPos val="inEnd"/>
            <c:showLegendKey val="0"/>
            <c:showVal val="1"/>
            <c:showCatName val="0"/>
            <c:showSerName val="0"/>
            <c:showPercent val="0"/>
            <c:separator>; </c:separator>
            <c:showLeaderLines val="0"/>
            <c:extLst>
              <c:ext xmlns:c15="http://schemas.microsoft.com/office/drawing/2012/chart" uri="{CE6537A1-D6FC-4f65-9D91-7224C49458BB}">
                <c15:showLeaderLines val="0"/>
              </c:ext>
            </c:extLst>
          </c:dLbls>
          <c:cat>
            <c:strRef>
              <c:f>BaoCaoQuy!$A$37:$A$39</c:f>
              <c:strCache>
                <c:ptCount val="3"/>
                <c:pt idx="0">
                  <c:v>ITO</c:v>
                </c:pt>
                <c:pt idx="1">
                  <c:v>UNI</c:v>
                </c:pt>
                <c:pt idx="2">
                  <c:v>G2B</c:v>
                </c:pt>
              </c:strCache>
            </c:strRef>
          </c:cat>
          <c:val>
            <c:numRef>
              <c:f>BaoCaoQuy!$K$37:$K$39</c:f>
              <c:numCache>
                <c:formatCode>_(* #,##0_);_(* \(#,##0\);_(* \-??_);_(@_)</c:formatCode>
                <c:ptCount val="3"/>
                <c:pt idx="0">
                  <c:v>0</c:v>
                </c:pt>
                <c:pt idx="1">
                  <c:v>0</c:v>
                </c:pt>
                <c:pt idx="2">
                  <c:v>0</c:v>
                </c:pt>
              </c:numCache>
            </c:numRef>
          </c:val>
        </c:ser>
        <c:gapWidth val="100"/>
        <c:overlap val="-24"/>
        <c:axId val="49948011"/>
        <c:axId val="2585892"/>
      </c:barChart>
      <c:catAx>
        <c:axId val="49948011"/>
        <c:scaling>
          <c:orientation val="minMax"/>
        </c:scaling>
        <c:delete val="0"/>
        <c:axPos val="b"/>
        <c:numFmt formatCode="General" sourceLinked="0"/>
        <c:majorTickMark val="none"/>
        <c:minorTickMark val="none"/>
        <c:tickLblPos val="nextTo"/>
        <c:spPr>
          <a:ln w="9360">
            <a:solidFill>
              <a:srgbClr val="D4E3F4"/>
            </a:solidFill>
            <a:round/>
          </a:ln>
        </c:spPr>
        <c:txPr>
          <a:bodyPr/>
          <a:lstStyle/>
          <a:p>
            <a:pPr>
              <a:defRPr sz="900" b="0" u="none" strike="noStrike">
                <a:solidFill>
                  <a:srgbClr val="1F497D"/>
                </a:solidFill>
                <a:uFillTx/>
                <a:latin typeface="Calibri"/>
                <a:ea typeface="DejaVu Sans"/>
              </a:defRPr>
            </a:pPr>
          </a:p>
        </c:txPr>
        <c:crossAx val="2585892"/>
        <c:crosses val="autoZero"/>
        <c:auto val="1"/>
        <c:lblAlgn val="ctr"/>
        <c:lblOffset val="100"/>
        <c:noMultiLvlLbl val="0"/>
      </c:catAx>
      <c:valAx>
        <c:axId val="2585892"/>
        <c:scaling>
          <c:orientation val="minMax"/>
        </c:scaling>
        <c:delete val="0"/>
        <c:axPos val="l"/>
        <c:majorGridlines>
          <c:spPr>
            <a:ln w="9360">
              <a:solidFill>
                <a:srgbClr val="D4E3F4"/>
              </a:solidFill>
              <a:round/>
            </a:ln>
          </c:spPr>
        </c:majorGridlines>
        <c:numFmt formatCode="#,##0" sourceLinked="0"/>
        <c:majorTickMark val="none"/>
        <c:minorTickMark val="none"/>
        <c:tickLblPos val="nextTo"/>
        <c:spPr>
          <a:ln w="9360">
            <a:noFill/>
          </a:ln>
        </c:spPr>
        <c:txPr>
          <a:bodyPr/>
          <a:lstStyle/>
          <a:p>
            <a:pPr>
              <a:defRPr sz="900" b="0" u="none" strike="noStrike">
                <a:solidFill>
                  <a:srgbClr val="1F497D"/>
                </a:solidFill>
                <a:uFillTx/>
                <a:latin typeface="Calibri"/>
                <a:ea typeface="DejaVu Sans"/>
              </a:defRPr>
            </a:pPr>
          </a:p>
        </c:txPr>
        <c:crossAx val="49948011"/>
        <c:crosses val="autoZero"/>
        <c:crossBetween val="between"/>
      </c:valAx>
      <c:spPr>
        <a:noFill/>
        <a:ln w="0">
          <a:noFill/>
        </a:ln>
      </c:spPr>
    </c:plotArea>
    <c:legend>
      <c:legendPos val="b"/>
      <c:overlay val="0"/>
      <c:spPr>
        <a:noFill/>
        <a:ln w="0">
          <a:noFill/>
        </a:ln>
      </c:spPr>
      <c:txPr>
        <a:bodyPr/>
        <a:lstStyle/>
        <a:p>
          <a:pPr>
            <a:defRPr sz="900" b="0" u="none" strike="noStrike">
              <a:solidFill>
                <a:srgbClr val="1F497D"/>
              </a:solidFill>
              <a:uFillTx/>
              <a:latin typeface="Calibri"/>
              <a:ea typeface="DejaVu Sans"/>
            </a:defRPr>
          </a:pPr>
        </a:p>
      </c:txPr>
    </c:legend>
    <c:plotVisOnly val="1"/>
    <c:dispBlanksAs val="gap"/>
  </c:chart>
  <c:spPr>
    <a:solidFill>
      <a:srgbClr val="FFFFFF"/>
    </a:solidFill>
    <a:ln w="9360">
      <a:solidFill>
        <a:srgbClr val="D4E3F4"/>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c:chart>
    <c:title>
      <c:tx>
        <c:rich>
          <a:bodyPr rot="0"/>
          <a:lstStyle/>
          <a:p>
            <a:pPr>
              <a:defRPr sz="1300" b="0" u="none" strike="noStrike">
                <a:uFillTx/>
                <a:latin typeface="Arial"/>
              </a:defRPr>
            </a:pPr>
            <a:r>
              <a:rPr lang="en-US" sz="1400" b="1" u="none" strike="noStrike">
                <a:solidFill>
                  <a:schemeClr val="tx1">
                    <a:lumMod val="65000"/>
                    <a:lumOff val="35000"/>
                  </a:schemeClr>
                </a:solidFill>
                <a:uFillTx/>
                <a:latin typeface="Calibri"/>
                <a:ea typeface="DejaVu Sans"/>
              </a:rPr>
              <a:t>HỢP</a:t>
            </a:r>
            <a:r>
              <a:rPr lang="en-US" sz="1400" b="1" u="none" strike="noStrike">
                <a:solidFill>
                  <a:schemeClr val="tx1">
                    <a:lumMod val="65000"/>
                    <a:lumOff val="35000"/>
                  </a:schemeClr>
                </a:solidFill>
                <a:uFillTx/>
                <a:latin typeface="Calibri"/>
                <a:ea typeface="DejaVu Sans"/>
              </a:rPr>
              <a:t> ĐỒNG - DOANH THU</a:t>
            </a:r>
          </a:p>
        </c:rich>
      </c:tx>
      <c:overlay val="0"/>
      <c:spPr>
        <a:noFill/>
        <a:ln w="25560">
          <a:noFill/>
        </a:ln>
      </c:spPr>
    </c:title>
    <c:autoTitleDeleted val="0"/>
    <c:plotArea>
      <c:barChart>
        <c:barDir val="col"/>
        <c:grouping val="clustered"/>
        <c:varyColors val="0"/>
        <c:ser>
          <c:idx val="0"/>
          <c:order val="0"/>
          <c:tx>
            <c:strRef>
              <c:f>label 0</c:f>
              <c:strCache>
                <c:ptCount val="1"/>
                <c:pt idx="0">
                  <c:v>Kế hoạch</c:v>
                </c:pt>
              </c:strCache>
            </c:strRef>
          </c:tx>
          <c:spPr>
            <a:solidFill>
              <a:srgbClr val="F79646"/>
            </a:solidFill>
            <a:ln w="12600">
              <a:noFill/>
            </a:ln>
          </c:spPr>
          <c:invertIfNegative val="0"/>
          <c:dLbls>
            <c:txPr>
              <a:bodyPr wrap="square"/>
              <a:lstStyle/>
              <a:p>
                <a:pPr>
                  <a:defRPr sz="1000" b="0" u="none" strike="noStrike">
                    <a:solidFill>
                      <a:srgbClr val="000000"/>
                    </a:solidFill>
                    <a:uFillTx/>
                    <a:latin typeface="Calibri"/>
                    <a:ea typeface="DejaVu Sans"/>
                  </a:defRPr>
                </a:pPr>
              </a:p>
            </c:txPr>
            <c:dLblPos val="outEnd"/>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categories</c:f>
              <c:strCache>
                <c:ptCount val="1"/>
                <c:pt idx="0">
                  <c:v>1</c:v>
                </c:pt>
              </c:strCache>
            </c:strRef>
          </c:cat>
          <c:val>
            <c:numRef>
              <c:f>0</c:f>
              <c:numCache>
                <c:formatCode>General</c:formatCode>
                <c:ptCount val="1"/>
                <c:pt idx="0">
                  <c:v>1</c:v>
                </c:pt>
              </c:numCache>
            </c:numRef>
          </c:val>
        </c:ser>
        <c:gapWidth val="150"/>
        <c:overlap val="0"/>
        <c:axId val="93283816"/>
        <c:axId val="75600990"/>
      </c:barChart>
      <c:lineChart>
        <c:grouping val="standard"/>
        <c:varyColors val="0"/>
        <c:ser>
          <c:idx val="1"/>
          <c:order val="1"/>
          <c:tx>
            <c:strRef>
              <c:f>label 1</c:f>
              <c:strCache>
                <c:ptCount val="1"/>
                <c:pt idx="0">
                  <c:v>Hợp đồng</c:v>
                </c:pt>
              </c:strCache>
            </c:strRef>
          </c:tx>
          <c:spPr>
            <a:solidFill>
              <a:srgbClr val="4BACC6"/>
            </a:solidFill>
            <a:ln cap="rnd" w="28440">
              <a:solidFill>
                <a:srgbClr val="4BACC6"/>
              </a:solidFill>
              <a:round/>
            </a:ln>
          </c:spPr>
          <c:marker>
            <c:symbol val="circle"/>
            <c:size val="5"/>
            <c:spPr>
              <a:solidFill>
                <a:srgbClr val="4BACC6"/>
              </a:solidFill>
            </c:spPr>
          </c:marker>
          <c:dPt>
            <c:idx val="0"/>
            <c:marker>
              <c:symbol val="circle"/>
              <c:size val="5"/>
              <c:spPr>
                <a:solidFill>
                  <a:srgbClr val="4BACC6"/>
                </a:solidFill>
              </c:spPr>
            </c:marker>
          </c:dPt>
          <c:dLbls>
            <c:dLbl>
              <c:idx val="0"/>
              <c:layout>
                <c:manualLayout>
                  <c:x val="-0.040464969353134"/>
                  <c:y val="-0.0648148148148148"/>
                </c:manualLayout>
              </c:layout>
              <c:numFmt formatCode="General" sourceLinked="0"/>
              <c:txPr>
                <a:bodyPr wrap="square"/>
                <a:lstStyle/>
                <a:p>
                  <a:pPr>
                    <a:defRPr sz="900" b="0" u="none" strike="noStrike">
                      <a:solidFill>
                        <a:srgbClr val="404040"/>
                      </a:solidFill>
                      <a:uFillTx/>
                      <a:latin typeface="Calibri"/>
                      <a:ea typeface="DejaVu Sans"/>
                    </a:defRPr>
                  </a:pPr>
                </a:p>
              </c:txPr>
              <c:dLblPos val="r"/>
              <c:showLegendKey val="0"/>
              <c:showVal val="1"/>
              <c:showCatName val="0"/>
              <c:showSerName val="0"/>
              <c:showPercent val="0"/>
              <c:separator>; </c:separator>
            </c:dLbl>
            <c:numFmt formatCode="General" sourceLinked="0"/>
            <c:txPr>
              <a:bodyPr wrap="square"/>
              <a:lstStyle/>
              <a:p>
                <a:pPr>
                  <a:defRPr sz="900" b="0" u="none" strike="noStrike">
                    <a:solidFill>
                      <a:srgbClr val="404040"/>
                    </a:solidFill>
                    <a:uFillTx/>
                    <a:latin typeface="Calibri"/>
                    <a:ea typeface="DejaVu Sans"/>
                  </a:defRPr>
                </a:pPr>
              </a:p>
            </c:txPr>
            <c:dLblPos val="r"/>
            <c:showLegendKey val="0"/>
            <c:showVal val="1"/>
            <c:showCatName val="0"/>
            <c:showSerName val="0"/>
            <c:showPercent val="0"/>
            <c:separator>; </c:separator>
            <c:showLeaderLines val="0"/>
            <c:extLst>
              <c:ext xmlns:c15="http://schemas.microsoft.com/office/drawing/2012/chart" uri="{CE6537A1-D6FC-4f65-9D91-7224C49458BB}">
                <c15:showLeaderLines val="0"/>
              </c:ext>
            </c:extLst>
          </c:dLbls>
          <c:cat>
            <c:strRef>
              <c:f>categories</c:f>
              <c:strCache>
                <c:ptCount val="1"/>
                <c:pt idx="0">
                  <c:v>1</c:v>
                </c:pt>
              </c:strCache>
            </c:strRef>
          </c:cat>
          <c:val>
            <c:numRef>
              <c:f>1</c:f>
              <c:numCache>
                <c:formatCode>General</c:formatCode>
                <c:ptCount val="1"/>
                <c:pt idx="0">
                  <c:v>1</c:v>
                </c:pt>
              </c:numCache>
            </c:numRef>
          </c:val>
          <c:smooth val="0"/>
        </c:ser>
        <c:ser>
          <c:idx val="2"/>
          <c:order val="2"/>
          <c:tx>
            <c:strRef>
              <c:f>label 2</c:f>
              <c:strCache>
                <c:ptCount val="1"/>
                <c:pt idx="0">
                  <c:v>Doanh thu</c:v>
                </c:pt>
              </c:strCache>
            </c:strRef>
          </c:tx>
          <c:spPr>
            <a:solidFill>
              <a:srgbClr val="002060"/>
            </a:solidFill>
            <a:ln cap="rnd" w="28440">
              <a:solidFill>
                <a:srgbClr val="002060"/>
              </a:solidFill>
              <a:round/>
            </a:ln>
          </c:spPr>
          <c:marker>
            <c:symbol val="square"/>
            <c:size val="5"/>
            <c:spPr>
              <a:solidFill>
                <a:srgbClr val="002060"/>
              </a:solidFill>
            </c:spPr>
          </c:marker>
          <c:dLbls>
            <c:txPr>
              <a:bodyPr wrap="square"/>
              <a:lstStyle/>
              <a:p>
                <a:pPr>
                  <a:defRPr sz="1000" b="0" u="none" strike="noStrike">
                    <a:solidFill>
                      <a:srgbClr val="000000"/>
                    </a:solidFill>
                    <a:uFillTx/>
                    <a:latin typeface="Calibri"/>
                    <a:ea typeface="DejaVu Sans"/>
                  </a:defRPr>
                </a:pPr>
              </a:p>
            </c:txPr>
            <c:dLblPos val="r"/>
            <c:showLegendKey val="0"/>
            <c:showVal val="0"/>
            <c:showCatName val="0"/>
            <c:showSerName val="0"/>
            <c:showPercent val="0"/>
            <c:separator>; </c:separator>
            <c:showLeaderLines val="1"/>
            <c:leaderLines>
              <c:spPr>
                <a:ln cap="rnd" w="28440">
                  <a:solidFill>
                    <a:srgbClr val="000000"/>
                  </a:solidFill>
                </a:ln>
              </c:spPr>
            </c:leaderLines>
            <c:extLst>
              <c:ext xmlns:c15="http://schemas.microsoft.com/office/drawing/2012/chart" uri="{CE6537A1-D6FC-4f65-9D91-7224C49458BB}">
                <c15:showLeaderLines val="1"/>
              </c:ext>
            </c:extLst>
          </c:dLbls>
          <c:cat>
            <c:strRef>
              <c:f>categories</c:f>
              <c:strCache>
                <c:ptCount val="1"/>
                <c:pt idx="0">
                  <c:v>1</c:v>
                </c:pt>
              </c:strCache>
            </c:strRef>
          </c:cat>
          <c:val>
            <c:numRef>
              <c:f>2</c:f>
              <c:numCache>
                <c:formatCode>General</c:formatCode>
                <c:ptCount val="1"/>
                <c:pt idx="0">
                  <c:v>1</c:v>
                </c:pt>
              </c:numCache>
            </c:numRef>
          </c:val>
          <c:smooth val="0"/>
        </c:ser>
        <c:hiLowLines>
          <c:spPr>
            <a:ln w="0">
              <a:noFill/>
            </a:ln>
          </c:spPr>
        </c:hiLowLines>
        <c:marker val="1"/>
        <c:axId val="93283816"/>
        <c:axId val="75600990"/>
      </c:lineChart>
      <c:catAx>
        <c:axId val="93283816"/>
        <c:scaling>
          <c:orientation val="minMax"/>
        </c:scaling>
        <c:delete val="0"/>
        <c:axPos val="b"/>
        <c:majorGridlines>
          <c:spPr>
            <a:ln w="9360">
              <a:solidFill>
                <a:srgbClr val="D9D9D9"/>
              </a:solidFill>
              <a:round/>
            </a:ln>
          </c:spPr>
        </c:majorGridlines>
        <c:numFmt formatCode="General" sourceLinked="0"/>
        <c:majorTickMark val="none"/>
        <c:minorTickMark val="none"/>
        <c:tickLblPos val="nextTo"/>
        <c:spPr>
          <a:ln w="9360">
            <a:solidFill>
              <a:srgbClr val="BFBFBF"/>
            </a:solidFill>
            <a:round/>
          </a:ln>
        </c:spPr>
        <c:txPr>
          <a:bodyPr/>
          <a:lstStyle/>
          <a:p>
            <a:pPr>
              <a:defRPr sz="900" b="0" u="none" strike="noStrike">
                <a:solidFill>
                  <a:srgbClr val="595959"/>
                </a:solidFill>
                <a:uFillTx/>
                <a:latin typeface="Calibri"/>
                <a:ea typeface="DejaVu Sans"/>
              </a:defRPr>
            </a:pPr>
          </a:p>
        </c:txPr>
        <c:crossAx val="75600990"/>
        <c:crosses val="autoZero"/>
        <c:auto val="1"/>
        <c:lblAlgn val="ctr"/>
        <c:lblOffset val="100"/>
        <c:noMultiLvlLbl val="0"/>
      </c:catAx>
      <c:valAx>
        <c:axId val="75600990"/>
        <c:scaling>
          <c:orientation val="minMax"/>
        </c:scaling>
        <c:delete val="0"/>
        <c:axPos val="l"/>
        <c:majorGridlines>
          <c:spPr>
            <a:ln w="9360">
              <a:solidFill>
                <a:srgbClr val="D9D9D9"/>
              </a:solidFill>
              <a:round/>
            </a:ln>
          </c:spPr>
        </c:majorGridlines>
        <c:numFmt formatCode="General" sourceLinked="0"/>
        <c:majorTickMark val="none"/>
        <c:minorTickMark val="none"/>
        <c:tickLblPos val="nextTo"/>
        <c:spPr>
          <a:ln w="9360">
            <a:solidFill>
              <a:srgbClr val="BFBFBF"/>
            </a:solidFill>
            <a:round/>
          </a:ln>
        </c:spPr>
        <c:txPr>
          <a:bodyPr/>
          <a:lstStyle/>
          <a:p>
            <a:pPr>
              <a:defRPr sz="900" b="0" u="none" strike="noStrike">
                <a:solidFill>
                  <a:srgbClr val="595959"/>
                </a:solidFill>
                <a:uFillTx/>
                <a:latin typeface="Calibri"/>
                <a:ea typeface="DejaVu Sans"/>
              </a:defRPr>
            </a:pPr>
          </a:p>
        </c:txPr>
        <c:crossAx val="93283816"/>
        <c:crosses val="autoZero"/>
        <c:crossBetween val="between"/>
      </c:valAx>
      <c:spPr>
        <a:noFill/>
        <a:ln w="25560">
          <a:noFill/>
        </a:ln>
      </c:spPr>
    </c:plotArea>
    <c:legend>
      <c:legendPos val="b"/>
      <c:overlay val="0"/>
      <c:spPr>
        <a:noFill/>
        <a:ln w="25560">
          <a:noFill/>
        </a:ln>
      </c:spPr>
      <c:txPr>
        <a:bodyPr/>
        <a:lstStyle/>
        <a:p>
          <a:pPr>
            <a:defRPr sz="900" b="0" u="none" strike="noStrike">
              <a:solidFill>
                <a:srgbClr val="595959"/>
              </a:solidFill>
              <a:uFillTx/>
              <a:latin typeface="Calibri"/>
              <a:ea typeface="DejaVu Sans"/>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c:chart>
    <c:autoTitleDeleted val="1"/>
    <c:plotArea>
      <c:layout>
        <c:manualLayout>
          <c:layoutTarget val="inner"/>
          <c:xMode val="edge"/>
          <c:yMode val="edge"/>
          <c:x val="0.143877551020408"/>
          <c:y val="0.0600183462193684"/>
          <c:w val="0.839455782312925"/>
          <c:h val="0.740794129209802"/>
        </c:manualLayout>
      </c:layout>
      <c:barChart>
        <c:barDir val="col"/>
        <c:grouping val="clustered"/>
        <c:varyColors val="0"/>
        <c:ser>
          <c:idx val="0"/>
          <c:order val="0"/>
          <c:tx>
            <c:strRef>
              <c:f>label 0</c:f>
              <c:strCache>
                <c:ptCount val="1"/>
                <c:pt idx="0">
                  <c:v>Kế hoạch năm</c:v>
                </c:pt>
              </c:strCache>
            </c:strRef>
          </c:tx>
          <c:spPr>
            <a:solidFill>
              <a:srgbClr val="71B6CC"/>
            </a:solidFill>
            <a:ln w="12600">
              <a:noFill/>
            </a:ln>
          </c:spPr>
          <c:invertIfNegative val="0"/>
          <c:dLbls>
            <c:txPr>
              <a:bodyPr wrap="square"/>
              <a:lstStyle/>
              <a:p>
                <a:pPr>
                  <a:defRPr sz="1000" b="0" u="none" strike="noStrike">
                    <a:solidFill>
                      <a:srgbClr val="000000"/>
                    </a:solidFill>
                    <a:uFillTx/>
                    <a:latin typeface="Calibri"/>
                    <a:ea typeface="DejaVu Sans"/>
                  </a:defRPr>
                </a:pPr>
              </a:p>
            </c:txPr>
            <c:dLblPos val="outEnd"/>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categories</c:f>
              <c:strCache>
                <c:ptCount val="1"/>
                <c:pt idx="0">
                  <c:v>1</c:v>
                </c:pt>
              </c:strCache>
            </c:strRef>
          </c:cat>
          <c:val>
            <c:numRef>
              <c:f>0</c:f>
              <c:numCache>
                <c:formatCode>General</c:formatCode>
                <c:ptCount val="1"/>
                <c:pt idx="0">
                  <c:v>1</c:v>
                </c:pt>
              </c:numCache>
            </c:numRef>
          </c:val>
        </c:ser>
        <c:gapWidth val="150"/>
        <c:overlap val="0"/>
        <c:axId val="53791812"/>
        <c:axId val="28928067"/>
      </c:barChart>
      <c:lineChart>
        <c:grouping val="standard"/>
        <c:varyColors val="0"/>
        <c:ser>
          <c:idx val="1"/>
          <c:order val="1"/>
          <c:tx>
            <c:strRef>
              <c:f>label 1</c:f>
              <c:strCache>
                <c:ptCount val="1"/>
                <c:pt idx="0">
                  <c:v>Thực tế</c:v>
                </c:pt>
              </c:strCache>
            </c:strRef>
          </c:tx>
          <c:spPr>
            <a:solidFill>
              <a:srgbClr val="E46C0A"/>
            </a:solidFill>
            <a:ln cap="rnd" w="28440">
              <a:solidFill>
                <a:srgbClr val="E46C0A"/>
              </a:solidFill>
              <a:round/>
            </a:ln>
          </c:spPr>
          <c:marker>
            <c:symbol val="circle"/>
            <c:size val="5"/>
            <c:spPr>
              <a:solidFill>
                <a:srgbClr val="E46C0A"/>
              </a:solidFill>
            </c:spPr>
          </c:marker>
          <c:dLbls>
            <c:numFmt formatCode="General" sourceLinked="0"/>
            <c:txPr>
              <a:bodyPr wrap="square"/>
              <a:lstStyle/>
              <a:p>
                <a:pPr>
                  <a:defRPr sz="900" b="0" u="none" strike="noStrike">
                    <a:solidFill>
                      <a:srgbClr val="404040"/>
                    </a:solidFill>
                    <a:uFillTx/>
                    <a:latin typeface="Calibri"/>
                    <a:ea typeface="DejaVu Sans"/>
                  </a:defRPr>
                </a:pPr>
              </a:p>
            </c:txPr>
            <c:dLblPos val="t"/>
            <c:showLegendKey val="0"/>
            <c:showVal val="1"/>
            <c:showCatName val="0"/>
            <c:showSerName val="0"/>
            <c:showPercent val="0"/>
            <c:separator>; </c:separator>
            <c:showLeaderLines val="0"/>
            <c:extLst>
              <c:ext xmlns:c15="http://schemas.microsoft.com/office/drawing/2012/chart" uri="{CE6537A1-D6FC-4f65-9D91-7224C49458BB}">
                <c15:showLeaderLines val="0"/>
              </c:ext>
            </c:extLst>
          </c:dLbls>
          <c:cat>
            <c:strRef>
              <c:f>categories</c:f>
              <c:strCache>
                <c:ptCount val="1"/>
                <c:pt idx="0">
                  <c:v>1</c:v>
                </c:pt>
              </c:strCache>
            </c:strRef>
          </c:cat>
          <c:val>
            <c:numRef>
              <c:f>1</c:f>
              <c:numCache>
                <c:formatCode>General</c:formatCode>
                <c:ptCount val="1"/>
                <c:pt idx="0">
                  <c:v>1</c:v>
                </c:pt>
              </c:numCache>
            </c:numRef>
          </c:val>
          <c:smooth val="0"/>
        </c:ser>
        <c:hiLowLines>
          <c:spPr>
            <a:ln w="0">
              <a:noFill/>
            </a:ln>
          </c:spPr>
        </c:hiLowLines>
        <c:marker val="1"/>
        <c:axId val="53791812"/>
        <c:axId val="28928067"/>
      </c:lineChart>
      <c:catAx>
        <c:axId val="53791812"/>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sz="900" b="0" u="none" strike="noStrike">
                <a:solidFill>
                  <a:srgbClr val="595959"/>
                </a:solidFill>
                <a:uFillTx/>
                <a:latin typeface="Calibri"/>
                <a:ea typeface="DejaVu Sans"/>
              </a:defRPr>
            </a:pPr>
          </a:p>
        </c:txPr>
        <c:crossAx val="28928067"/>
        <c:crosses val="autoZero"/>
        <c:auto val="1"/>
        <c:lblAlgn val="ctr"/>
        <c:lblOffset val="100"/>
        <c:noMultiLvlLbl val="0"/>
      </c:catAx>
      <c:valAx>
        <c:axId val="28928067"/>
        <c:scaling>
          <c:orientation val="minMax"/>
        </c:scaling>
        <c:delete val="0"/>
        <c:axPos val="l"/>
        <c:majorGridlines>
          <c:spPr>
            <a:ln w="9360">
              <a:solidFill>
                <a:srgbClr val="D9D9D9"/>
              </a:solidFill>
              <a:round/>
            </a:ln>
          </c:spPr>
        </c:majorGridlines>
        <c:title>
          <c:tx>
            <c:rich>
              <a:bodyPr rot="-5400000"/>
              <a:lstStyle/>
              <a:p>
                <a:pPr>
                  <a:defRPr sz="1300" b="0" u="none" strike="noStrike">
                    <a:uFillTx/>
                    <a:latin typeface="Arial"/>
                  </a:defRPr>
                </a:pPr>
                <a:r>
                  <a:rPr lang="en-US" sz="1000" b="1" u="none" strike="noStrike">
                    <a:solidFill>
                      <a:schemeClr val="tx1">
                        <a:lumMod val="65000"/>
                        <a:lumOff val="35000"/>
                      </a:schemeClr>
                    </a:solidFill>
                    <a:uFillTx/>
                    <a:latin typeface="Calibri"/>
                    <a:ea typeface="DejaVu Sans"/>
                  </a:rPr>
                  <a:t>HỢP</a:t>
                </a:r>
                <a:r>
                  <a:rPr lang="en-US" sz="1000" b="1" u="none" strike="noStrike">
                    <a:solidFill>
                      <a:schemeClr val="tx1">
                        <a:lumMod val="65000"/>
                        <a:lumOff val="35000"/>
                      </a:schemeClr>
                    </a:solidFill>
                    <a:uFillTx/>
                    <a:latin typeface="Calibri"/>
                    <a:ea typeface="DejaVu Sans"/>
                  </a:rPr>
                  <a:t> ĐỒNG</a:t>
                </a:r>
              </a:p>
            </c:rich>
          </c:tx>
          <c:overlay val="0"/>
          <c:spPr>
            <a:noFill/>
            <a:ln w="25560">
              <a:noFill/>
            </a:ln>
          </c:spPr>
        </c:title>
        <c:numFmt formatCode="General" sourceLinked="0"/>
        <c:majorTickMark val="none"/>
        <c:minorTickMark val="none"/>
        <c:tickLblPos val="nextTo"/>
        <c:spPr>
          <a:ln w="9360">
            <a:noFill/>
          </a:ln>
        </c:spPr>
        <c:txPr>
          <a:bodyPr/>
          <a:lstStyle/>
          <a:p>
            <a:pPr>
              <a:defRPr sz="900" b="0" u="none" strike="noStrike">
                <a:solidFill>
                  <a:srgbClr val="595959"/>
                </a:solidFill>
                <a:uFillTx/>
                <a:latin typeface="Calibri"/>
                <a:ea typeface="DejaVu Sans"/>
              </a:defRPr>
            </a:pPr>
          </a:p>
        </c:txPr>
        <c:crossAx val="53791812"/>
        <c:crosses val="autoZero"/>
        <c:crossBetween val="between"/>
      </c:valAx>
      <c:spPr>
        <a:noFill/>
        <a:ln w="25560">
          <a:noFill/>
        </a:ln>
      </c:spPr>
    </c:plotArea>
    <c:legend>
      <c:legendPos val="b"/>
      <c:overlay val="0"/>
      <c:spPr>
        <a:noFill/>
        <a:ln w="25560">
          <a:noFill/>
        </a:ln>
      </c:spPr>
      <c:txPr>
        <a:bodyPr/>
        <a:lstStyle/>
        <a:p>
          <a:pPr>
            <a:defRPr sz="900" b="0" u="none" strike="noStrike">
              <a:solidFill>
                <a:srgbClr val="595959"/>
              </a:solidFill>
              <a:uFillTx/>
              <a:latin typeface="Calibri"/>
              <a:ea typeface="DejaVu Sans"/>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c:chart>
    <c:autoTitleDeleted val="1"/>
    <c:plotArea>
      <c:barChart>
        <c:barDir val="col"/>
        <c:grouping val="clustered"/>
        <c:varyColors val="0"/>
        <c:ser>
          <c:idx val="0"/>
          <c:order val="0"/>
          <c:tx>
            <c:strRef>
              <c:f>label 0</c:f>
              <c:strCache>
                <c:ptCount val="1"/>
                <c:pt idx="0">
                  <c:v>Kế hoạch năm</c:v>
                </c:pt>
              </c:strCache>
            </c:strRef>
          </c:tx>
          <c:spPr>
            <a:solidFill>
              <a:srgbClr val="F7A46E"/>
            </a:solidFill>
            <a:ln w="12600">
              <a:noFill/>
            </a:ln>
          </c:spPr>
          <c:invertIfNegative val="0"/>
          <c:dLbls>
            <c:txPr>
              <a:bodyPr wrap="square"/>
              <a:lstStyle/>
              <a:p>
                <a:pPr>
                  <a:defRPr sz="1000" b="0" u="none" strike="noStrike">
                    <a:solidFill>
                      <a:srgbClr val="000000"/>
                    </a:solidFill>
                    <a:uFillTx/>
                    <a:latin typeface="Calibri"/>
                    <a:ea typeface="DejaVu Sans"/>
                  </a:defRPr>
                </a:pPr>
              </a:p>
            </c:txPr>
            <c:dLblPos val="outEnd"/>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categories</c:f>
              <c:strCache>
                <c:ptCount val="1"/>
                <c:pt idx="0">
                  <c:v>1</c:v>
                </c:pt>
              </c:strCache>
            </c:strRef>
          </c:cat>
          <c:val>
            <c:numRef>
              <c:f>0</c:f>
              <c:numCache>
                <c:formatCode>General</c:formatCode>
                <c:ptCount val="1"/>
                <c:pt idx="0">
                  <c:v>1</c:v>
                </c:pt>
              </c:numCache>
            </c:numRef>
          </c:val>
        </c:ser>
        <c:gapWidth val="150"/>
        <c:overlap val="0"/>
        <c:axId val="69166876"/>
        <c:axId val="26346493"/>
      </c:barChart>
      <c:lineChart>
        <c:grouping val="standard"/>
        <c:varyColors val="0"/>
        <c:ser>
          <c:idx val="1"/>
          <c:order val="1"/>
          <c:tx>
            <c:strRef>
              <c:f>label 1</c:f>
              <c:strCache>
                <c:ptCount val="1"/>
                <c:pt idx="0">
                  <c:v>Thực tế</c:v>
                </c:pt>
              </c:strCache>
            </c:strRef>
          </c:tx>
          <c:spPr>
            <a:solidFill>
              <a:srgbClr val="4BACC6"/>
            </a:solidFill>
            <a:ln cap="rnd" w="28440">
              <a:solidFill>
                <a:srgbClr val="4BACC6"/>
              </a:solidFill>
              <a:round/>
            </a:ln>
          </c:spPr>
          <c:marker>
            <c:symbol val="circle"/>
            <c:size val="5"/>
            <c:spPr>
              <a:solidFill>
                <a:srgbClr val="4BACC6"/>
              </a:solidFill>
            </c:spPr>
          </c:marker>
          <c:dLbls>
            <c:numFmt formatCode="General" sourceLinked="0"/>
            <c:txPr>
              <a:bodyPr wrap="square"/>
              <a:lstStyle/>
              <a:p>
                <a:pPr>
                  <a:defRPr sz="900" b="0" u="none" strike="noStrike">
                    <a:solidFill>
                      <a:srgbClr val="404040"/>
                    </a:solidFill>
                    <a:uFillTx/>
                    <a:latin typeface="Calibri"/>
                    <a:ea typeface="DejaVu Sans"/>
                  </a:defRPr>
                </a:pPr>
              </a:p>
            </c:txPr>
            <c:dLblPos val="t"/>
            <c:showLegendKey val="0"/>
            <c:showVal val="1"/>
            <c:showCatName val="0"/>
            <c:showSerName val="0"/>
            <c:showPercent val="0"/>
            <c:separator>; </c:separator>
            <c:showLeaderLines val="0"/>
            <c:extLst>
              <c:ext xmlns:c15="http://schemas.microsoft.com/office/drawing/2012/chart" uri="{CE6537A1-D6FC-4f65-9D91-7224C49458BB}">
                <c15:showLeaderLines val="0"/>
              </c:ext>
            </c:extLst>
          </c:dLbls>
          <c:cat>
            <c:strRef>
              <c:f>categories</c:f>
              <c:strCache>
                <c:ptCount val="1"/>
                <c:pt idx="0">
                  <c:v>1</c:v>
                </c:pt>
              </c:strCache>
            </c:strRef>
          </c:cat>
          <c:val>
            <c:numRef>
              <c:f>1</c:f>
              <c:numCache>
                <c:formatCode>General</c:formatCode>
                <c:ptCount val="1"/>
                <c:pt idx="0">
                  <c:v>1</c:v>
                </c:pt>
              </c:numCache>
            </c:numRef>
          </c:val>
          <c:smooth val="0"/>
        </c:ser>
        <c:hiLowLines>
          <c:spPr>
            <a:ln w="0">
              <a:noFill/>
            </a:ln>
          </c:spPr>
        </c:hiLowLines>
        <c:marker val="1"/>
        <c:axId val="69166876"/>
        <c:axId val="26346493"/>
      </c:lineChart>
      <c:catAx>
        <c:axId val="69166876"/>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sz="900" b="0" u="none" strike="noStrike">
                <a:solidFill>
                  <a:srgbClr val="595959"/>
                </a:solidFill>
                <a:uFillTx/>
                <a:latin typeface="Calibri"/>
                <a:ea typeface="DejaVu Sans"/>
              </a:defRPr>
            </a:pPr>
          </a:p>
        </c:txPr>
        <c:crossAx val="26346493"/>
        <c:crosses val="autoZero"/>
        <c:auto val="1"/>
        <c:lblAlgn val="ctr"/>
        <c:lblOffset val="100"/>
        <c:noMultiLvlLbl val="0"/>
      </c:catAx>
      <c:valAx>
        <c:axId val="26346493"/>
        <c:scaling>
          <c:orientation val="minMax"/>
        </c:scaling>
        <c:delete val="0"/>
        <c:axPos val="l"/>
        <c:majorGridlines>
          <c:spPr>
            <a:ln w="9360">
              <a:solidFill>
                <a:srgbClr val="D9D9D9"/>
              </a:solidFill>
              <a:round/>
            </a:ln>
          </c:spPr>
        </c:majorGridlines>
        <c:title>
          <c:tx>
            <c:rich>
              <a:bodyPr rot="-5400000"/>
              <a:lstStyle/>
              <a:p>
                <a:pPr>
                  <a:defRPr sz="1300" b="0" u="none" strike="noStrike">
                    <a:uFillTx/>
                    <a:latin typeface="Arial"/>
                  </a:defRPr>
                </a:pPr>
                <a:r>
                  <a:rPr lang="en-US" sz="1000" b="1" u="none" strike="noStrike">
                    <a:solidFill>
                      <a:schemeClr val="tx1">
                        <a:lumMod val="65000"/>
                        <a:lumOff val="35000"/>
                      </a:schemeClr>
                    </a:solidFill>
                    <a:uFillTx/>
                    <a:latin typeface="Calibri"/>
                    <a:ea typeface="DejaVu Sans"/>
                  </a:rPr>
                  <a:t>DOANH THU</a:t>
                </a:r>
              </a:p>
            </c:rich>
          </c:tx>
          <c:overlay val="0"/>
          <c:spPr>
            <a:noFill/>
            <a:ln w="25560">
              <a:noFill/>
            </a:ln>
          </c:spPr>
        </c:title>
        <c:numFmt formatCode="General" sourceLinked="0"/>
        <c:majorTickMark val="none"/>
        <c:minorTickMark val="none"/>
        <c:tickLblPos val="nextTo"/>
        <c:spPr>
          <a:ln w="9360">
            <a:noFill/>
          </a:ln>
        </c:spPr>
        <c:txPr>
          <a:bodyPr/>
          <a:lstStyle/>
          <a:p>
            <a:pPr>
              <a:defRPr sz="900" b="0" u="none" strike="noStrike">
                <a:solidFill>
                  <a:srgbClr val="595959"/>
                </a:solidFill>
                <a:uFillTx/>
                <a:latin typeface="Calibri"/>
                <a:ea typeface="DejaVu Sans"/>
              </a:defRPr>
            </a:pPr>
          </a:p>
        </c:txPr>
        <c:crossAx val="69166876"/>
        <c:crosses val="autoZero"/>
        <c:crossBetween val="between"/>
      </c:valAx>
      <c:spPr>
        <a:noFill/>
        <a:ln w="25560">
          <a:noFill/>
        </a:ln>
      </c:spPr>
    </c:plotArea>
    <c:legend>
      <c:legendPos val="b"/>
      <c:overlay val="0"/>
      <c:spPr>
        <a:noFill/>
        <a:ln w="25560">
          <a:noFill/>
        </a:ln>
      </c:spPr>
      <c:txPr>
        <a:bodyPr/>
        <a:lstStyle/>
        <a:p>
          <a:pPr>
            <a:defRPr sz="900" b="0" u="none" strike="noStrike">
              <a:solidFill>
                <a:srgbClr val="595959"/>
              </a:solidFill>
              <a:uFillTx/>
              <a:latin typeface="Calibri"/>
              <a:ea typeface="DejaVu Sans"/>
            </a:defRPr>
          </a:pPr>
        </a:p>
      </c:txPr>
    </c:legend>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pieChart>
        <c:varyColors val="1"/>
        <c:ser>
          <c:idx val="0"/>
          <c:order val="0"/>
          <c:spPr>
            <a:solidFill>
              <a:srgbClr val="F79646"/>
            </a:solidFill>
            <a:ln w="0">
              <a:noFill/>
            </a:ln>
          </c:spPr>
          <c:explosion val="0"/>
          <c:dPt>
            <c:idx val="0"/>
            <c:spPr>
              <a:solidFill>
                <a:srgbClr val="4F81BD"/>
              </a:solidFill>
              <a:ln w="19080">
                <a:noFill/>
              </a:ln>
            </c:spPr>
          </c:dPt>
          <c:dPt>
            <c:idx val="1"/>
            <c:spPr>
              <a:solidFill>
                <a:srgbClr val="9BBB59"/>
              </a:solidFill>
              <a:ln w="19080">
                <a:solidFill>
                  <a:srgbClr val="FFFFFF"/>
                </a:solidFill>
                <a:round/>
              </a:ln>
            </c:spPr>
          </c:dPt>
          <c:dPt>
            <c:idx val="2"/>
            <c:spPr>
              <a:solidFill>
                <a:srgbClr val="4BACC6"/>
              </a:solidFill>
              <a:ln w="19080">
                <a:solidFill>
                  <a:srgbClr val="FFFFFF"/>
                </a:solidFill>
                <a:round/>
              </a:ln>
            </c:spPr>
          </c:dPt>
          <c:dLbls>
            <c:dLbl>
              <c:idx val="0"/>
              <c:numFmt formatCode="0.0%" sourceLinked="1"/>
              <c:txPr>
                <a:bodyPr wrap="square"/>
                <a:lstStyle/>
                <a:p>
                  <a:pPr>
                    <a:defRPr sz="900" b="0" u="none" strike="noStrike">
                      <a:solidFill>
                        <a:srgbClr val="404040"/>
                      </a:solidFill>
                      <a:uFillTx/>
                      <a:latin typeface="Calibri"/>
                      <a:ea typeface="DejaVu Sans"/>
                    </a:defRPr>
                  </a:pPr>
                </a:p>
              </c:txPr>
              <c:dLblPos val="bestFit"/>
              <c:showLegendKey val="0"/>
              <c:showVal val="1"/>
              <c:showCatName val="0"/>
              <c:showSerName val="0"/>
              <c:showPercent val="0"/>
              <c:separator>; </c:separator>
            </c:dLbl>
            <c:dLbl>
              <c:idx val="1"/>
              <c:numFmt formatCode="0.0%" sourceLinked="1"/>
              <c:txPr>
                <a:bodyPr wrap="square"/>
                <a:lstStyle/>
                <a:p>
                  <a:pPr>
                    <a:defRPr sz="900" b="0" u="none" strike="noStrike">
                      <a:solidFill>
                        <a:srgbClr val="404040"/>
                      </a:solidFill>
                      <a:uFillTx/>
                      <a:latin typeface="Calibri"/>
                      <a:ea typeface="DejaVu Sans"/>
                    </a:defRPr>
                  </a:pPr>
                </a:p>
              </c:txPr>
              <c:dLblPos val="bestFit"/>
              <c:showLegendKey val="0"/>
              <c:showVal val="1"/>
              <c:showCatName val="0"/>
              <c:showSerName val="0"/>
              <c:showPercent val="0"/>
              <c:separator>; </c:separator>
            </c:dLbl>
            <c:dLbl>
              <c:idx val="2"/>
              <c:numFmt formatCode="0.0%" sourceLinked="1"/>
              <c:txPr>
                <a:bodyPr wrap="square"/>
                <a:lstStyle/>
                <a:p>
                  <a:pPr>
                    <a:defRPr sz="900" b="0" u="none" strike="noStrike">
                      <a:solidFill>
                        <a:srgbClr val="404040"/>
                      </a:solidFill>
                      <a:uFillTx/>
                      <a:latin typeface="Calibri"/>
                      <a:ea typeface="DejaVu Sans"/>
                    </a:defRPr>
                  </a:pPr>
                </a:p>
              </c:txPr>
              <c:dLblPos val="bestFit"/>
              <c:showLegendKey val="0"/>
              <c:showVal val="1"/>
              <c:showCatName val="0"/>
              <c:showSerName val="0"/>
              <c:showPercent val="0"/>
              <c:separator>; </c:separator>
            </c:dLbl>
            <c:numFmt formatCode="0.0%" sourceLinked="1"/>
            <c:txPr>
              <a:bodyPr wrap="square"/>
              <a:lstStyle/>
              <a:p>
                <a:pPr>
                  <a:defRPr sz="900" b="0" u="none" strike="noStrike">
                    <a:solidFill>
                      <a:srgbClr val="404040"/>
                    </a:solidFill>
                    <a:uFillTx/>
                    <a:latin typeface="Calibri"/>
                    <a:ea typeface="DejaVu Sans"/>
                  </a:defRPr>
                </a:pPr>
              </a:p>
            </c:txPr>
            <c:dLblPos val="bestFit"/>
            <c:showLegendKey val="0"/>
            <c:showVal val="1"/>
            <c:showCatName val="0"/>
            <c:showSerName val="0"/>
            <c:showPercent val="0"/>
            <c:separator>; </c:separator>
            <c:showLeaderLines val="1"/>
            <c:leaderLines>
              <c:spPr>
                <a:ln w="0">
                  <a:solidFill>
                    <a:srgbClr val="A6A6A6"/>
                  </a:solidFill>
                </a:ln>
              </c:spPr>
            </c:leaderLines>
          </c:dLbls>
          <c:cat>
            <c:strRef>
              <c:f>BaoCaoQuy!$A$37:$A$39</c:f>
              <c:strCache>
                <c:ptCount val="3"/>
                <c:pt idx="0">
                  <c:v>ITO</c:v>
                </c:pt>
                <c:pt idx="1">
                  <c:v>UNI</c:v>
                </c:pt>
                <c:pt idx="2">
                  <c:v>G2B</c:v>
                </c:pt>
              </c:strCache>
            </c:strRef>
          </c:cat>
          <c:val>
            <c:numRef>
              <c:f>BaoCaoQuy!$G$37:$G$39</c:f>
              <c:numCache>
                <c:formatCode>0.0%</c:formatCode>
                <c:ptCount val="3"/>
                <c:pt idx="0">
                  <c:v>0</c:v>
                </c:pt>
                <c:pt idx="1">
                  <c:v>0</c:v>
                </c:pt>
                <c:pt idx="2">
                  <c:v>0</c:v>
                </c:pt>
              </c:numCache>
            </c:numRef>
          </c:val>
        </c:ser>
        <c:firstSliceAng val="0"/>
      </c:pieChart>
      <c:spPr>
        <a:noFill/>
        <a:ln w="0">
          <a:noFill/>
        </a:ln>
      </c:spPr>
    </c:plotArea>
    <c:legend>
      <c:legendPos val="b"/>
      <c:overlay val="0"/>
      <c:spPr>
        <a:noFill/>
        <a:ln w="0">
          <a:noFill/>
        </a:ln>
      </c:spPr>
      <c:txPr>
        <a:bodyPr/>
        <a:lstStyle/>
        <a:p>
          <a:pPr>
            <a:defRPr sz="900" b="0" u="none" strike="noStrike">
              <a:solidFill>
                <a:srgbClr val="595959"/>
              </a:solidFill>
              <a:uFillTx/>
              <a:latin typeface="Calibri"/>
              <a:ea typeface="DejaVu Sans"/>
            </a:defRPr>
          </a:pPr>
        </a:p>
      </c:txPr>
    </c:legend>
    <c:plotVisOnly val="1"/>
    <c:dispBlanksAs val="zero"/>
  </c:chart>
  <c:spPr>
    <a:solidFill>
      <a:srgbClr val="FFFFFF"/>
    </a:solidFill>
    <a:ln w="9360">
      <a:solidFill>
        <a:srgbClr val="D9D9D9"/>
      </a:solidFill>
      <a:round/>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pieChart>
        <c:varyColors val="1"/>
        <c:ser>
          <c:idx val="0"/>
          <c:order val="0"/>
          <c:spPr>
            <a:solidFill>
              <a:srgbClr val="F8B590"/>
            </a:solidFill>
            <a:ln w="0">
              <a:noFill/>
            </a:ln>
          </c:spPr>
          <c:explosion val="0"/>
          <c:dPt>
            <c:idx val="0"/>
            <c:spPr>
              <a:solidFill>
                <a:srgbClr val="F79646"/>
              </a:solidFill>
              <a:ln w="19080">
                <a:solidFill>
                  <a:srgbClr val="FFFFFF"/>
                </a:solidFill>
                <a:round/>
              </a:ln>
            </c:spPr>
          </c:dPt>
          <c:dPt>
            <c:idx val="1"/>
            <c:spPr>
              <a:solidFill>
                <a:srgbClr val="4BACC6"/>
              </a:solidFill>
              <a:ln w="19080">
                <a:solidFill>
                  <a:srgbClr val="FFFFFF"/>
                </a:solidFill>
                <a:round/>
              </a:ln>
            </c:spPr>
          </c:dPt>
          <c:dPt>
            <c:idx val="2"/>
            <c:spPr>
              <a:solidFill>
                <a:srgbClr val="8064A2"/>
              </a:solidFill>
              <a:ln w="19080">
                <a:solidFill>
                  <a:srgbClr val="FFFFFF"/>
                </a:solidFill>
                <a:round/>
              </a:ln>
            </c:spPr>
          </c:dPt>
          <c:dLbls>
            <c:dLbl>
              <c:idx val="0"/>
              <c:numFmt formatCode="0.0%" sourceLinked="1"/>
              <c:txPr>
                <a:bodyPr wrap="square"/>
                <a:lstStyle/>
                <a:p>
                  <a:pPr>
                    <a:defRPr sz="900" b="0" u="none" strike="noStrike">
                      <a:solidFill>
                        <a:srgbClr val="404040"/>
                      </a:solidFill>
                      <a:uFillTx/>
                      <a:latin typeface="Calibri"/>
                      <a:ea typeface="DejaVu Sans"/>
                    </a:defRPr>
                  </a:pPr>
                </a:p>
              </c:txPr>
              <c:dLblPos val="bestFit"/>
              <c:showLegendKey val="0"/>
              <c:showVal val="1"/>
              <c:showCatName val="0"/>
              <c:showSerName val="0"/>
              <c:showPercent val="0"/>
              <c:separator>; </c:separator>
            </c:dLbl>
            <c:dLbl>
              <c:idx val="1"/>
              <c:numFmt formatCode="0.0%" sourceLinked="1"/>
              <c:txPr>
                <a:bodyPr wrap="square"/>
                <a:lstStyle/>
                <a:p>
                  <a:pPr>
                    <a:defRPr sz="900" b="0" u="none" strike="noStrike">
                      <a:solidFill>
                        <a:srgbClr val="404040"/>
                      </a:solidFill>
                      <a:uFillTx/>
                      <a:latin typeface="Calibri"/>
                      <a:ea typeface="DejaVu Sans"/>
                    </a:defRPr>
                  </a:pPr>
                </a:p>
              </c:txPr>
              <c:dLblPos val="bestFit"/>
              <c:showLegendKey val="0"/>
              <c:showVal val="1"/>
              <c:showCatName val="0"/>
              <c:showSerName val="0"/>
              <c:showPercent val="0"/>
              <c:separator>; </c:separator>
            </c:dLbl>
            <c:dLbl>
              <c:idx val="2"/>
              <c:numFmt formatCode="0.0%" sourceLinked="1"/>
              <c:txPr>
                <a:bodyPr wrap="square"/>
                <a:lstStyle/>
                <a:p>
                  <a:pPr>
                    <a:defRPr sz="900" b="0" u="none" strike="noStrike">
                      <a:solidFill>
                        <a:srgbClr val="404040"/>
                      </a:solidFill>
                      <a:uFillTx/>
                      <a:latin typeface="Calibri"/>
                      <a:ea typeface="DejaVu Sans"/>
                    </a:defRPr>
                  </a:pPr>
                </a:p>
              </c:txPr>
              <c:dLblPos val="bestFit"/>
              <c:showLegendKey val="0"/>
              <c:showVal val="1"/>
              <c:showCatName val="0"/>
              <c:showSerName val="0"/>
              <c:showPercent val="0"/>
              <c:separator>; </c:separator>
            </c:dLbl>
            <c:numFmt formatCode="0.0%" sourceLinked="1"/>
            <c:txPr>
              <a:bodyPr wrap="square"/>
              <a:lstStyle/>
              <a:p>
                <a:pPr>
                  <a:defRPr sz="900" b="0" u="none" strike="noStrike">
                    <a:solidFill>
                      <a:srgbClr val="404040"/>
                    </a:solidFill>
                    <a:uFillTx/>
                    <a:latin typeface="Calibri"/>
                    <a:ea typeface="DejaVu Sans"/>
                  </a:defRPr>
                </a:pPr>
              </a:p>
            </c:txPr>
            <c:dLblPos val="bestFit"/>
            <c:showLegendKey val="0"/>
            <c:showVal val="1"/>
            <c:showCatName val="0"/>
            <c:showSerName val="0"/>
            <c:showPercent val="0"/>
            <c:separator>; </c:separator>
            <c:showLeaderLines val="1"/>
            <c:leaderLines>
              <c:spPr>
                <a:ln w="0">
                  <a:solidFill>
                    <a:srgbClr val="A6A6A6"/>
                  </a:solidFill>
                </a:ln>
              </c:spPr>
            </c:leaderLines>
          </c:dLbls>
          <c:cat>
            <c:strRef>
              <c:f>BaoCaoQuy!$A$37:$A$39</c:f>
              <c:strCache>
                <c:ptCount val="3"/>
                <c:pt idx="0">
                  <c:v>ITO</c:v>
                </c:pt>
                <c:pt idx="1">
                  <c:v>UNI</c:v>
                </c:pt>
                <c:pt idx="2">
                  <c:v>G2B</c:v>
                </c:pt>
              </c:strCache>
            </c:strRef>
          </c:cat>
          <c:val>
            <c:numRef>
              <c:f>BaoCaoQuy!$M$37:$M$39</c:f>
              <c:numCache>
                <c:formatCode>0.0%</c:formatCode>
                <c:ptCount val="3"/>
                <c:pt idx="0">
                  <c:v>0</c:v>
                </c:pt>
                <c:pt idx="1">
                  <c:v>0</c:v>
                </c:pt>
                <c:pt idx="2">
                  <c:v>0</c:v>
                </c:pt>
              </c:numCache>
            </c:numRef>
          </c:val>
        </c:ser>
        <c:firstSliceAng val="0"/>
      </c:pieChart>
      <c:spPr>
        <a:noFill/>
        <a:ln w="0">
          <a:noFill/>
        </a:ln>
      </c:spPr>
    </c:plotArea>
    <c:legend>
      <c:legendPos val="b"/>
      <c:overlay val="0"/>
      <c:spPr>
        <a:noFill/>
        <a:ln w="0">
          <a:noFill/>
        </a:ln>
      </c:spPr>
      <c:txPr>
        <a:bodyPr/>
        <a:lstStyle/>
        <a:p>
          <a:pPr>
            <a:defRPr sz="900" b="0" u="none" strike="noStrike">
              <a:solidFill>
                <a:srgbClr val="595959"/>
              </a:solidFill>
              <a:uFillTx/>
              <a:latin typeface="Calibri"/>
              <a:ea typeface="DejaVu Sans"/>
            </a:defRPr>
          </a:pPr>
        </a:p>
      </c:txPr>
    </c:legend>
    <c:plotVisOnly val="1"/>
    <c:dispBlanksAs val="zero"/>
  </c:chart>
  <c:spPr>
    <a:solidFill>
      <a:srgbClr val="FFFFFF"/>
    </a:solidFill>
    <a:ln w="9360">
      <a:solidFill>
        <a:srgbClr val="D9D9D9"/>
      </a:solidFill>
      <a:round/>
    </a:ln>
  </c:spPr>
</c:chartSpace>
</file>

<file path=xl/charts/chart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lang="en-US" sz="1400" b="0" u="none" strike="noStrike">
                <a:solidFill>
                  <a:schemeClr val="tx1"/>
                </a:solidFill>
                <a:uFillTx/>
                <a:latin typeface="Calibri"/>
                <a:ea typeface="DejaVu Sans"/>
              </a:rPr>
              <a:t>Hợp</a:t>
            </a:r>
            <a:r>
              <a:rPr lang="en-US" sz="1400" b="0" u="none" strike="noStrike">
                <a:solidFill>
                  <a:schemeClr val="tx1"/>
                </a:solidFill>
                <a:uFillTx/>
                <a:latin typeface="Calibri"/>
                <a:ea typeface="DejaVu Sans"/>
              </a:rPr>
              <a:t> đồng</a:t>
            </a:r>
          </a:p>
        </c:rich>
      </c:tx>
      <c:overlay val="0"/>
      <c:spPr>
        <a:noFill/>
        <a:ln w="0">
          <a:noFill/>
        </a:ln>
      </c:spPr>
    </c:title>
    <c:autoTitleDeleted val="0"/>
    <c:plotArea>
      <c:pieChart>
        <c:varyColors val="1"/>
        <c:ser>
          <c:idx val="0"/>
          <c:order val="0"/>
          <c:spPr>
            <a:solidFill>
              <a:srgbClr val="4F81BD"/>
            </a:solidFill>
            <a:ln w="0">
              <a:noFill/>
            </a:ln>
          </c:spPr>
          <c:explosion val="0"/>
          <c:dPt>
            <c:idx val="0"/>
            <c:spPr>
              <a:solidFill>
                <a:srgbClr val="F79646"/>
              </a:solidFill>
              <a:ln w="0">
                <a:noFill/>
              </a:ln>
            </c:spPr>
          </c:dPt>
          <c:dPt>
            <c:idx val="1"/>
            <c:spPr>
              <a:solidFill>
                <a:srgbClr val="4BACC6"/>
              </a:solidFill>
              <a:ln w="0">
                <a:noFill/>
              </a:ln>
            </c:spPr>
          </c:dPt>
          <c:dLbls>
            <c:dLbl>
              <c:idx val="0"/>
              <c:layout>
                <c:manualLayout>
                  <c:x val="-0.0651921052959012"/>
                  <c:y val="-0.0136348060659084"/>
                </c:manualLayout>
              </c:layout>
              <c:numFmt formatCode="General" sourceLinked="1"/>
              <c:txPr>
                <a:bodyPr wrap="square"/>
                <a:lstStyle/>
                <a:p>
                  <a:pPr>
                    <a:defRPr sz="900" b="0" u="none" strike="noStrike">
                      <a:solidFill>
                        <a:srgbClr val="404040"/>
                      </a:solidFill>
                      <a:uFillTx/>
                      <a:latin typeface="Calibri"/>
                      <a:ea typeface="DejaVu Sans"/>
                    </a:defRPr>
                  </a:pPr>
                </a:p>
              </c:txPr>
              <c:dLblPos val="outEnd"/>
              <c:showLegendKey val="0"/>
              <c:showVal val="1"/>
              <c:showCatName val="0"/>
              <c:showSerName val="0"/>
              <c:showPercent val="0"/>
              <c:separator>; </c:separator>
            </c:dLbl>
            <c:dLbl>
              <c:idx val="1"/>
              <c:layout>
                <c:manualLayout>
                  <c:x val="0.14719055470675"/>
                  <c:y val="-0.021667395742199"/>
                </c:manualLayout>
              </c:layout>
              <c:numFmt formatCode="General" sourceLinked="1"/>
              <c:txPr>
                <a:bodyPr wrap="square"/>
                <a:lstStyle/>
                <a:p>
                  <a:pPr>
                    <a:defRPr sz="900" b="0" u="none" strike="noStrike">
                      <a:solidFill>
                        <a:srgbClr val="404040"/>
                      </a:solidFill>
                      <a:uFillTx/>
                      <a:latin typeface="Calibri"/>
                      <a:ea typeface="DejaVu Sans"/>
                    </a:defRPr>
                  </a:pPr>
                </a:p>
              </c:txPr>
              <c:dLblPos val="outEnd"/>
              <c:showLegendKey val="0"/>
              <c:showVal val="1"/>
              <c:showCatName val="0"/>
              <c:showSerName val="0"/>
              <c:showPercent val="0"/>
              <c:separator>; </c:separator>
            </c:dLbl>
            <c:numFmt formatCode="General" sourceLinked="1"/>
            <c:txPr>
              <a:bodyPr wrap="square"/>
              <a:lstStyle/>
              <a:p>
                <a:pPr>
                  <a:defRPr sz="900" b="0" u="none" strike="noStrike">
                    <a:solidFill>
                      <a:srgbClr val="404040"/>
                    </a:solidFill>
                    <a:uFillTx/>
                    <a:latin typeface="Calibri"/>
                    <a:ea typeface="DejaVu Sans"/>
                  </a:defRPr>
                </a:pPr>
              </a:p>
            </c:txPr>
            <c:dLblPos val="bestFit"/>
            <c:showLegendKey val="0"/>
            <c:showVal val="1"/>
            <c:showCatName val="0"/>
            <c:showSerName val="0"/>
            <c:showPercent val="0"/>
            <c:separator>; </c:separator>
            <c:showLeaderLines val="1"/>
            <c:leaderLines>
              <c:spPr>
                <a:ln w="0">
                  <a:solidFill>
                    <a:srgbClr val="A6A6A6"/>
                  </a:solidFill>
                </a:ln>
              </c:spPr>
            </c:leaderLines>
          </c:dLbls>
          <c:cat>
            <c:strRef>
              <c:f>BaoCaoQuy!$N$36:$O$36</c:f>
              <c:strCache>
                <c:ptCount val="2"/>
                <c:pt idx="0">
                  <c:v/>
                </c:pt>
                <c:pt idx="1">
                  <c:v/>
                </c:pt>
              </c:strCache>
            </c:strRef>
          </c:cat>
          <c:val>
            <c:numRef>
              <c:f>BaoCaoQuy!$N$37:$O$37</c:f>
              <c:numCache>
                <c:formatCode>General</c:formatCode>
                <c:ptCount val="2"/>
              </c:numCache>
            </c:numRef>
          </c:val>
        </c:ser>
        <c:firstSliceAng val="0"/>
      </c:pieChart>
      <c:spPr>
        <a:noFill/>
        <a:ln w="25560">
          <a:noFill/>
        </a:ln>
      </c:spPr>
    </c:plotArea>
    <c:legend>
      <c:legendPos val="b"/>
      <c:overlay val="0"/>
      <c:spPr>
        <a:noFill/>
        <a:ln w="25560">
          <a:noFill/>
        </a:ln>
      </c:spPr>
      <c:txPr>
        <a:bodyPr/>
        <a:lstStyle/>
        <a:p>
          <a:pPr>
            <a:defRPr sz="900" b="0" u="none" strike="noStrike">
              <a:solidFill>
                <a:srgbClr val="595959"/>
              </a:solidFill>
              <a:uFillTx/>
              <a:latin typeface="Calibri"/>
              <a:ea typeface="DejaVu Sans"/>
            </a:defRPr>
          </a:pPr>
        </a:p>
      </c:txPr>
    </c:legend>
    <c:plotVisOnly val="1"/>
    <c:dispBlanksAs val="zero"/>
  </c:chart>
  <c:spPr>
    <a:solidFill>
      <a:srgbClr val="FFFFFF"/>
    </a:solidFill>
    <a:ln w="9360">
      <a:solidFill>
        <a:srgbClr val="D9D9D9"/>
      </a:solidFill>
      <a:round/>
    </a:ln>
  </c:spPr>
</c:chartSpace>
</file>

<file path=xl/charts/chart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lang="en-US" sz="1400" b="0" u="none" strike="noStrike">
                <a:solidFill>
                  <a:schemeClr val="tx1">
                    <a:lumMod val="65000"/>
                    <a:lumOff val="35000"/>
                  </a:schemeClr>
                </a:solidFill>
                <a:uFillTx/>
                <a:latin typeface="Calibri"/>
                <a:ea typeface="DejaVu Sans"/>
              </a:rPr>
              <a:t>Hợp</a:t>
            </a:r>
            <a:r>
              <a:rPr lang="en-US" sz="1400" b="0" u="none" strike="noStrike">
                <a:solidFill>
                  <a:schemeClr val="tx1">
                    <a:lumMod val="65000"/>
                    <a:lumOff val="35000"/>
                  </a:schemeClr>
                </a:solidFill>
                <a:uFillTx/>
                <a:latin typeface="Calibri"/>
                <a:ea typeface="DejaVu Sans"/>
              </a:rPr>
              <a:t> đồng</a:t>
            </a:r>
          </a:p>
        </c:rich>
      </c:tx>
      <c:overlay val="0"/>
      <c:spPr>
        <a:noFill/>
        <a:ln w="25560">
          <a:noFill/>
        </a:ln>
      </c:spPr>
    </c:title>
    <c:autoTitleDeleted val="0"/>
    <c:plotArea>
      <c:pieChart>
        <c:varyColors val="1"/>
        <c:ser>
          <c:idx val="0"/>
          <c:order val="0"/>
          <c:spPr>
            <a:solidFill>
              <a:srgbClr val="92C3D5"/>
            </a:solidFill>
            <a:ln w="0">
              <a:noFill/>
            </a:ln>
          </c:spPr>
          <c:explosion val="0"/>
          <c:dPt>
            <c:idx val="0"/>
            <c:spPr>
              <a:solidFill>
                <a:srgbClr val="4298AF"/>
              </a:solidFill>
              <a:ln w="0">
                <a:noFill/>
              </a:ln>
            </c:spPr>
          </c:dPt>
          <c:dPt>
            <c:idx val="1"/>
            <c:spPr>
              <a:solidFill>
                <a:srgbClr val="91C3D4"/>
              </a:solidFill>
              <a:ln w="0">
                <a:noFill/>
              </a:ln>
            </c:spPr>
          </c:dPt>
          <c:dLbls>
            <c:dLbl>
              <c:idx val="0"/>
              <c:numFmt formatCode="General" sourceLinked="1"/>
              <c:txPr>
                <a:bodyPr wrap="square"/>
                <a:lstStyle/>
                <a:p>
                  <a:pPr>
                    <a:defRPr sz="900" b="0" u="none" strike="noStrike">
                      <a:solidFill>
                        <a:srgbClr val="404040"/>
                      </a:solidFill>
                      <a:uFillTx/>
                      <a:latin typeface="Calibri"/>
                      <a:ea typeface="DejaVu Sans"/>
                    </a:defRPr>
                  </a:pPr>
                </a:p>
              </c:txPr>
              <c:dLblPos val="bestFit"/>
              <c:showLegendKey val="0"/>
              <c:showVal val="1"/>
              <c:showCatName val="0"/>
              <c:showSerName val="0"/>
              <c:showPercent val="0"/>
              <c:separator>; </c:separator>
            </c:dLbl>
            <c:dLbl>
              <c:idx val="1"/>
              <c:numFmt formatCode="General" sourceLinked="1"/>
              <c:txPr>
                <a:bodyPr wrap="square"/>
                <a:lstStyle/>
                <a:p>
                  <a:pPr>
                    <a:defRPr sz="900" b="0" u="none" strike="noStrike">
                      <a:solidFill>
                        <a:srgbClr val="404040"/>
                      </a:solidFill>
                      <a:uFillTx/>
                      <a:latin typeface="Calibri"/>
                      <a:ea typeface="DejaVu Sans"/>
                    </a:defRPr>
                  </a:pPr>
                </a:p>
              </c:txPr>
              <c:dLblPos val="bestFit"/>
              <c:showLegendKey val="0"/>
              <c:showVal val="1"/>
              <c:showCatName val="0"/>
              <c:showSerName val="0"/>
              <c:showPercent val="0"/>
              <c:separator>; </c:separator>
            </c:dLbl>
            <c:numFmt formatCode="General" sourceLinked="1"/>
            <c:txPr>
              <a:bodyPr wrap="square"/>
              <a:lstStyle/>
              <a:p>
                <a:pPr>
                  <a:defRPr sz="900" b="0" u="none" strike="noStrike">
                    <a:solidFill>
                      <a:srgbClr val="404040"/>
                    </a:solidFill>
                    <a:uFillTx/>
                    <a:latin typeface="Calibri"/>
                    <a:ea typeface="DejaVu Sans"/>
                  </a:defRPr>
                </a:pPr>
              </a:p>
            </c:txPr>
            <c:dLblPos val="bestFit"/>
            <c:showLegendKey val="0"/>
            <c:showVal val="1"/>
            <c:showCatName val="0"/>
            <c:showSerName val="0"/>
            <c:showPercent val="0"/>
            <c:separator>; </c:separator>
            <c:showLeaderLines val="1"/>
            <c:leaderLines>
              <c:spPr>
                <a:ln w="0">
                  <a:solidFill>
                    <a:srgbClr val="A6A6A6"/>
                  </a:solidFill>
                </a:ln>
              </c:spPr>
            </c:leaderLines>
          </c:dLbls>
          <c:cat>
            <c:strRef>
              <c:f>BaoCaoQuy!$N$36:$O$36</c:f>
              <c:strCache>
                <c:ptCount val="2"/>
                <c:pt idx="0">
                  <c:v/>
                </c:pt>
                <c:pt idx="1">
                  <c:v/>
                </c:pt>
              </c:strCache>
            </c:strRef>
          </c:cat>
          <c:val>
            <c:numRef>
              <c:f>BaoCaoQuy!$N$38:$O$38</c:f>
              <c:numCache>
                <c:formatCode>General</c:formatCode>
                <c:ptCount val="2"/>
              </c:numCache>
            </c:numRef>
          </c:val>
        </c:ser>
        <c:firstSliceAng val="0"/>
      </c:pieChart>
      <c:spPr>
        <a:noFill/>
        <a:ln w="25560">
          <a:noFill/>
        </a:ln>
      </c:spPr>
    </c:plotArea>
    <c:legend>
      <c:legendPos val="r"/>
      <c:overlay val="0"/>
      <c:spPr>
        <a:noFill/>
        <a:ln w="25560">
          <a:noFill/>
        </a:ln>
      </c:spPr>
      <c:txPr>
        <a:bodyPr/>
        <a:lstStyle/>
        <a:p>
          <a:pPr>
            <a:defRPr sz="900" b="0" u="none" strike="noStrike">
              <a:solidFill>
                <a:srgbClr val="595959"/>
              </a:solidFill>
              <a:uFillTx/>
              <a:latin typeface="Calibri"/>
              <a:ea typeface="DejaVu Sans"/>
            </a:defRPr>
          </a:pPr>
        </a:p>
      </c:txPr>
    </c:legend>
    <c:plotVisOnly val="1"/>
    <c:dispBlanksAs val="zero"/>
  </c:chart>
  <c:spPr>
    <a:solidFill>
      <a:srgbClr val="FFFFFF"/>
    </a:solidFill>
    <a:ln w="9360">
      <a:solidFill>
        <a:srgbClr val="D9D9D9"/>
      </a:solidFill>
      <a:round/>
    </a:ln>
  </c:spPr>
</c:chartSpace>
</file>

<file path=xl/charts/chart10.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lang="en-US" sz="1400" b="0" u="none" strike="noStrike">
                <a:solidFill>
                  <a:schemeClr val="tx1">
                    <a:lumMod val="65000"/>
                    <a:lumOff val="35000"/>
                  </a:schemeClr>
                </a:solidFill>
                <a:uFillTx/>
                <a:latin typeface="Calibri"/>
                <a:ea typeface="DejaVu Sans"/>
              </a:rPr>
              <a:t>Doanh thu</a:t>
            </a:r>
          </a:p>
        </c:rich>
      </c:tx>
      <c:overlay val="0"/>
      <c:spPr>
        <a:noFill/>
        <a:ln w="25560">
          <a:noFill/>
        </a:ln>
      </c:spPr>
    </c:title>
    <c:autoTitleDeleted val="0"/>
    <c:plotArea>
      <c:pieChart>
        <c:varyColors val="1"/>
        <c:ser>
          <c:idx val="0"/>
          <c:order val="0"/>
          <c:spPr>
            <a:solidFill>
              <a:srgbClr val="F8B590"/>
            </a:solidFill>
            <a:ln w="0">
              <a:noFill/>
            </a:ln>
          </c:spPr>
          <c:explosion val="0"/>
          <c:dPt>
            <c:idx val="0"/>
            <c:spPr>
              <a:solidFill>
                <a:srgbClr val="DB853E"/>
              </a:solidFill>
              <a:ln w="0">
                <a:noFill/>
              </a:ln>
            </c:spPr>
          </c:dPt>
          <c:dPt>
            <c:idx val="1"/>
            <c:spPr>
              <a:solidFill>
                <a:srgbClr val="F8B590"/>
              </a:solidFill>
              <a:ln w="0">
                <a:noFill/>
              </a:ln>
            </c:spPr>
          </c:dPt>
          <c:dLbls>
            <c:dLbl>
              <c:idx val="0"/>
              <c:numFmt formatCode="General" sourceLinked="1"/>
              <c:txPr>
                <a:bodyPr wrap="square"/>
                <a:lstStyle/>
                <a:p>
                  <a:pPr>
                    <a:defRPr sz="900" b="0" u="none" strike="noStrike">
                      <a:solidFill>
                        <a:srgbClr val="404040"/>
                      </a:solidFill>
                      <a:uFillTx/>
                      <a:latin typeface="Calibri"/>
                      <a:ea typeface="DejaVu Sans"/>
                    </a:defRPr>
                  </a:pPr>
                </a:p>
              </c:txPr>
              <c:dLblPos val="bestFit"/>
              <c:showLegendKey val="0"/>
              <c:showVal val="1"/>
              <c:showCatName val="0"/>
              <c:showSerName val="0"/>
              <c:showPercent val="0"/>
              <c:separator>; </c:separator>
            </c:dLbl>
            <c:dLbl>
              <c:idx val="1"/>
              <c:numFmt formatCode="General" sourceLinked="1"/>
              <c:txPr>
                <a:bodyPr wrap="square"/>
                <a:lstStyle/>
                <a:p>
                  <a:pPr>
                    <a:defRPr sz="900" b="0" u="none" strike="noStrike">
                      <a:solidFill>
                        <a:srgbClr val="404040"/>
                      </a:solidFill>
                      <a:uFillTx/>
                      <a:latin typeface="Calibri"/>
                      <a:ea typeface="DejaVu Sans"/>
                    </a:defRPr>
                  </a:pPr>
                </a:p>
              </c:txPr>
              <c:dLblPos val="bestFit"/>
              <c:showLegendKey val="0"/>
              <c:showVal val="1"/>
              <c:showCatName val="0"/>
              <c:showSerName val="0"/>
              <c:showPercent val="0"/>
              <c:separator>; </c:separator>
            </c:dLbl>
            <c:numFmt formatCode="General" sourceLinked="1"/>
            <c:txPr>
              <a:bodyPr wrap="square"/>
              <a:lstStyle/>
              <a:p>
                <a:pPr>
                  <a:defRPr sz="900" b="0" u="none" strike="noStrike">
                    <a:solidFill>
                      <a:srgbClr val="404040"/>
                    </a:solidFill>
                    <a:uFillTx/>
                    <a:latin typeface="Calibri"/>
                    <a:ea typeface="DejaVu Sans"/>
                  </a:defRPr>
                </a:pPr>
              </a:p>
            </c:txPr>
            <c:dLblPos val="bestFit"/>
            <c:showLegendKey val="0"/>
            <c:showVal val="1"/>
            <c:showCatName val="0"/>
            <c:showSerName val="0"/>
            <c:showPercent val="0"/>
            <c:separator>; </c:separator>
            <c:showLeaderLines val="1"/>
            <c:leaderLines>
              <c:spPr>
                <a:ln w="0">
                  <a:solidFill>
                    <a:srgbClr val="A6A6A6"/>
                  </a:solidFill>
                </a:ln>
              </c:spPr>
            </c:leaderLines>
          </c:dLbls>
          <c:cat>
            <c:strRef>
              <c:f>BaoCaoQuy!$P$36:$Q$36</c:f>
              <c:strCache>
                <c:ptCount val="2"/>
                <c:pt idx="0">
                  <c:v/>
                </c:pt>
                <c:pt idx="1">
                  <c:v/>
                </c:pt>
              </c:strCache>
            </c:strRef>
          </c:cat>
          <c:val>
            <c:numRef>
              <c:f>BaoCaoQuy!$P$38:$Q$38</c:f>
              <c:numCache>
                <c:formatCode>General</c:formatCode>
                <c:ptCount val="2"/>
              </c:numCache>
            </c:numRef>
          </c:val>
        </c:ser>
        <c:firstSliceAng val="0"/>
      </c:pieChart>
      <c:spPr>
        <a:noFill/>
        <a:ln w="25560">
          <a:noFill/>
        </a:ln>
      </c:spPr>
    </c:plotArea>
    <c:legend>
      <c:legendPos val="r"/>
      <c:overlay val="0"/>
      <c:spPr>
        <a:noFill/>
        <a:ln w="25560">
          <a:noFill/>
        </a:ln>
      </c:spPr>
      <c:txPr>
        <a:bodyPr/>
        <a:lstStyle/>
        <a:p>
          <a:pPr>
            <a:defRPr sz="900" b="0" u="none" strike="noStrike">
              <a:solidFill>
                <a:srgbClr val="595959"/>
              </a:solidFill>
              <a:uFillTx/>
              <a:latin typeface="Calibri"/>
              <a:ea typeface="DejaVu Sans"/>
            </a:defRPr>
          </a:pPr>
        </a:p>
      </c:txPr>
    </c:legend>
    <c:plotVisOnly val="1"/>
    <c:dispBlanksAs val="zero"/>
  </c:chart>
  <c:spPr>
    <a:solidFill>
      <a:srgbClr val="FFFFFF"/>
    </a:solidFill>
    <a:ln w="9360">
      <a:solidFill>
        <a:srgbClr val="D9D9D9"/>
      </a:solidFill>
      <a:round/>
    </a:ln>
  </c:spPr>
</c:chartSpace>
</file>

<file path=xl/charts/chart11.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barChart>
        <c:barDir val="col"/>
        <c:grouping val="clustered"/>
        <c:varyColors val="0"/>
        <c:ser>
          <c:idx val="0"/>
          <c:order val="0"/>
          <c:tx>
            <c:strRef>
              <c:f>"Kế hoạch"</c:f>
              <c:strCache>
                <c:ptCount val="1"/>
                <c:pt idx="0">
                  <c:v>Kế hoạch</c:v>
                </c:pt>
              </c:strCache>
            </c:strRef>
          </c:tx>
          <c:spPr>
            <a:solidFill>
              <a:srgbClr val="388296"/>
            </a:solidFill>
            <a:ln w="12600">
              <a:noFill/>
            </a:ln>
          </c:spPr>
          <c:invertIfNegative val="0"/>
          <c:dPt>
            <c:idx val="5"/>
            <c:invertIfNegative val="0"/>
            <c:spPr>
              <a:solidFill>
                <a:srgbClr val="388296"/>
              </a:solidFill>
              <a:ln w="12600">
                <a:noFill/>
              </a:ln>
            </c:spPr>
          </c:dPt>
          <c:dLbls>
            <c:dLbl>
              <c:idx val="5"/>
              <c:layout>
                <c:manualLayout>
                  <c:x val="0.00829576198696782"/>
                  <c:y val="-0.058974362695233"/>
                </c:manualLayout>
              </c:layout>
              <c:numFmt formatCode="_(* #,##0_);_(* \(#,##0\);_(* \-??_);_(@_)" sourceLinked="1"/>
              <c:txPr>
                <a:bodyPr wrap="square"/>
                <a:lstStyle/>
                <a:p>
                  <a:pPr>
                    <a:defRPr sz="900" b="0" u="none" strike="noStrike">
                      <a:solidFill>
                        <a:srgbClr val="404040"/>
                      </a:solidFill>
                      <a:uFillTx/>
                      <a:latin typeface="Calibri"/>
                      <a:ea typeface="DejaVu Sans"/>
                    </a:defRPr>
                  </a:pPr>
                </a:p>
              </c:txPr>
              <c:dLblPos val="outEnd"/>
              <c:showLegendKey val="0"/>
              <c:showVal val="1"/>
              <c:showCatName val="0"/>
              <c:showSerName val="0"/>
              <c:showPercent val="0"/>
              <c:separator>; </c:separator>
            </c:dLbl>
            <c:numFmt formatCode="_(* #,##0_);_(* \(#,##0\);_(* \-??_);_(@_)" sourceLinked="1"/>
            <c:txPr>
              <a:bodyPr wrap="square"/>
              <a:lstStyle/>
              <a:p>
                <a:pPr>
                  <a:defRPr sz="900" b="0" u="none" strike="noStrike">
                    <a:solidFill>
                      <a:srgbClr val="404040"/>
                    </a:solidFill>
                    <a:uFillTx/>
                    <a:latin typeface="Calibri"/>
                    <a:ea typeface="DejaVu Sans"/>
                  </a:defRPr>
                </a:pPr>
              </a:p>
            </c:txPr>
            <c:dLblPos val="outEnd"/>
            <c:showLegendKey val="0"/>
            <c:showVal val="1"/>
            <c:showCatName val="0"/>
            <c:showSerName val="0"/>
            <c:showPercent val="0"/>
            <c:separator>; </c:separator>
            <c:showLeaderLines val="0"/>
            <c:extLst>
              <c:ext xmlns:c15="http://schemas.microsoft.com/office/drawing/2012/chart" uri="{CE6537A1-D6FC-4f65-9D91-7224C49458BB}">
                <c15:showLeaderLines val="0"/>
              </c:ext>
            </c:extLst>
          </c:dLbls>
          <c:cat>
            <c:strRef>
              <c:f>'KH hieu chinh'!$B$10:$B$16</c:f>
              <c:strCache>
                <c:ptCount val="7"/>
                <c:pt idx="0">
                  <c:v>Tháng 06</c:v>
                </c:pt>
                <c:pt idx="1">
                  <c:v>Tháng 07</c:v>
                </c:pt>
                <c:pt idx="2">
                  <c:v>Tháng 08</c:v>
                </c:pt>
                <c:pt idx="3">
                  <c:v>Tháng 09</c:v>
                </c:pt>
                <c:pt idx="4">
                  <c:v>Tháng 10</c:v>
                </c:pt>
                <c:pt idx="5">
                  <c:v>Tháng 11</c:v>
                </c:pt>
                <c:pt idx="6">
                  <c:v>Tháng 12</c:v>
                </c:pt>
              </c:strCache>
            </c:strRef>
          </c:cat>
          <c:val>
            <c:numRef>
              <c:f>'KH hieu chinh'!$C$10:$C$16</c:f>
              <c:numCache>
                <c:formatCode>_(* #,##0_);_(* \(#,##0\);_(* \-??_);_(@_)</c:formatCode>
                <c:ptCount val="7"/>
                <c:pt idx="0">
                  <c:v>0</c:v>
                </c:pt>
                <c:pt idx="1">
                  <c:v>0</c:v>
                </c:pt>
                <c:pt idx="2">
                  <c:v>0</c:v>
                </c:pt>
                <c:pt idx="3">
                  <c:v>0</c:v>
                </c:pt>
                <c:pt idx="4">
                  <c:v>0</c:v>
                </c:pt>
                <c:pt idx="5">
                  <c:v>0</c:v>
                </c:pt>
                <c:pt idx="6">
                  <c:v>0</c:v>
                </c:pt>
              </c:numCache>
            </c:numRef>
          </c:val>
        </c:ser>
        <c:ser>
          <c:idx val="1"/>
          <c:order val="1"/>
          <c:tx>
            <c:strRef>
              <c:f>"Mức 1: Đạt 80-100%"</c:f>
              <c:strCache>
                <c:ptCount val="1"/>
                <c:pt idx="0">
                  <c:v>Mức 1: Đạt 80-100%</c:v>
                </c:pt>
              </c:strCache>
            </c:strRef>
          </c:tx>
          <c:spPr>
            <a:solidFill>
              <a:srgbClr val="4BACC6"/>
            </a:solidFill>
            <a:ln w="12600">
              <a:noFill/>
            </a:ln>
          </c:spPr>
          <c:invertIfNegative val="0"/>
          <c:dLbls>
            <c:numFmt formatCode="_(* #,##0_);_(* \(#,##0\);_(* \-??_);_(@_)" sourceLinked="1"/>
            <c:txPr>
              <a:bodyPr wrap="square"/>
              <a:lstStyle/>
              <a:p>
                <a:pPr>
                  <a:defRPr sz="900" b="0" u="none" strike="noStrike">
                    <a:solidFill>
                      <a:srgbClr val="404040"/>
                    </a:solidFill>
                    <a:uFillTx/>
                    <a:latin typeface="Calibri"/>
                    <a:ea typeface="DejaVu Sans"/>
                  </a:defRPr>
                </a:pPr>
              </a:p>
            </c:txPr>
            <c:dLblPos val="outEnd"/>
            <c:showLegendKey val="0"/>
            <c:showVal val="1"/>
            <c:showCatName val="0"/>
            <c:showSerName val="0"/>
            <c:showPercent val="0"/>
            <c:separator>; </c:separator>
            <c:showLeaderLines val="0"/>
            <c:extLst>
              <c:ext xmlns:c15="http://schemas.microsoft.com/office/drawing/2012/chart" uri="{CE6537A1-D6FC-4f65-9D91-7224C49458BB}">
                <c15:showLeaderLines val="0"/>
              </c:ext>
            </c:extLst>
          </c:dLbls>
          <c:cat>
            <c:strRef>
              <c:f>'KH hieu chinh'!$B$10:$B$16</c:f>
              <c:strCache>
                <c:ptCount val="7"/>
                <c:pt idx="0">
                  <c:v>Tháng 06</c:v>
                </c:pt>
                <c:pt idx="1">
                  <c:v>Tháng 07</c:v>
                </c:pt>
                <c:pt idx="2">
                  <c:v>Tháng 08</c:v>
                </c:pt>
                <c:pt idx="3">
                  <c:v>Tháng 09</c:v>
                </c:pt>
                <c:pt idx="4">
                  <c:v>Tháng 10</c:v>
                </c:pt>
                <c:pt idx="5">
                  <c:v>Tháng 11</c:v>
                </c:pt>
                <c:pt idx="6">
                  <c:v>Tháng 12</c:v>
                </c:pt>
              </c:strCache>
            </c:strRef>
          </c:cat>
          <c:val>
            <c:numRef>
              <c:f>'KH hieu chinh'!$E$10:$E$16</c:f>
              <c:numCache>
                <c:formatCode>_(* #,##0_);_(* \(#,##0\);_(* \-??_);_(@_)</c:formatCode>
                <c:ptCount val="7"/>
                <c:pt idx="0">
                  <c:v>0</c:v>
                </c:pt>
                <c:pt idx="1">
                  <c:v>0</c:v>
                </c:pt>
                <c:pt idx="2">
                  <c:v>0</c:v>
                </c:pt>
                <c:pt idx="3">
                  <c:v>0</c:v>
                </c:pt>
                <c:pt idx="4">
                  <c:v>0</c:v>
                </c:pt>
                <c:pt idx="5">
                  <c:v>0</c:v>
                </c:pt>
                <c:pt idx="6">
                  <c:v>0</c:v>
                </c:pt>
              </c:numCache>
            </c:numRef>
          </c:val>
        </c:ser>
        <c:ser>
          <c:idx val="2"/>
          <c:order val="2"/>
          <c:tx>
            <c:strRef>
              <c:f>"Mức 2: Đạt 50-79%"</c:f>
              <c:strCache>
                <c:ptCount val="1"/>
                <c:pt idx="0">
                  <c:v>Mức 2: Đạt 50-79%</c:v>
                </c:pt>
              </c:strCache>
            </c:strRef>
          </c:tx>
          <c:spPr>
            <a:solidFill>
              <a:srgbClr val="91C3D4"/>
            </a:solidFill>
            <a:ln w="12600">
              <a:noFill/>
            </a:ln>
          </c:spPr>
          <c:invertIfNegative val="0"/>
          <c:dLbls>
            <c:txPr>
              <a:bodyPr wrap="square"/>
              <a:lstStyle/>
              <a:p>
                <a:pPr>
                  <a:defRPr sz="1000" b="0" u="none" strike="noStrike">
                    <a:solidFill>
                      <a:srgbClr val="000000"/>
                    </a:solidFill>
                    <a:uFillTx/>
                    <a:latin typeface="Calibri"/>
                    <a:ea typeface="DejaVu Sans"/>
                  </a:defRPr>
                </a:pPr>
              </a:p>
            </c:txPr>
            <c:dLblPos val="outEnd"/>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'KH hieu chinh'!$B$10:$B$16</c:f>
              <c:strCache>
                <c:ptCount val="7"/>
                <c:pt idx="0">
                  <c:v>Tháng 06</c:v>
                </c:pt>
                <c:pt idx="1">
                  <c:v>Tháng 07</c:v>
                </c:pt>
                <c:pt idx="2">
                  <c:v>Tháng 08</c:v>
                </c:pt>
                <c:pt idx="3">
                  <c:v>Tháng 09</c:v>
                </c:pt>
                <c:pt idx="4">
                  <c:v>Tháng 10</c:v>
                </c:pt>
                <c:pt idx="5">
                  <c:v>Tháng 11</c:v>
                </c:pt>
                <c:pt idx="6">
                  <c:v>Tháng 12</c:v>
                </c:pt>
              </c:strCache>
            </c:strRef>
          </c:cat>
          <c:val>
            <c:numRef>
              <c:f>'KH hieu chinh'!$F$10:$F$16</c:f>
              <c:numCache>
                <c:formatCode>_(* #,##0_);_(* \(#,##0\);_(* \-??_);_(@_)</c:formatCode>
                <c:ptCount val="7"/>
                <c:pt idx="0">
                  <c:v>0</c:v>
                </c:pt>
                <c:pt idx="1">
                  <c:v>0</c:v>
                </c:pt>
                <c:pt idx="2">
                  <c:v>0</c:v>
                </c:pt>
                <c:pt idx="3">
                  <c:v>0</c:v>
                </c:pt>
                <c:pt idx="4">
                  <c:v>0</c:v>
                </c:pt>
                <c:pt idx="5">
                  <c:v>0</c:v>
                </c:pt>
                <c:pt idx="6">
                  <c:v>0</c:v>
                </c:pt>
              </c:numCache>
            </c:numRef>
          </c:val>
        </c:ser>
        <c:ser>
          <c:idx val="3"/>
          <c:order val="3"/>
          <c:tx>
            <c:strRef>
              <c:f>"Mức 3: Dưới 50%"</c:f>
              <c:strCache>
                <c:ptCount val="1"/>
                <c:pt idx="0">
                  <c:v>Mức 3: Dưới 50%</c:v>
                </c:pt>
              </c:strCache>
            </c:strRef>
          </c:tx>
          <c:spPr>
            <a:solidFill>
              <a:srgbClr val="BBD7E2"/>
            </a:solidFill>
            <a:ln w="12600">
              <a:noFill/>
            </a:ln>
          </c:spPr>
          <c:invertIfNegative val="0"/>
          <c:dLbls>
            <c:txPr>
              <a:bodyPr wrap="square"/>
              <a:lstStyle/>
              <a:p>
                <a:pPr>
                  <a:defRPr sz="1000" b="0" u="none" strike="noStrike">
                    <a:solidFill>
                      <a:srgbClr val="000000"/>
                    </a:solidFill>
                    <a:uFillTx/>
                    <a:latin typeface="Calibri"/>
                    <a:ea typeface="DejaVu Sans"/>
                  </a:defRPr>
                </a:pPr>
              </a:p>
            </c:txPr>
            <c:dLblPos val="outEnd"/>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'KH hieu chinh'!$B$10:$B$16</c:f>
              <c:strCache>
                <c:ptCount val="7"/>
                <c:pt idx="0">
                  <c:v>Tháng 06</c:v>
                </c:pt>
                <c:pt idx="1">
                  <c:v>Tháng 07</c:v>
                </c:pt>
                <c:pt idx="2">
                  <c:v>Tháng 08</c:v>
                </c:pt>
                <c:pt idx="3">
                  <c:v>Tháng 09</c:v>
                </c:pt>
                <c:pt idx="4">
                  <c:v>Tháng 10</c:v>
                </c:pt>
                <c:pt idx="5">
                  <c:v>Tháng 11</c:v>
                </c:pt>
                <c:pt idx="6">
                  <c:v>Tháng 12</c:v>
                </c:pt>
              </c:strCache>
            </c:strRef>
          </c:cat>
          <c:val>
            <c:numRef>
              <c:f>'KH hieu chinh'!$G$10:$G$16</c:f>
              <c:numCache>
                <c:formatCode>_(* #,##0_);_(* \(#,##0\);_(* \-??_);_(@_)</c:formatCode>
                <c:ptCount val="7"/>
                <c:pt idx="0">
                  <c:v>0</c:v>
                </c:pt>
                <c:pt idx="1">
                  <c:v>0</c:v>
                </c:pt>
                <c:pt idx="2">
                  <c:v>0</c:v>
                </c:pt>
                <c:pt idx="3">
                  <c:v>0</c:v>
                </c:pt>
                <c:pt idx="4">
                  <c:v>0</c:v>
                </c:pt>
                <c:pt idx="5">
                  <c:v>0</c:v>
                </c:pt>
                <c:pt idx="6">
                  <c:v>0</c:v>
                </c:pt>
              </c:numCache>
            </c:numRef>
          </c:val>
        </c:ser>
        <c:gapWidth val="182"/>
        <c:overlap val="0"/>
        <c:axId val="33053643"/>
        <c:axId val="63880225"/>
      </c:barChart>
      <c:catAx>
        <c:axId val="33053643"/>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sz="900" b="0" u="none" strike="noStrike">
                <a:solidFill>
                  <a:srgbClr val="595959"/>
                </a:solidFill>
                <a:uFillTx/>
                <a:latin typeface="Calibri"/>
                <a:ea typeface="DejaVu Sans"/>
              </a:defRPr>
            </a:pPr>
          </a:p>
        </c:txPr>
        <c:crossAx val="63880225"/>
        <c:crosses val="autoZero"/>
        <c:auto val="1"/>
        <c:lblAlgn val="ctr"/>
        <c:lblOffset val="100"/>
        <c:noMultiLvlLbl val="0"/>
      </c:catAx>
      <c:valAx>
        <c:axId val="63880225"/>
        <c:scaling>
          <c:orientation val="minMax"/>
        </c:scaling>
        <c:delete val="0"/>
        <c:axPos val="l"/>
        <c:majorGridlines>
          <c:spPr>
            <a:ln w="9360">
              <a:solidFill>
                <a:srgbClr val="D9D9D9"/>
              </a:solidFill>
              <a:round/>
            </a:ln>
          </c:spPr>
        </c:majorGridlines>
        <c:title>
          <c:tx>
            <c:rich>
              <a:bodyPr rot="-5400000"/>
              <a:lstStyle/>
              <a:p>
                <a:pPr>
                  <a:defRPr sz="1300" b="0" u="none" strike="noStrike">
                    <a:uFillTx/>
                    <a:latin typeface="Arial"/>
                  </a:defRPr>
                </a:pPr>
                <a:r>
                  <a:rPr lang="en-US" sz="1000" b="0" u="none" strike="noStrike">
                    <a:solidFill>
                      <a:schemeClr val="tx1">
                        <a:lumMod val="65000"/>
                        <a:lumOff val="35000"/>
                      </a:schemeClr>
                    </a:solidFill>
                    <a:uFillTx/>
                    <a:latin typeface="Calibri"/>
                    <a:ea typeface="DejaVu Sans"/>
                  </a:rPr>
                  <a:t>HỢP</a:t>
                </a:r>
                <a:r>
                  <a:rPr lang="en-US" sz="1000" b="0" u="none" strike="noStrike">
                    <a:solidFill>
                      <a:schemeClr val="tx1">
                        <a:lumMod val="65000"/>
                        <a:lumOff val="35000"/>
                      </a:schemeClr>
                    </a:solidFill>
                    <a:uFillTx/>
                    <a:latin typeface="Calibri"/>
                    <a:ea typeface="DejaVu Sans"/>
                  </a:rPr>
                  <a:t> ĐỒNG</a:t>
                </a:r>
              </a:p>
            </c:rich>
          </c:tx>
          <c:overlay val="0"/>
          <c:spPr>
            <a:noFill/>
            <a:ln w="25560">
              <a:noFill/>
            </a:ln>
          </c:spPr>
        </c:title>
        <c:numFmt formatCode="_(* #,##0_);_(* \(#,##0\);_(* \-??_);_(@_)" sourceLinked="0"/>
        <c:majorTickMark val="none"/>
        <c:minorTickMark val="none"/>
        <c:tickLblPos val="nextTo"/>
        <c:spPr>
          <a:ln w="9360">
            <a:noFill/>
          </a:ln>
        </c:spPr>
        <c:txPr>
          <a:bodyPr/>
          <a:lstStyle/>
          <a:p>
            <a:pPr>
              <a:defRPr sz="900" b="0" u="none" strike="noStrike">
                <a:solidFill>
                  <a:srgbClr val="595959"/>
                </a:solidFill>
                <a:uFillTx/>
                <a:latin typeface="Calibri"/>
                <a:ea typeface="DejaVu Sans"/>
              </a:defRPr>
            </a:pPr>
          </a:p>
        </c:txPr>
        <c:crossAx val="33053643"/>
        <c:crosses val="autoZero"/>
        <c:crossBetween val="between"/>
      </c:valAx>
      <c:spPr>
        <a:noFill/>
        <a:ln w="25560">
          <a:noFill/>
        </a:ln>
      </c:spPr>
    </c:plotArea>
    <c:legend>
      <c:legendPos val="b"/>
      <c:overlay val="0"/>
      <c:spPr>
        <a:noFill/>
        <a:ln w="25560">
          <a:noFill/>
        </a:ln>
      </c:spPr>
      <c:txPr>
        <a:bodyPr/>
        <a:lstStyle/>
        <a:p>
          <a:pPr>
            <a:defRPr sz="900" b="0" u="none" strike="noStrike">
              <a:solidFill>
                <a:srgbClr val="595959"/>
              </a:solidFill>
              <a:uFillTx/>
              <a:latin typeface="Calibri"/>
              <a:ea typeface="DejaVu Sans"/>
            </a:defRPr>
          </a:pPr>
        </a:p>
      </c:txPr>
    </c:legend>
    <c:plotVisOnly val="1"/>
    <c:dispBlanksAs val="gap"/>
  </c:chart>
  <c:spPr>
    <a:solidFill>
      <a:srgbClr val="FFFFFF"/>
    </a:solidFill>
    <a:ln w="9360">
      <a:solidFill>
        <a:srgbClr val="D9D9D9"/>
      </a:solidFill>
      <a:round/>
    </a:ln>
  </c:spPr>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c:chart>
    <c:autoTitleDeleted val="1"/>
    <c:plotArea>
      <c:pieChart>
        <c:varyColors val="1"/>
        <c:ser>
          <c:idx val="0"/>
          <c:order val="0"/>
          <c:tx>
            <c:strRef>
              <c:f>label 0</c:f>
              <c:strCache>
                <c:ptCount val="1"/>
                <c:pt idx="0">
                  <c:v>Series1</c:v>
                </c:pt>
              </c:strCache>
            </c:strRef>
          </c:tx>
          <c:spPr>
            <a:solidFill>
              <a:srgbClr val="4BACC6"/>
            </a:solidFill>
            <a:ln w="0">
              <a:noFill/>
            </a:ln>
          </c:spPr>
          <c:explosion val="0"/>
          <c:dPt>
            <c:idx val="0"/>
            <c:spPr>
              <a:solidFill>
                <a:srgbClr val="3E8EA4"/>
              </a:solidFill>
              <a:ln w="0">
                <a:noFill/>
              </a:ln>
            </c:spPr>
          </c:dPt>
          <c:dLbls>
            <c:dLbl>
              <c:idx val="0"/>
              <c:numFmt formatCode="General" sourceLinked="0"/>
              <c:txPr>
                <a:bodyPr wrap="square"/>
                <a:lstStyle/>
                <a:p>
                  <a:pPr>
                    <a:defRPr sz="900" b="0" u="none" strike="noStrike">
                      <a:solidFill>
                        <a:srgbClr val="404040"/>
                      </a:solidFill>
                      <a:uFillTx/>
                      <a:latin typeface="Calibri"/>
                      <a:ea typeface="DejaVu Sans"/>
                    </a:defRPr>
                  </a:pPr>
                </a:p>
              </c:txPr>
              <c:dLblPos val="bestFit"/>
              <c:showLegendKey val="0"/>
              <c:showVal val="1"/>
              <c:showCatName val="0"/>
              <c:showSerName val="0"/>
              <c:showPercent val="0"/>
              <c:separator>; </c:separator>
            </c:dLbl>
            <c:numFmt formatCode="General" sourceLinked="0"/>
            <c:txPr>
              <a:bodyPr wrap="square"/>
              <a:lstStyle/>
              <a:p>
                <a:pPr>
                  <a:defRPr sz="900" b="0" u="none" strike="noStrike">
                    <a:solidFill>
                      <a:srgbClr val="404040"/>
                    </a:solidFill>
                    <a:uFillTx/>
                    <a:latin typeface="Calibri"/>
                    <a:ea typeface="DejaVu Sans"/>
                  </a:defRPr>
                </a:pPr>
              </a:p>
            </c:txPr>
            <c:dLblPos val="bestFit"/>
            <c:showLegendKey val="0"/>
            <c:showVal val="1"/>
            <c:showCatName val="0"/>
            <c:showSerName val="0"/>
            <c:showPercent val="0"/>
            <c:separator>; </c:separator>
            <c:showLeaderLines val="1"/>
            <c:leaderLines>
              <c:spPr>
                <a:ln w="0">
                  <a:solidFill>
                    <a:srgbClr val="A6A6A6"/>
                  </a:solidFill>
                </a:ln>
              </c:spPr>
            </c:leaderLines>
          </c:dLbls>
          <c:cat>
            <c:strRef>
              <c:f>categories</c:f>
              <c:strCache>
                <c:ptCount val="1"/>
                <c:pt idx="0">
                  <c:v>1</c:v>
                </c:pt>
              </c:strCache>
            </c:strRef>
          </c:cat>
          <c:val>
            <c:numRef>
              <c:f>0</c:f>
              <c:numCache>
                <c:formatCode>General</c:formatCode>
                <c:ptCount val="1"/>
                <c:pt idx="0">
                  <c:v>1</c:v>
                </c:pt>
              </c:numCache>
            </c:numRef>
          </c:val>
        </c:ser>
        <c:firstSliceAng val="0"/>
      </c:pieChart>
      <c:spPr>
        <a:noFill/>
        <a:ln w="25560">
          <a:noFill/>
        </a:ln>
      </c:spPr>
    </c:plotArea>
    <c:legend>
      <c:legendPos val="b"/>
      <c:overlay val="0"/>
      <c:spPr>
        <a:noFill/>
        <a:ln w="25560">
          <a:noFill/>
        </a:ln>
      </c:spPr>
      <c:txPr>
        <a:bodyPr/>
        <a:lstStyle/>
        <a:p>
          <a:pPr>
            <a:defRPr sz="900" b="0" u="none" strike="noStrike">
              <a:solidFill>
                <a:srgbClr val="595959"/>
              </a:solidFill>
              <a:uFillTx/>
              <a:latin typeface="Calibri"/>
              <a:ea typeface="DejaVu Sans"/>
            </a:defRPr>
          </a:pPr>
        </a:p>
      </c:txPr>
    </c:legend>
    <c:plotVisOnly val="1"/>
    <c:dispBlanksAs val="zero"/>
  </c:chart>
  <c:spPr>
    <a:solidFill>
      <a:srgbClr val="FFFFFF"/>
    </a:solidFill>
    <a:ln w="9360">
      <a:solidFill>
        <a:srgbClr val="D9D9D9"/>
      </a:solidFill>
      <a:round/>
    </a:ln>
  </c:spPr>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n-US"/>
  <c:roundedCorners val="0"/>
  <c:chart>
    <c:title>
      <c:tx>
        <c:rich>
          <a:bodyPr rot="0"/>
          <a:lstStyle/>
          <a:p>
            <a:pPr>
              <a:defRPr sz="1300" b="0" u="none" strike="noStrike">
                <a:uFillTx/>
                <a:latin typeface="Arial"/>
              </a:defRPr>
            </a:pPr>
            <a:r>
              <a:rPr lang="en-US" sz="1400" b="1" u="none" strike="noStrike">
                <a:solidFill>
                  <a:schemeClr val="tx1">
                    <a:lumMod val="65000"/>
                    <a:lumOff val="35000"/>
                  </a:schemeClr>
                </a:solidFill>
                <a:uFillTx/>
                <a:latin typeface="Calibri"/>
                <a:ea typeface="DejaVu Sans"/>
              </a:rPr>
              <a:t>THÁNG</a:t>
            </a:r>
            <a:r>
              <a:rPr lang="en-US" sz="1400" b="1" u="none" strike="noStrike">
                <a:solidFill>
                  <a:schemeClr val="tx1">
                    <a:lumMod val="65000"/>
                    <a:lumOff val="35000"/>
                  </a:schemeClr>
                </a:solidFill>
                <a:uFillTx/>
                <a:latin typeface="Calibri"/>
                <a:ea typeface="DejaVu Sans"/>
              </a:rPr>
              <a:t> (6,7,8,9)</a:t>
            </a:r>
          </a:p>
        </c:rich>
      </c:tx>
      <c:overlay val="0"/>
      <c:spPr>
        <a:noFill/>
        <a:ln w="25560">
          <a:noFill/>
        </a:ln>
      </c:spPr>
    </c:title>
    <c:autoTitleDeleted val="0"/>
    <c:plotArea>
      <c:pieChart>
        <c:varyColors val="1"/>
        <c:ser>
          <c:idx val="0"/>
          <c:order val="0"/>
          <c:tx>
            <c:strRef>
              <c:f>label 0</c:f>
              <c:strCache>
                <c:ptCount val="1"/>
                <c:pt idx="0">
                  <c:v>Series1</c:v>
                </c:pt>
              </c:strCache>
            </c:strRef>
          </c:tx>
          <c:spPr>
            <a:solidFill>
              <a:srgbClr val="A9CEDC"/>
            </a:solidFill>
            <a:ln w="0">
              <a:noFill/>
            </a:ln>
          </c:spPr>
          <c:explosion val="0"/>
          <c:dPt>
            <c:idx val="0"/>
            <c:spPr>
              <a:solidFill>
                <a:srgbClr val="4BACC6"/>
              </a:solidFill>
              <a:ln w="0">
                <a:noFill/>
              </a:ln>
            </c:spPr>
          </c:dPt>
          <c:dLbls>
            <c:dLbl>
              <c:idx val="0"/>
              <c:numFmt formatCode="General" sourceLinked="0"/>
              <c:txPr>
                <a:bodyPr wrap="square"/>
                <a:lstStyle/>
                <a:p>
                  <a:pPr>
                    <a:defRPr sz="900" b="0" u="none" strike="noStrike">
                      <a:solidFill>
                        <a:srgbClr val="404040"/>
                      </a:solidFill>
                      <a:uFillTx/>
                      <a:latin typeface="Calibri"/>
                      <a:ea typeface="DejaVu Sans"/>
                    </a:defRPr>
                  </a:pPr>
                </a:p>
              </c:txPr>
              <c:dLblPos val="bestFit"/>
              <c:showLegendKey val="0"/>
              <c:showVal val="1"/>
              <c:showCatName val="0"/>
              <c:showSerName val="0"/>
              <c:showPercent val="0"/>
              <c:separator>; </c:separator>
            </c:dLbl>
            <c:numFmt formatCode="General" sourceLinked="0"/>
            <c:txPr>
              <a:bodyPr wrap="square"/>
              <a:lstStyle/>
              <a:p>
                <a:pPr>
                  <a:defRPr sz="900" b="0" u="none" strike="noStrike">
                    <a:solidFill>
                      <a:srgbClr val="404040"/>
                    </a:solidFill>
                    <a:uFillTx/>
                    <a:latin typeface="Calibri"/>
                    <a:ea typeface="DejaVu Sans"/>
                  </a:defRPr>
                </a:pPr>
              </a:p>
            </c:txPr>
            <c:dLblPos val="bestFit"/>
            <c:showLegendKey val="0"/>
            <c:showVal val="1"/>
            <c:showCatName val="0"/>
            <c:showSerName val="0"/>
            <c:showPercent val="0"/>
            <c:separator>; </c:separator>
            <c:showLeaderLines val="1"/>
            <c:leaderLines>
              <c:spPr>
                <a:ln w="0">
                  <a:solidFill>
                    <a:srgbClr val="A6A6A6"/>
                  </a:solidFill>
                </a:ln>
              </c:spPr>
            </c:leaderLines>
          </c:dLbls>
          <c:cat>
            <c:strRef>
              <c:f>categories</c:f>
              <c:strCache>
                <c:ptCount val="1"/>
                <c:pt idx="0">
                  <c:v>1</c:v>
                </c:pt>
              </c:strCache>
            </c:strRef>
          </c:cat>
          <c:val>
            <c:numRef>
              <c:f>0</c:f>
              <c:numCache>
                <c:formatCode>General</c:formatCode>
                <c:ptCount val="1"/>
                <c:pt idx="0">
                  <c:v>1</c:v>
                </c:pt>
              </c:numCache>
            </c:numRef>
          </c:val>
        </c:ser>
        <c:firstSliceAng val="0"/>
      </c:pieChart>
      <c:spPr>
        <a:noFill/>
        <a:ln w="25560">
          <a:noFill/>
        </a:ln>
      </c:spPr>
    </c:plotArea>
    <c:legend>
      <c:legendPos val="b"/>
      <c:overlay val="0"/>
      <c:spPr>
        <a:noFill/>
        <a:ln w="25560">
          <a:noFill/>
        </a:ln>
      </c:spPr>
      <c:txPr>
        <a:bodyPr/>
        <a:lstStyle/>
        <a:p>
          <a:pPr>
            <a:defRPr sz="900" b="0" u="none" strike="noStrike">
              <a:solidFill>
                <a:srgbClr val="595959"/>
              </a:solidFill>
              <a:uFillTx/>
              <a:latin typeface="Calibri"/>
              <a:ea typeface="DejaVu Sans"/>
            </a:defRPr>
          </a:pPr>
        </a:p>
      </c:txPr>
    </c:legend>
    <c:plotVisOnly val="1"/>
    <c:dispBlanksAs val="zero"/>
  </c:chart>
  <c:spPr>
    <a:solidFill>
      <a:srgbClr val="FFFFFF"/>
    </a:solidFill>
    <a:ln w="9360">
      <a:solidFill>
        <a:srgbClr val="D9D9D9"/>
      </a:solidFill>
      <a:round/>
    </a:ln>
  </c:spPr>
</c:chartSpace>
</file>

<file path=xl/charts/chart14.xml><?xml version="1.0" encoding="utf-8"?>
<c:chartSpace xmlns:c="http://schemas.openxmlformats.org/drawingml/2006/chart" xmlns:a="http://schemas.openxmlformats.org/drawingml/2006/main" xmlns:r="http://schemas.openxmlformats.org/officeDocument/2006/relationships">
  <c:date1904 val="0"/>
  <c:lang val="en-US"/>
  <c:roundedCorners val="0"/>
  <c:chart>
    <c:title>
      <c:tx>
        <c:rich>
          <a:bodyPr rot="0"/>
          <a:lstStyle/>
          <a:p>
            <a:pPr>
              <a:defRPr sz="1300" b="0" u="none" strike="noStrike">
                <a:uFillTx/>
                <a:latin typeface="Arial"/>
              </a:defRPr>
            </a:pPr>
            <a:r>
              <a:rPr lang="en-US" sz="1400" b="1" u="none" strike="noStrike">
                <a:solidFill>
                  <a:schemeClr val="tx1">
                    <a:lumMod val="65000"/>
                    <a:lumOff val="35000"/>
                  </a:schemeClr>
                </a:solidFill>
                <a:uFillTx/>
                <a:latin typeface="Calibri"/>
                <a:ea typeface="DejaVu Sans"/>
              </a:rPr>
              <a:t>THÁNG</a:t>
            </a:r>
            <a:r>
              <a:rPr lang="en-US" sz="1400" b="1" u="none" strike="noStrike">
                <a:solidFill>
                  <a:schemeClr val="tx1">
                    <a:lumMod val="65000"/>
                    <a:lumOff val="35000"/>
                  </a:schemeClr>
                </a:solidFill>
                <a:uFillTx/>
                <a:latin typeface="Calibri"/>
                <a:ea typeface="DejaVu Sans"/>
              </a:rPr>
              <a:t> (10,11,12)</a:t>
            </a:r>
          </a:p>
        </c:rich>
      </c:tx>
      <c:overlay val="0"/>
      <c:spPr>
        <a:noFill/>
        <a:ln w="25560">
          <a:noFill/>
        </a:ln>
      </c:spPr>
    </c:title>
    <c:autoTitleDeleted val="0"/>
    <c:plotArea>
      <c:pieChart>
        <c:varyColors val="1"/>
        <c:ser>
          <c:idx val="0"/>
          <c:order val="0"/>
          <c:tx>
            <c:strRef>
              <c:f>label 0</c:f>
              <c:strCache>
                <c:ptCount val="1"/>
                <c:pt idx="0">
                  <c:v>Series1</c:v>
                </c:pt>
              </c:strCache>
            </c:strRef>
          </c:tx>
          <c:spPr>
            <a:solidFill>
              <a:srgbClr val="B5D4E0"/>
            </a:solidFill>
            <a:ln w="0">
              <a:noFill/>
            </a:ln>
          </c:spPr>
          <c:explosion val="0"/>
          <c:dPt>
            <c:idx val="0"/>
            <c:spPr>
              <a:solidFill>
                <a:srgbClr val="3E8EA4"/>
              </a:solidFill>
              <a:ln w="0">
                <a:noFill/>
              </a:ln>
            </c:spPr>
          </c:dPt>
          <c:dLbls>
            <c:dLbl>
              <c:idx val="0"/>
              <c:layout>
                <c:manualLayout>
                  <c:x val="-0.0439980907215225"/>
                  <c:y val="0.0560095777501496"/>
                </c:manualLayout>
              </c:layout>
              <c:numFmt formatCode="General" sourceLinked="0"/>
              <c:txPr>
                <a:bodyPr wrap="square"/>
                <a:lstStyle/>
                <a:p>
                  <a:pPr>
                    <a:defRPr sz="900" b="0" u="none" strike="noStrike">
                      <a:solidFill>
                        <a:srgbClr val="404040"/>
                      </a:solidFill>
                      <a:uFillTx/>
                      <a:latin typeface="Calibri"/>
                      <a:ea typeface="DejaVu Sans"/>
                    </a:defRPr>
                  </a:pPr>
                </a:p>
              </c:txPr>
              <c:dLblPos val="outEnd"/>
              <c:showLegendKey val="0"/>
              <c:showVal val="1"/>
              <c:showCatName val="0"/>
              <c:showSerName val="0"/>
              <c:showPercent val="0"/>
              <c:separator>; </c:separator>
            </c:dLbl>
            <c:numFmt formatCode="General" sourceLinked="0"/>
            <c:txPr>
              <a:bodyPr wrap="square"/>
              <a:lstStyle/>
              <a:p>
                <a:pPr>
                  <a:defRPr sz="900" b="0" u="none" strike="noStrike">
                    <a:solidFill>
                      <a:srgbClr val="404040"/>
                    </a:solidFill>
                    <a:uFillTx/>
                    <a:latin typeface="Calibri"/>
                    <a:ea typeface="DejaVu Sans"/>
                  </a:defRPr>
                </a:pPr>
              </a:p>
            </c:txPr>
            <c:dLblPos val="bestFit"/>
            <c:showLegendKey val="0"/>
            <c:showVal val="1"/>
            <c:showCatName val="0"/>
            <c:showSerName val="0"/>
            <c:showPercent val="0"/>
            <c:separator>; </c:separator>
            <c:showLeaderLines val="1"/>
            <c:leaderLines>
              <c:spPr>
                <a:ln w="0">
                  <a:solidFill>
                    <a:srgbClr val="A6A6A6"/>
                  </a:solidFill>
                </a:ln>
              </c:spPr>
            </c:leaderLines>
          </c:dLbls>
          <c:cat>
            <c:strRef>
              <c:f>categories</c:f>
              <c:strCache>
                <c:ptCount val="1"/>
                <c:pt idx="0">
                  <c:v>1</c:v>
                </c:pt>
              </c:strCache>
            </c:strRef>
          </c:cat>
          <c:val>
            <c:numRef>
              <c:f>0</c:f>
              <c:numCache>
                <c:formatCode>General</c:formatCode>
                <c:ptCount val="1"/>
                <c:pt idx="0">
                  <c:v>1</c:v>
                </c:pt>
              </c:numCache>
            </c:numRef>
          </c:val>
        </c:ser>
        <c:firstSliceAng val="0"/>
      </c:pieChart>
      <c:spPr>
        <a:noFill/>
        <a:ln w="25560">
          <a:noFill/>
        </a:ln>
      </c:spPr>
    </c:plotArea>
    <c:legend>
      <c:legendPos val="b"/>
      <c:overlay val="0"/>
      <c:spPr>
        <a:noFill/>
        <a:ln w="25560">
          <a:noFill/>
        </a:ln>
      </c:spPr>
      <c:txPr>
        <a:bodyPr/>
        <a:lstStyle/>
        <a:p>
          <a:pPr>
            <a:defRPr sz="900" b="0" u="none" strike="noStrike">
              <a:solidFill>
                <a:srgbClr val="595959"/>
              </a:solidFill>
              <a:uFillTx/>
              <a:latin typeface="Calibri"/>
              <a:ea typeface="DejaVu Sans"/>
            </a:defRPr>
          </a:pPr>
        </a:p>
      </c:txPr>
    </c:legend>
    <c:plotVisOnly val="1"/>
    <c:dispBlanksAs val="zero"/>
  </c:chart>
  <c:spPr>
    <a:solidFill>
      <a:srgbClr val="FFFFFF"/>
    </a:solidFill>
    <a:ln w="9360">
      <a:solidFill>
        <a:srgbClr val="D9D9D9"/>
      </a:solidFill>
      <a:round/>
    </a:ln>
  </c:spPr>
</c:chartSpace>
</file>

<file path=xl/charts/chart1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lang="en-US" sz="1400" b="1" u="none" strike="noStrike">
                <a:solidFill>
                  <a:schemeClr val="tx1">
                    <a:lumMod val="65000"/>
                    <a:lumOff val="35000"/>
                  </a:schemeClr>
                </a:solidFill>
                <a:uFillTx/>
                <a:latin typeface="Calibri"/>
                <a:ea typeface="DejaVu Sans"/>
              </a:rPr>
              <a:t>TỔNG</a:t>
            </a:r>
            <a:r>
              <a:rPr lang="en-US" sz="1400" b="1" u="none" strike="noStrike">
                <a:solidFill>
                  <a:schemeClr val="tx1">
                    <a:lumMod val="65000"/>
                    <a:lumOff val="35000"/>
                  </a:schemeClr>
                </a:solidFill>
                <a:uFillTx/>
                <a:latin typeface="Calibri"/>
                <a:ea typeface="DejaVu Sans"/>
              </a:rPr>
              <a:t> HỢP HỢP ĐỒNG</a:t>
            </a:r>
          </a:p>
        </c:rich>
      </c:tx>
      <c:overlay val="0"/>
      <c:spPr>
        <a:noFill/>
        <a:ln w="25560">
          <a:noFill/>
        </a:ln>
      </c:spPr>
    </c:title>
    <c:autoTitleDeleted val="0"/>
    <c:plotArea>
      <c:barChart>
        <c:barDir val="col"/>
        <c:grouping val="stacked"/>
        <c:varyColors val="0"/>
        <c:ser>
          <c:idx val="0"/>
          <c:order val="0"/>
          <c:tx>
            <c:strRef>
              <c:f>'KH hieu chinh'!$B$21</c:f>
              <c:strCache>
                <c:ptCount val="1"/>
                <c:pt idx="0">
                  <c:v>KH năm</c:v>
                </c:pt>
              </c:strCache>
            </c:strRef>
          </c:tx>
          <c:spPr>
            <a:solidFill>
              <a:srgbClr val="F79646"/>
            </a:solidFill>
            <a:ln w="12600">
              <a:noFill/>
            </a:ln>
          </c:spPr>
          <c:invertIfNegative val="0"/>
          <c:dLbls>
            <c:numFmt formatCode="#,##0" sourceLinked="1"/>
            <c:txPr>
              <a:bodyPr wrap="square"/>
              <a:lstStyle/>
              <a:p>
                <a:pPr>
                  <a:defRPr sz="900" b="0" u="none" strike="noStrike">
                    <a:solidFill>
                      <a:srgbClr val="404040"/>
                    </a:solidFill>
                    <a:uFillTx/>
                    <a:latin typeface="Calibri"/>
                    <a:ea typeface="DejaVu Sans"/>
                  </a:defRPr>
                </a:pPr>
              </a:p>
            </c:txPr>
            <c:dLblPos val="ctr"/>
            <c:showLegendKey val="0"/>
            <c:showVal val="1"/>
            <c:showCatName val="0"/>
            <c:showSerName val="0"/>
            <c:showPercent val="0"/>
            <c:separator>; </c:separator>
            <c:showLeaderLines val="0"/>
            <c:extLst>
              <c:ext xmlns:c15="http://schemas.microsoft.com/office/drawing/2012/chart" uri="{CE6537A1-D6FC-4f65-9D91-7224C49458BB}">
                <c15:showLeaderLines val="0"/>
              </c:ext>
            </c:extLst>
          </c:dLbls>
          <c:val>
            <c:numRef>
              <c:f>'KH hieu chinh'!$C$21:$E$21</c:f>
              <c:numCache>
                <c:formatCode>#,##0</c:formatCode>
                <c:ptCount val="3"/>
                <c:pt idx="0">
                  <c:v>0</c:v>
                </c:pt>
              </c:numCache>
            </c:numRef>
          </c:val>
        </c:ser>
        <c:ser>
          <c:idx val="1"/>
          <c:order val="1"/>
          <c:tx>
            <c:strRef>
              <c:f>'KH hieu chinh'!$B$22</c:f>
              <c:strCache>
                <c:ptCount val="1"/>
                <c:pt idx="0">
                  <c:v>KH còn lại</c:v>
                </c:pt>
              </c:strCache>
            </c:strRef>
          </c:tx>
          <c:spPr>
            <a:solidFill>
              <a:srgbClr val="4BACC6"/>
            </a:solidFill>
            <a:ln w="12600">
              <a:noFill/>
            </a:ln>
          </c:spPr>
          <c:invertIfNegative val="0"/>
          <c:dLbls>
            <c:numFmt formatCode="#,##0" sourceLinked="1"/>
            <c:txPr>
              <a:bodyPr wrap="square"/>
              <a:lstStyle/>
              <a:p>
                <a:pPr>
                  <a:defRPr sz="900" b="0" u="none" strike="noStrike">
                    <a:solidFill>
                      <a:srgbClr val="404040"/>
                    </a:solidFill>
                    <a:uFillTx/>
                    <a:latin typeface="Calibri"/>
                    <a:ea typeface="DejaVu Sans"/>
                  </a:defRPr>
                </a:pPr>
              </a:p>
            </c:txPr>
            <c:dLblPos val="ctr"/>
            <c:showLegendKey val="0"/>
            <c:showVal val="1"/>
            <c:showCatName val="0"/>
            <c:showSerName val="0"/>
            <c:showPercent val="0"/>
            <c:separator>; </c:separator>
            <c:showLeaderLines val="0"/>
            <c:extLst>
              <c:ext xmlns:c15="http://schemas.microsoft.com/office/drawing/2012/chart" uri="{CE6537A1-D6FC-4f65-9D91-7224C49458BB}">
                <c15:showLeaderLines val="0"/>
              </c:ext>
            </c:extLst>
          </c:dLbls>
          <c:val>
            <c:numRef>
              <c:f>'KH hieu chinh'!$C$22:$E$22</c:f>
              <c:numCache>
                <c:formatCode>#,##0</c:formatCode>
                <c:ptCount val="3"/>
                <c:pt idx="1">
                  <c:v>0</c:v>
                </c:pt>
              </c:numCache>
            </c:numRef>
          </c:val>
        </c:ser>
        <c:ser>
          <c:idx val="2"/>
          <c:order val="2"/>
          <c:tx>
            <c:strRef>
              <c:f>'KH hieu chinh'!$B$23</c:f>
              <c:strCache>
                <c:ptCount val="1"/>
                <c:pt idx="0">
                  <c:v>Thực tế (đạt)</c:v>
                </c:pt>
              </c:strCache>
            </c:strRef>
          </c:tx>
          <c:spPr>
            <a:solidFill>
              <a:srgbClr val="8064A2"/>
            </a:solidFill>
            <a:ln w="12600">
              <a:noFill/>
            </a:ln>
          </c:spPr>
          <c:invertIfNegative val="0"/>
          <c:dLbls>
            <c:numFmt formatCode="#,##0" sourceLinked="1"/>
            <c:txPr>
              <a:bodyPr wrap="square"/>
              <a:lstStyle/>
              <a:p>
                <a:pPr>
                  <a:defRPr sz="900" b="0" u="none" strike="noStrike">
                    <a:solidFill>
                      <a:srgbClr val="404040"/>
                    </a:solidFill>
                    <a:uFillTx/>
                    <a:latin typeface="Calibri"/>
                    <a:ea typeface="DejaVu Sans"/>
                  </a:defRPr>
                </a:pPr>
              </a:p>
            </c:txPr>
            <c:dLblPos val="ctr"/>
            <c:showLegendKey val="0"/>
            <c:showVal val="1"/>
            <c:showCatName val="0"/>
            <c:showSerName val="0"/>
            <c:showPercent val="0"/>
            <c:separator>; </c:separator>
            <c:showLeaderLines val="0"/>
            <c:extLst>
              <c:ext xmlns:c15="http://schemas.microsoft.com/office/drawing/2012/chart" uri="{CE6537A1-D6FC-4f65-9D91-7224C49458BB}">
                <c15:showLeaderLines val="0"/>
              </c:ext>
            </c:extLst>
          </c:dLbls>
          <c:val>
            <c:numRef>
              <c:f>'KH hieu chinh'!$C$23:$E$23</c:f>
              <c:numCache>
                <c:formatCode>#,##0</c:formatCode>
                <c:ptCount val="3"/>
                <c:pt idx="2">
                  <c:v>0</c:v>
                </c:pt>
              </c:numCache>
            </c:numRef>
          </c:val>
        </c:ser>
        <c:ser>
          <c:idx val="3"/>
          <c:order val="3"/>
          <c:tx>
            <c:strRef>
              <c:f>"Tổng dự kiến đạt được (Mức 1,2)"</c:f>
              <c:strCache>
                <c:ptCount val="1"/>
                <c:pt idx="0">
                  <c:v>Tổng dự kiến đạt được (Mức 1,2)</c:v>
                </c:pt>
              </c:strCache>
            </c:strRef>
          </c:tx>
          <c:spPr>
            <a:solidFill>
              <a:srgbClr val="B65708"/>
            </a:solidFill>
            <a:ln w="12600">
              <a:noFill/>
            </a:ln>
          </c:spPr>
          <c:invertIfNegative val="0"/>
          <c:dLbls>
            <c:numFmt formatCode="#,##0" sourceLinked="1"/>
            <c:txPr>
              <a:bodyPr wrap="square"/>
              <a:lstStyle/>
              <a:p>
                <a:pPr>
                  <a:defRPr sz="900" b="0" u="none" strike="noStrike">
                    <a:solidFill>
                      <a:srgbClr val="404040"/>
                    </a:solidFill>
                    <a:uFillTx/>
                    <a:latin typeface="Calibri"/>
                    <a:ea typeface="DejaVu Sans"/>
                  </a:defRPr>
                </a:pPr>
              </a:p>
            </c:txPr>
            <c:dLblPos val="ctr"/>
            <c:showLegendKey val="0"/>
            <c:showVal val="1"/>
            <c:showCatName val="0"/>
            <c:showSerName val="0"/>
            <c:showPercent val="0"/>
            <c:separator>; </c:separator>
            <c:showLeaderLines val="0"/>
            <c:extLst>
              <c:ext xmlns:c15="http://schemas.microsoft.com/office/drawing/2012/chart" uri="{CE6537A1-D6FC-4f65-9D91-7224C49458BB}">
                <c15:showLeaderLines val="0"/>
              </c:ext>
            </c:extLst>
          </c:dLbls>
          <c:val>
            <c:numRef>
              <c:f>'KH hieu chinh'!$C$24:$E$24</c:f>
              <c:numCache>
                <c:formatCode>#,##0</c:formatCode>
                <c:ptCount val="3"/>
                <c:pt idx="2">
                  <c:v>0</c:v>
                </c:pt>
              </c:numCache>
            </c:numRef>
          </c:val>
        </c:ser>
        <c:gapWidth val="150"/>
        <c:overlap val="100"/>
        <c:axId val="57513010"/>
        <c:axId val="50812673"/>
      </c:barChart>
      <c:catAx>
        <c:axId val="57513010"/>
        <c:scaling>
          <c:orientation val="minMax"/>
        </c:scaling>
        <c:delete val="1"/>
        <c:axPos val="b"/>
        <c:numFmt formatCode="General" sourceLinked="1"/>
        <c:majorTickMark val="out"/>
        <c:minorTickMark val="none"/>
        <c:tickLblPos val="none"/>
        <c:spPr>
          <a:ln w="9360">
            <a:solidFill>
              <a:srgbClr val="878787"/>
            </a:solidFill>
            <a:round/>
          </a:ln>
        </c:spPr>
        <c:txPr>
          <a:bodyPr/>
          <a:lstStyle/>
          <a:p>
            <a:pPr>
              <a:defRPr sz="1000" b="0" u="none" strike="noStrike">
                <a:solidFill>
                  <a:srgbClr val="000000"/>
                </a:solidFill>
                <a:uFillTx/>
                <a:latin typeface="Calibri"/>
                <a:ea typeface="DejaVu Sans"/>
              </a:defRPr>
            </a:pPr>
          </a:p>
        </c:txPr>
        <c:crossAx val="50812673"/>
        <c:auto val="1"/>
        <c:lblAlgn val="ctr"/>
        <c:lblOffset val="100"/>
        <c:noMultiLvlLbl val="0"/>
      </c:catAx>
      <c:valAx>
        <c:axId val="50812673"/>
        <c:scaling>
          <c:orientation val="minMax"/>
        </c:scaling>
        <c:delete val="0"/>
        <c:axPos val="l"/>
        <c:majorGridlines>
          <c:spPr>
            <a:ln w="9360">
              <a:solidFill>
                <a:srgbClr val="D9D9D9"/>
              </a:solidFill>
              <a:round/>
            </a:ln>
          </c:spPr>
        </c:majorGridlines>
        <c:numFmt formatCode="#,##0" sourceLinked="0"/>
        <c:majorTickMark val="none"/>
        <c:minorTickMark val="none"/>
        <c:tickLblPos val="nextTo"/>
        <c:spPr>
          <a:ln w="9360">
            <a:noFill/>
          </a:ln>
        </c:spPr>
        <c:txPr>
          <a:bodyPr/>
          <a:lstStyle/>
          <a:p>
            <a:pPr>
              <a:defRPr sz="900" b="0" u="none" strike="noStrike">
                <a:solidFill>
                  <a:srgbClr val="595959"/>
                </a:solidFill>
                <a:uFillTx/>
                <a:latin typeface="Calibri"/>
                <a:ea typeface="DejaVu Sans"/>
              </a:defRPr>
            </a:pPr>
          </a:p>
        </c:txPr>
        <c:crossAx val="57513010"/>
        <c:crosses val="autoZero"/>
        <c:crossBetween val="between"/>
      </c:valAx>
      <c:spPr>
        <a:noFill/>
        <a:ln w="25560">
          <a:noFill/>
        </a:ln>
      </c:spPr>
    </c:plotArea>
    <c:legend>
      <c:legendPos val="b"/>
      <c:overlay val="0"/>
      <c:spPr>
        <a:noFill/>
        <a:ln w="25560">
          <a:noFill/>
        </a:ln>
      </c:spPr>
      <c:txPr>
        <a:bodyPr/>
        <a:lstStyle/>
        <a:p>
          <a:pPr>
            <a:defRPr sz="900" b="0" u="none" strike="noStrike">
              <a:solidFill>
                <a:srgbClr val="595959"/>
              </a:solidFill>
              <a:uFillTx/>
              <a:latin typeface="Calibri"/>
              <a:ea typeface="DejaVu Sans"/>
            </a:defRPr>
          </a:pPr>
        </a:p>
      </c:txPr>
    </c:legend>
    <c:plotVisOnly val="1"/>
    <c:dispBlanksAs val="gap"/>
  </c:chart>
  <c:spPr>
    <a:solidFill>
      <a:srgbClr val="FFFFFF"/>
    </a:solidFill>
    <a:ln w="9360">
      <a:solidFill>
        <a:srgbClr val="D9D9D9"/>
      </a:solidFill>
      <a:round/>
    </a:ln>
  </c:spPr>
</c:chartSpace>
</file>

<file path=xl/charts/chart16.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barChart>
        <c:barDir val="col"/>
        <c:grouping val="clustered"/>
        <c:varyColors val="0"/>
        <c:ser>
          <c:idx val="0"/>
          <c:order val="0"/>
          <c:tx>
            <c:strRef>
              <c:f>"Kế hoạch"</c:f>
              <c:strCache>
                <c:ptCount val="1"/>
                <c:pt idx="0">
                  <c:v>Kế hoạch</c:v>
                </c:pt>
              </c:strCache>
            </c:strRef>
          </c:tx>
          <c:spPr>
            <a:solidFill>
              <a:srgbClr val="C77838"/>
            </a:solidFill>
            <a:ln w="12600">
              <a:noFill/>
            </a:ln>
          </c:spPr>
          <c:invertIfNegative val="0"/>
          <c:dPt>
            <c:idx val="0"/>
            <c:invertIfNegative val="0"/>
            <c:spPr>
              <a:solidFill>
                <a:srgbClr val="C77838"/>
              </a:solidFill>
              <a:ln w="12600">
                <a:noFill/>
              </a:ln>
            </c:spPr>
          </c:dPt>
          <c:dLbls>
            <c:dLbl>
              <c:idx val="0"/>
              <c:layout>
                <c:manualLayout>
                  <c:x val="0.00275288016579472"/>
                  <c:y val="0.00404192526766601"/>
                </c:manualLayout>
              </c:layout>
              <c:numFmt formatCode="_(* #,##0_);_(* \(#,##0\);_(* \-??_);_(@_)" sourceLinked="1"/>
              <c:txPr>
                <a:bodyPr wrap="square"/>
                <a:lstStyle/>
                <a:p>
                  <a:pPr>
                    <a:defRPr sz="900" b="0" u="none" strike="noStrike">
                      <a:solidFill>
                        <a:srgbClr val="404040"/>
                      </a:solidFill>
                      <a:uFillTx/>
                      <a:latin typeface="Calibri"/>
                      <a:ea typeface="DejaVu Sans"/>
                    </a:defRPr>
                  </a:pPr>
                </a:p>
              </c:txPr>
              <c:dLblPos val="outEnd"/>
              <c:showLegendKey val="0"/>
              <c:showVal val="1"/>
              <c:showCatName val="0"/>
              <c:showSerName val="0"/>
              <c:showPercent val="0"/>
              <c:separator>; </c:separator>
            </c:dLbl>
            <c:numFmt formatCode="_(* #,##0_);_(* \(#,##0\);_(* \-??_);_(@_)" sourceLinked="1"/>
            <c:txPr>
              <a:bodyPr wrap="square"/>
              <a:lstStyle/>
              <a:p>
                <a:pPr>
                  <a:defRPr sz="900" b="0" u="none" strike="noStrike">
                    <a:solidFill>
                      <a:srgbClr val="404040"/>
                    </a:solidFill>
                    <a:uFillTx/>
                    <a:latin typeface="Calibri"/>
                    <a:ea typeface="DejaVu Sans"/>
                  </a:defRPr>
                </a:pPr>
              </a:p>
            </c:txPr>
            <c:dLblPos val="outEnd"/>
            <c:showLegendKey val="0"/>
            <c:showVal val="1"/>
            <c:showCatName val="0"/>
            <c:showSerName val="0"/>
            <c:showPercent val="0"/>
            <c:separator>; </c:separator>
            <c:showLeaderLines val="0"/>
            <c:extLst>
              <c:ext xmlns:c15="http://schemas.microsoft.com/office/drawing/2012/chart" uri="{CE6537A1-D6FC-4f65-9D91-7224C49458BB}">
                <c15:showLeaderLines val="0"/>
              </c:ext>
            </c:extLst>
          </c:dLbls>
          <c:cat>
            <c:strRef>
              <c:f>'KH hieu chinh'!$B$10:$B$16</c:f>
              <c:strCache>
                <c:ptCount val="7"/>
                <c:pt idx="0">
                  <c:v>Tháng 06</c:v>
                </c:pt>
                <c:pt idx="1">
                  <c:v>Tháng 07</c:v>
                </c:pt>
                <c:pt idx="2">
                  <c:v>Tháng 08</c:v>
                </c:pt>
                <c:pt idx="3">
                  <c:v>Tháng 09</c:v>
                </c:pt>
                <c:pt idx="4">
                  <c:v>Tháng 10</c:v>
                </c:pt>
                <c:pt idx="5">
                  <c:v>Tháng 11</c:v>
                </c:pt>
                <c:pt idx="6">
                  <c:v>Tháng 12</c:v>
                </c:pt>
              </c:strCache>
            </c:strRef>
          </c:cat>
          <c:val>
            <c:numRef>
              <c:f>'KH hieu chinh'!$D$10:$D$16</c:f>
              <c:numCache>
                <c:formatCode>_(* #,##0_);_(* \(#,##0\);_(* \-??_);_(@_)</c:formatCode>
                <c:ptCount val="7"/>
                <c:pt idx="0">
                  <c:v>0</c:v>
                </c:pt>
                <c:pt idx="1">
                  <c:v>0</c:v>
                </c:pt>
                <c:pt idx="2">
                  <c:v>0</c:v>
                </c:pt>
                <c:pt idx="3">
                  <c:v>0</c:v>
                </c:pt>
                <c:pt idx="4">
                  <c:v>0</c:v>
                </c:pt>
                <c:pt idx="5">
                  <c:v>0</c:v>
                </c:pt>
                <c:pt idx="6">
                  <c:v>854990000</c:v>
                </c:pt>
              </c:numCache>
            </c:numRef>
          </c:val>
        </c:ser>
        <c:ser>
          <c:idx val="1"/>
          <c:order val="1"/>
          <c:tx>
            <c:strRef>
              <c:f>"Mức 1: Đạt 80-100%"</c:f>
              <c:strCache>
                <c:ptCount val="1"/>
                <c:pt idx="0">
                  <c:v>Mức 1: Đạt 80-100%</c:v>
                </c:pt>
              </c:strCache>
            </c:strRef>
          </c:tx>
          <c:spPr>
            <a:solidFill>
              <a:srgbClr val="F8B590"/>
            </a:solidFill>
            <a:ln w="12600">
              <a:noFill/>
            </a:ln>
          </c:spPr>
          <c:invertIfNegative val="0"/>
          <c:dPt>
            <c:idx val="0"/>
            <c:invertIfNegative val="0"/>
            <c:spPr>
              <a:solidFill>
                <a:srgbClr val="F8B590"/>
              </a:solidFill>
              <a:ln w="12600">
                <a:noFill/>
              </a:ln>
            </c:spPr>
          </c:dPt>
          <c:dLbls>
            <c:dLbl>
              <c:idx val="0"/>
              <c:layout>
                <c:manualLayout>
                  <c:x val="-0.00412352345690757"/>
                  <c:y val="0.00404192526766601"/>
                </c:manualLayout>
              </c:layout>
              <c:numFmt formatCode="_(* #,##0_);_(* \(#,##0\);_(* \-??_);_(@_)" sourceLinked="1"/>
              <c:txPr>
                <a:bodyPr wrap="square"/>
                <a:lstStyle/>
                <a:p>
                  <a:pPr>
                    <a:defRPr sz="900" b="0" u="none" strike="noStrike">
                      <a:solidFill>
                        <a:srgbClr val="404040"/>
                      </a:solidFill>
                      <a:uFillTx/>
                      <a:latin typeface="Calibri"/>
                      <a:ea typeface="DejaVu Sans"/>
                    </a:defRPr>
                  </a:pPr>
                </a:p>
              </c:txPr>
              <c:dLblPos val="outEnd"/>
              <c:showLegendKey val="0"/>
              <c:showVal val="1"/>
              <c:showCatName val="0"/>
              <c:showSerName val="0"/>
              <c:showPercent val="0"/>
              <c:separator>; </c:separator>
            </c:dLbl>
            <c:numFmt formatCode="_(* #,##0_);_(* \(#,##0\);_(* \-??_);_(@_)" sourceLinked="1"/>
            <c:txPr>
              <a:bodyPr wrap="square"/>
              <a:lstStyle/>
              <a:p>
                <a:pPr>
                  <a:defRPr sz="900" b="0" u="none" strike="noStrike">
                    <a:solidFill>
                      <a:srgbClr val="404040"/>
                    </a:solidFill>
                    <a:uFillTx/>
                    <a:latin typeface="Calibri"/>
                    <a:ea typeface="DejaVu Sans"/>
                  </a:defRPr>
                </a:pPr>
              </a:p>
            </c:txPr>
            <c:dLblPos val="outEnd"/>
            <c:showLegendKey val="0"/>
            <c:showVal val="1"/>
            <c:showCatName val="0"/>
            <c:showSerName val="0"/>
            <c:showPercent val="0"/>
            <c:separator>; </c:separator>
            <c:showLeaderLines val="0"/>
            <c:extLst>
              <c:ext xmlns:c15="http://schemas.microsoft.com/office/drawing/2012/chart" uri="{CE6537A1-D6FC-4f65-9D91-7224C49458BB}">
                <c15:showLeaderLines val="0"/>
              </c:ext>
            </c:extLst>
          </c:dLbls>
          <c:cat>
            <c:strRef>
              <c:f>'KH hieu chinh'!$B$10:$B$16</c:f>
              <c:strCache>
                <c:ptCount val="7"/>
                <c:pt idx="0">
                  <c:v>Tháng 06</c:v>
                </c:pt>
                <c:pt idx="1">
                  <c:v>Tháng 07</c:v>
                </c:pt>
                <c:pt idx="2">
                  <c:v>Tháng 08</c:v>
                </c:pt>
                <c:pt idx="3">
                  <c:v>Tháng 09</c:v>
                </c:pt>
                <c:pt idx="4">
                  <c:v>Tháng 10</c:v>
                </c:pt>
                <c:pt idx="5">
                  <c:v>Tháng 11</c:v>
                </c:pt>
                <c:pt idx="6">
                  <c:v>Tháng 12</c:v>
                </c:pt>
              </c:strCache>
            </c:strRef>
          </c:cat>
          <c:val>
            <c:numRef>
              <c:f>'KH hieu chinh'!$H$10:$H$16</c:f>
              <c:numCache>
                <c:formatCode>_(* #,##0_);_(* \(#,##0\);_(* \-??_);_(@_)</c:formatCode>
                <c:ptCount val="7"/>
                <c:pt idx="0">
                  <c:v>0</c:v>
                </c:pt>
                <c:pt idx="1">
                  <c:v>0</c:v>
                </c:pt>
                <c:pt idx="2">
                  <c:v>0</c:v>
                </c:pt>
                <c:pt idx="3">
                  <c:v>0</c:v>
                </c:pt>
                <c:pt idx="4">
                  <c:v>0</c:v>
                </c:pt>
                <c:pt idx="5">
                  <c:v>0</c:v>
                </c:pt>
                <c:pt idx="6">
                  <c:v>854990000</c:v>
                </c:pt>
              </c:numCache>
            </c:numRef>
          </c:val>
        </c:ser>
        <c:ser>
          <c:idx val="2"/>
          <c:order val="2"/>
          <c:tx>
            <c:strRef>
              <c:f>"Mức 2: Đạt 50-79%"</c:f>
              <c:strCache>
                <c:ptCount val="1"/>
                <c:pt idx="0">
                  <c:v>Mức 2: Đạt 50-79%</c:v>
                </c:pt>
              </c:strCache>
            </c:strRef>
          </c:tx>
          <c:spPr>
            <a:solidFill>
              <a:srgbClr val="FAC6AD"/>
            </a:solidFill>
            <a:ln w="12600">
              <a:noFill/>
            </a:ln>
          </c:spPr>
          <c:invertIfNegative val="0"/>
          <c:dLbls>
            <c:txPr>
              <a:bodyPr wrap="square"/>
              <a:lstStyle/>
              <a:p>
                <a:pPr>
                  <a:defRPr sz="1000" b="0" u="none" strike="noStrike">
                    <a:solidFill>
                      <a:srgbClr val="000000"/>
                    </a:solidFill>
                    <a:uFillTx/>
                    <a:latin typeface="Calibri"/>
                    <a:ea typeface="DejaVu Sans"/>
                  </a:defRPr>
                </a:pPr>
              </a:p>
            </c:txPr>
            <c:dLblPos val="outEnd"/>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'KH hieu chinh'!$B$10:$B$16</c:f>
              <c:strCache>
                <c:ptCount val="7"/>
                <c:pt idx="0">
                  <c:v>Tháng 06</c:v>
                </c:pt>
                <c:pt idx="1">
                  <c:v>Tháng 07</c:v>
                </c:pt>
                <c:pt idx="2">
                  <c:v>Tháng 08</c:v>
                </c:pt>
                <c:pt idx="3">
                  <c:v>Tháng 09</c:v>
                </c:pt>
                <c:pt idx="4">
                  <c:v>Tháng 10</c:v>
                </c:pt>
                <c:pt idx="5">
                  <c:v>Tháng 11</c:v>
                </c:pt>
                <c:pt idx="6">
                  <c:v>Tháng 12</c:v>
                </c:pt>
              </c:strCache>
            </c:strRef>
          </c:cat>
          <c:val>
            <c:numRef>
              <c:f>'KH hieu chinh'!$I$10:$I$16</c:f>
              <c:numCache>
                <c:formatCode>_(* #,##0_);_(* \(#,##0\);_(* \-??_);_(@_)</c:formatCode>
                <c:ptCount val="7"/>
                <c:pt idx="0">
                  <c:v>0</c:v>
                </c:pt>
                <c:pt idx="1">
                  <c:v>0</c:v>
                </c:pt>
                <c:pt idx="2">
                  <c:v>0</c:v>
                </c:pt>
                <c:pt idx="3">
                  <c:v>0</c:v>
                </c:pt>
                <c:pt idx="4">
                  <c:v>0</c:v>
                </c:pt>
                <c:pt idx="5">
                  <c:v>0</c:v>
                </c:pt>
                <c:pt idx="6">
                  <c:v>0</c:v>
                </c:pt>
              </c:numCache>
            </c:numRef>
          </c:val>
        </c:ser>
        <c:ser>
          <c:idx val="3"/>
          <c:order val="3"/>
          <c:tx>
            <c:strRef>
              <c:f>"Mức 3: Dưới 50%"</c:f>
              <c:strCache>
                <c:ptCount val="1"/>
                <c:pt idx="0">
                  <c:v>Mức 3: Dưới 50%</c:v>
                </c:pt>
              </c:strCache>
            </c:strRef>
          </c:tx>
          <c:spPr>
            <a:solidFill>
              <a:srgbClr val="FBD7C6"/>
            </a:solidFill>
            <a:ln w="12600">
              <a:noFill/>
            </a:ln>
          </c:spPr>
          <c:invertIfNegative val="0"/>
          <c:dLbls>
            <c:txPr>
              <a:bodyPr wrap="square"/>
              <a:lstStyle/>
              <a:p>
                <a:pPr>
                  <a:defRPr sz="1000" b="0" u="none" strike="noStrike">
                    <a:solidFill>
                      <a:srgbClr val="000000"/>
                    </a:solidFill>
                    <a:uFillTx/>
                    <a:latin typeface="Calibri"/>
                    <a:ea typeface="DejaVu Sans"/>
                  </a:defRPr>
                </a:pPr>
              </a:p>
            </c:txPr>
            <c:dLblPos val="outEnd"/>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'KH hieu chinh'!$B$10:$B$16</c:f>
              <c:strCache>
                <c:ptCount val="7"/>
                <c:pt idx="0">
                  <c:v>Tháng 06</c:v>
                </c:pt>
                <c:pt idx="1">
                  <c:v>Tháng 07</c:v>
                </c:pt>
                <c:pt idx="2">
                  <c:v>Tháng 08</c:v>
                </c:pt>
                <c:pt idx="3">
                  <c:v>Tháng 09</c:v>
                </c:pt>
                <c:pt idx="4">
                  <c:v>Tháng 10</c:v>
                </c:pt>
                <c:pt idx="5">
                  <c:v>Tháng 11</c:v>
                </c:pt>
                <c:pt idx="6">
                  <c:v>Tháng 12</c:v>
                </c:pt>
              </c:strCache>
            </c:strRef>
          </c:cat>
          <c:val>
            <c:numRef>
              <c:f>'KH hieu chinh'!$J$10:$J$16</c:f>
              <c:numCache>
                <c:formatCode>_(* #,##0_);_(* \(#,##0\);_(* \-??_);_(@_)</c:formatCode>
                <c:ptCount val="7"/>
                <c:pt idx="0">
                  <c:v>0</c:v>
                </c:pt>
                <c:pt idx="1">
                  <c:v>0</c:v>
                </c:pt>
                <c:pt idx="2">
                  <c:v>0</c:v>
                </c:pt>
                <c:pt idx="3">
                  <c:v>0</c:v>
                </c:pt>
                <c:pt idx="4">
                  <c:v>0</c:v>
                </c:pt>
                <c:pt idx="5">
                  <c:v>0</c:v>
                </c:pt>
                <c:pt idx="6">
                  <c:v>0</c:v>
                </c:pt>
              </c:numCache>
            </c:numRef>
          </c:val>
        </c:ser>
        <c:gapWidth val="182"/>
        <c:overlap val="0"/>
        <c:axId val="9311905"/>
        <c:axId val="27262378"/>
      </c:barChart>
      <c:catAx>
        <c:axId val="9311905"/>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sz="900" b="0" u="none" strike="noStrike">
                <a:solidFill>
                  <a:srgbClr val="595959"/>
                </a:solidFill>
                <a:uFillTx/>
                <a:latin typeface="Calibri"/>
                <a:ea typeface="DejaVu Sans"/>
              </a:defRPr>
            </a:pPr>
          </a:p>
        </c:txPr>
        <c:crossAx val="27262378"/>
        <c:crosses val="autoZero"/>
        <c:auto val="1"/>
        <c:lblAlgn val="ctr"/>
        <c:lblOffset val="100"/>
        <c:noMultiLvlLbl val="0"/>
      </c:catAx>
      <c:valAx>
        <c:axId val="27262378"/>
        <c:scaling>
          <c:orientation val="minMax"/>
        </c:scaling>
        <c:delete val="0"/>
        <c:axPos val="l"/>
        <c:majorGridlines>
          <c:spPr>
            <a:ln w="9360">
              <a:solidFill>
                <a:srgbClr val="D9D9D9"/>
              </a:solidFill>
              <a:round/>
            </a:ln>
          </c:spPr>
        </c:majorGridlines>
        <c:title>
          <c:tx>
            <c:rich>
              <a:bodyPr rot="-5400000"/>
              <a:lstStyle/>
              <a:p>
                <a:pPr>
                  <a:defRPr sz="1300" b="0" u="none" strike="noStrike">
                    <a:uFillTx/>
                    <a:latin typeface="Arial"/>
                  </a:defRPr>
                </a:pPr>
                <a:r>
                  <a:rPr lang="en-US" sz="1000" b="0" u="none" strike="noStrike">
                    <a:solidFill>
                      <a:schemeClr val="tx1">
                        <a:lumMod val="65000"/>
                        <a:lumOff val="35000"/>
                      </a:schemeClr>
                    </a:solidFill>
                    <a:uFillTx/>
                    <a:latin typeface="Calibri"/>
                    <a:ea typeface="DejaVu Sans"/>
                  </a:rPr>
                  <a:t>DOANH THU</a:t>
                </a:r>
              </a:p>
            </c:rich>
          </c:tx>
          <c:overlay val="0"/>
          <c:spPr>
            <a:noFill/>
            <a:ln w="25560">
              <a:noFill/>
            </a:ln>
          </c:spPr>
        </c:title>
        <c:numFmt formatCode="_(* #,##0_);_(* \(#,##0\);_(* \-??_);_(@_)" sourceLinked="0"/>
        <c:majorTickMark val="none"/>
        <c:minorTickMark val="none"/>
        <c:tickLblPos val="nextTo"/>
        <c:spPr>
          <a:ln w="9360">
            <a:noFill/>
          </a:ln>
        </c:spPr>
        <c:txPr>
          <a:bodyPr/>
          <a:lstStyle/>
          <a:p>
            <a:pPr>
              <a:defRPr sz="900" b="0" u="none" strike="noStrike">
                <a:solidFill>
                  <a:srgbClr val="595959"/>
                </a:solidFill>
                <a:uFillTx/>
                <a:latin typeface="Calibri"/>
                <a:ea typeface="DejaVu Sans"/>
              </a:defRPr>
            </a:pPr>
          </a:p>
        </c:txPr>
        <c:crossAx val="9311905"/>
        <c:crosses val="autoZero"/>
        <c:crossBetween val="between"/>
      </c:valAx>
      <c:spPr>
        <a:noFill/>
        <a:ln w="25560">
          <a:noFill/>
        </a:ln>
      </c:spPr>
    </c:plotArea>
    <c:legend>
      <c:legendPos val="b"/>
      <c:overlay val="0"/>
      <c:spPr>
        <a:noFill/>
        <a:ln w="25560">
          <a:noFill/>
        </a:ln>
      </c:spPr>
      <c:txPr>
        <a:bodyPr/>
        <a:lstStyle/>
        <a:p>
          <a:pPr>
            <a:defRPr sz="900" b="0" u="none" strike="noStrike">
              <a:solidFill>
                <a:srgbClr val="595959"/>
              </a:solidFill>
              <a:uFillTx/>
              <a:latin typeface="Calibri"/>
              <a:ea typeface="DejaVu Sans"/>
            </a:defRPr>
          </a:pPr>
        </a:p>
      </c:txPr>
    </c:legend>
    <c:plotVisOnly val="1"/>
    <c:dispBlanksAs val="gap"/>
  </c:chart>
  <c:spPr>
    <a:solidFill>
      <a:srgbClr val="FFFFFF"/>
    </a:solidFill>
    <a:ln w="9360">
      <a:solidFill>
        <a:srgbClr val="D9D9D9"/>
      </a:solidFill>
      <a:round/>
    </a:ln>
  </c:spPr>
</c:chartSpace>
</file>

<file path=xl/charts/chart17.xml><?xml version="1.0" encoding="utf-8"?>
<c:chartSpace xmlns:c="http://schemas.openxmlformats.org/drawingml/2006/chart" xmlns:a="http://schemas.openxmlformats.org/drawingml/2006/main" xmlns:r="http://schemas.openxmlformats.org/officeDocument/2006/relationships">
  <c:date1904 val="0"/>
  <c:lang val="en-US"/>
  <c:roundedCorners val="0"/>
  <c:chart>
    <c:autoTitleDeleted val="1"/>
    <c:plotArea>
      <c:pieChart>
        <c:varyColors val="1"/>
        <c:ser>
          <c:idx val="0"/>
          <c:order val="0"/>
          <c:tx>
            <c:strRef>
              <c:f>label 0</c:f>
              <c:strCache>
                <c:ptCount val="1"/>
                <c:pt idx="0">
                  <c:v>Series1</c:v>
                </c:pt>
              </c:strCache>
            </c:strRef>
          </c:tx>
          <c:spPr>
            <a:solidFill>
              <a:srgbClr val="F8B590"/>
            </a:solidFill>
            <a:ln w="0">
              <a:noFill/>
            </a:ln>
          </c:spPr>
          <c:explosion val="0"/>
          <c:dPt>
            <c:idx val="0"/>
            <c:spPr>
              <a:solidFill>
                <a:srgbClr val="CC7C3A"/>
              </a:solidFill>
              <a:ln w="0">
                <a:noFill/>
              </a:ln>
            </c:spPr>
          </c:dPt>
          <c:dLbls>
            <c:dLbl>
              <c:idx val="0"/>
              <c:numFmt formatCode="General" sourceLinked="0"/>
              <c:txPr>
                <a:bodyPr wrap="square"/>
                <a:lstStyle/>
                <a:p>
                  <a:pPr>
                    <a:defRPr sz="900" b="0" u="none" strike="noStrike">
                      <a:solidFill>
                        <a:srgbClr val="404040"/>
                      </a:solidFill>
                      <a:uFillTx/>
                      <a:latin typeface="Calibri"/>
                      <a:ea typeface="DejaVu Sans"/>
                    </a:defRPr>
                  </a:pPr>
                </a:p>
              </c:txPr>
              <c:dLblPos val="bestFit"/>
              <c:showLegendKey val="0"/>
              <c:showVal val="1"/>
              <c:showCatName val="0"/>
              <c:showSerName val="0"/>
              <c:showPercent val="0"/>
              <c:separator>; </c:separator>
            </c:dLbl>
            <c:numFmt formatCode="General" sourceLinked="0"/>
            <c:txPr>
              <a:bodyPr wrap="square"/>
              <a:lstStyle/>
              <a:p>
                <a:pPr>
                  <a:defRPr sz="900" b="0" u="none" strike="noStrike">
                    <a:solidFill>
                      <a:srgbClr val="404040"/>
                    </a:solidFill>
                    <a:uFillTx/>
                    <a:latin typeface="Calibri"/>
                    <a:ea typeface="DejaVu Sans"/>
                  </a:defRPr>
                </a:pPr>
              </a:p>
            </c:txPr>
            <c:dLblPos val="bestFit"/>
            <c:showLegendKey val="0"/>
            <c:showVal val="1"/>
            <c:showCatName val="0"/>
            <c:showSerName val="0"/>
            <c:showPercent val="0"/>
            <c:separator>; </c:separator>
            <c:showLeaderLines val="1"/>
            <c:leaderLines>
              <c:spPr>
                <a:ln w="0">
                  <a:solidFill>
                    <a:srgbClr val="A6A6A6"/>
                  </a:solidFill>
                </a:ln>
              </c:spPr>
            </c:leaderLines>
          </c:dLbls>
          <c:cat>
            <c:strRef>
              <c:f>categories</c:f>
              <c:strCache>
                <c:ptCount val="1"/>
                <c:pt idx="0">
                  <c:v>1</c:v>
                </c:pt>
              </c:strCache>
            </c:strRef>
          </c:cat>
          <c:val>
            <c:numRef>
              <c:f>0</c:f>
              <c:numCache>
                <c:formatCode>General</c:formatCode>
                <c:ptCount val="1"/>
                <c:pt idx="0">
                  <c:v>1</c:v>
                </c:pt>
              </c:numCache>
            </c:numRef>
          </c:val>
        </c:ser>
        <c:firstSliceAng val="0"/>
      </c:pieChart>
      <c:spPr>
        <a:noFill/>
        <a:ln w="25560">
          <a:noFill/>
        </a:ln>
      </c:spPr>
    </c:plotArea>
    <c:legend>
      <c:legendPos val="b"/>
      <c:overlay val="0"/>
      <c:spPr>
        <a:noFill/>
        <a:ln w="25560">
          <a:noFill/>
        </a:ln>
      </c:spPr>
      <c:txPr>
        <a:bodyPr/>
        <a:lstStyle/>
        <a:p>
          <a:pPr>
            <a:defRPr sz="900" b="0" u="none" strike="noStrike">
              <a:solidFill>
                <a:srgbClr val="595959"/>
              </a:solidFill>
              <a:uFillTx/>
              <a:latin typeface="Calibri"/>
              <a:ea typeface="DejaVu Sans"/>
            </a:defRPr>
          </a:pPr>
        </a:p>
      </c:txPr>
    </c:legend>
    <c:plotVisOnly val="1"/>
    <c:dispBlanksAs val="zero"/>
  </c:chart>
  <c:spPr>
    <a:solidFill>
      <a:srgbClr val="FFFFFF"/>
    </a:solidFill>
    <a:ln w="9360">
      <a:solidFill>
        <a:srgbClr val="D9D9D9"/>
      </a:solidFill>
      <a:round/>
    </a:ln>
  </c:spPr>
</c:chartSpace>
</file>

<file path=xl/charts/chart18.xml><?xml version="1.0" encoding="utf-8"?>
<c:chartSpace xmlns:c="http://schemas.openxmlformats.org/drawingml/2006/chart" xmlns:a="http://schemas.openxmlformats.org/drawingml/2006/main" xmlns:r="http://schemas.openxmlformats.org/officeDocument/2006/relationships">
  <c:date1904 val="0"/>
  <c:lang val="en-US"/>
  <c:roundedCorners val="0"/>
  <c:chart>
    <c:title>
      <c:tx>
        <c:rich>
          <a:bodyPr rot="0"/>
          <a:lstStyle/>
          <a:p>
            <a:pPr>
              <a:defRPr sz="1300" b="0" u="none" strike="noStrike">
                <a:uFillTx/>
                <a:latin typeface="Arial"/>
              </a:defRPr>
            </a:pPr>
            <a:r>
              <a:rPr lang="en-US" sz="1400" b="1" u="none" strike="noStrike">
                <a:solidFill>
                  <a:schemeClr val="tx1">
                    <a:lumMod val="65000"/>
                    <a:lumOff val="35000"/>
                  </a:schemeClr>
                </a:solidFill>
                <a:uFillTx/>
                <a:latin typeface="Calibri"/>
                <a:ea typeface="DejaVu Sans"/>
              </a:rPr>
              <a:t>THÁNG</a:t>
            </a:r>
            <a:r>
              <a:rPr lang="en-US" sz="1400" b="1" u="none" strike="noStrike">
                <a:solidFill>
                  <a:schemeClr val="tx1">
                    <a:lumMod val="65000"/>
                    <a:lumOff val="35000"/>
                  </a:schemeClr>
                </a:solidFill>
                <a:uFillTx/>
                <a:latin typeface="Calibri"/>
                <a:ea typeface="DejaVu Sans"/>
              </a:rPr>
              <a:t> (6,7,8,9)</a:t>
            </a:r>
          </a:p>
        </c:rich>
      </c:tx>
      <c:overlay val="0"/>
      <c:spPr>
        <a:noFill/>
        <a:ln w="25560">
          <a:noFill/>
        </a:ln>
      </c:spPr>
    </c:title>
    <c:autoTitleDeleted val="0"/>
    <c:plotArea>
      <c:pieChart>
        <c:varyColors val="1"/>
        <c:ser>
          <c:idx val="0"/>
          <c:order val="0"/>
          <c:tx>
            <c:strRef>
              <c:f>label 0</c:f>
              <c:strCache>
                <c:ptCount val="1"/>
                <c:pt idx="0">
                  <c:v>Series1</c:v>
                </c:pt>
              </c:strCache>
            </c:strRef>
          </c:tx>
          <c:spPr>
            <a:solidFill>
              <a:srgbClr val="FACFBB"/>
            </a:solidFill>
            <a:ln w="0">
              <a:noFill/>
            </a:ln>
          </c:spPr>
          <c:explosion val="0"/>
          <c:dPt>
            <c:idx val="0"/>
            <c:spPr>
              <a:solidFill>
                <a:srgbClr val="CC7C3A"/>
              </a:solidFill>
              <a:ln w="0">
                <a:noFill/>
              </a:ln>
            </c:spPr>
          </c:dPt>
          <c:dLbls>
            <c:dLbl>
              <c:idx val="0"/>
              <c:layout>
                <c:manualLayout>
                  <c:x val="-0.130752904439371"/>
                  <c:y val="-0.0614847623213765"/>
                </c:manualLayout>
              </c:layout>
              <c:numFmt formatCode="General" sourceLinked="0"/>
              <c:txPr>
                <a:bodyPr wrap="square"/>
                <a:lstStyle/>
                <a:p>
                  <a:pPr>
                    <a:defRPr sz="900" b="0" u="none" strike="noStrike">
                      <a:solidFill>
                        <a:srgbClr val="404040"/>
                      </a:solidFill>
                      <a:uFillTx/>
                      <a:latin typeface="Calibri"/>
                      <a:ea typeface="DejaVu Sans"/>
                    </a:defRPr>
                  </a:pPr>
                </a:p>
              </c:txPr>
              <c:dLblPos val="outEnd"/>
              <c:showLegendKey val="0"/>
              <c:showVal val="1"/>
              <c:showCatName val="0"/>
              <c:showSerName val="0"/>
              <c:showPercent val="0"/>
              <c:separator>; </c:separator>
            </c:dLbl>
            <c:numFmt formatCode="General" sourceLinked="0"/>
            <c:txPr>
              <a:bodyPr wrap="square"/>
              <a:lstStyle/>
              <a:p>
                <a:pPr>
                  <a:defRPr sz="900" b="0" u="none" strike="noStrike">
                    <a:solidFill>
                      <a:srgbClr val="404040"/>
                    </a:solidFill>
                    <a:uFillTx/>
                    <a:latin typeface="Calibri"/>
                    <a:ea typeface="DejaVu Sans"/>
                  </a:defRPr>
                </a:pPr>
              </a:p>
            </c:txPr>
            <c:dLblPos val="bestFit"/>
            <c:showLegendKey val="0"/>
            <c:showVal val="1"/>
            <c:showCatName val="0"/>
            <c:showSerName val="0"/>
            <c:showPercent val="0"/>
            <c:separator>; </c:separator>
            <c:showLeaderLines val="1"/>
            <c:leaderLines>
              <c:spPr>
                <a:ln w="0">
                  <a:solidFill>
                    <a:srgbClr val="A6A6A6"/>
                  </a:solidFill>
                </a:ln>
              </c:spPr>
            </c:leaderLines>
          </c:dLbls>
          <c:cat>
            <c:strRef>
              <c:f>categories</c:f>
              <c:strCache>
                <c:ptCount val="1"/>
                <c:pt idx="0">
                  <c:v>1</c:v>
                </c:pt>
              </c:strCache>
            </c:strRef>
          </c:cat>
          <c:val>
            <c:numRef>
              <c:f>0</c:f>
              <c:numCache>
                <c:formatCode>General</c:formatCode>
                <c:ptCount val="1"/>
                <c:pt idx="0">
                  <c:v>1</c:v>
                </c:pt>
              </c:numCache>
            </c:numRef>
          </c:val>
        </c:ser>
        <c:firstSliceAng val="0"/>
      </c:pieChart>
      <c:spPr>
        <a:noFill/>
        <a:ln w="25560">
          <a:noFill/>
        </a:ln>
      </c:spPr>
    </c:plotArea>
    <c:legend>
      <c:legendPos val="b"/>
      <c:overlay val="0"/>
      <c:spPr>
        <a:noFill/>
        <a:ln w="25560">
          <a:noFill/>
        </a:ln>
      </c:spPr>
      <c:txPr>
        <a:bodyPr/>
        <a:lstStyle/>
        <a:p>
          <a:pPr>
            <a:defRPr sz="900" b="0" u="none" strike="noStrike">
              <a:solidFill>
                <a:srgbClr val="595959"/>
              </a:solidFill>
              <a:uFillTx/>
              <a:latin typeface="Calibri"/>
              <a:ea typeface="DejaVu Sans"/>
            </a:defRPr>
          </a:pPr>
        </a:p>
      </c:txPr>
    </c:legend>
    <c:plotVisOnly val="1"/>
    <c:dispBlanksAs val="zero"/>
  </c:chart>
  <c:spPr>
    <a:solidFill>
      <a:srgbClr val="FFFFFF"/>
    </a:solidFill>
    <a:ln w="9360">
      <a:solidFill>
        <a:srgbClr val="D9D9D9"/>
      </a:solidFill>
      <a:round/>
    </a:ln>
  </c:spPr>
</c:chartSpace>
</file>

<file path=xl/charts/chart19.xml><?xml version="1.0" encoding="utf-8"?>
<c:chartSpace xmlns:c="http://schemas.openxmlformats.org/drawingml/2006/chart" xmlns:a="http://schemas.openxmlformats.org/drawingml/2006/main" xmlns:r="http://schemas.openxmlformats.org/officeDocument/2006/relationships">
  <c:date1904 val="0"/>
  <c:lang val="en-US"/>
  <c:roundedCorners val="0"/>
  <c:chart>
    <c:title>
      <c:tx>
        <c:rich>
          <a:bodyPr rot="0"/>
          <a:lstStyle/>
          <a:p>
            <a:pPr>
              <a:defRPr sz="1300" b="0" u="none" strike="noStrike">
                <a:uFillTx/>
                <a:latin typeface="Arial"/>
              </a:defRPr>
            </a:pPr>
            <a:r>
              <a:rPr lang="en-US" sz="1400" b="1" u="none" strike="noStrike">
                <a:solidFill>
                  <a:schemeClr val="tx1">
                    <a:lumMod val="65000"/>
                    <a:lumOff val="35000"/>
                  </a:schemeClr>
                </a:solidFill>
                <a:uFillTx/>
                <a:latin typeface="Calibri"/>
                <a:ea typeface="DejaVu Sans"/>
              </a:rPr>
              <a:t>THÁNG</a:t>
            </a:r>
            <a:r>
              <a:rPr lang="en-US" sz="1400" b="1" u="none" strike="noStrike">
                <a:solidFill>
                  <a:schemeClr val="tx1">
                    <a:lumMod val="65000"/>
                    <a:lumOff val="35000"/>
                  </a:schemeClr>
                </a:solidFill>
                <a:uFillTx/>
                <a:latin typeface="Calibri"/>
                <a:ea typeface="DejaVu Sans"/>
              </a:rPr>
              <a:t> (10,11,12)</a:t>
            </a:r>
          </a:p>
        </c:rich>
      </c:tx>
      <c:overlay val="0"/>
      <c:spPr>
        <a:noFill/>
        <a:ln w="25560">
          <a:noFill/>
        </a:ln>
      </c:spPr>
    </c:title>
    <c:autoTitleDeleted val="0"/>
    <c:plotArea>
      <c:pieChart>
        <c:varyColors val="1"/>
        <c:ser>
          <c:idx val="0"/>
          <c:order val="0"/>
          <c:tx>
            <c:strRef>
              <c:f>label 0</c:f>
              <c:strCache>
                <c:ptCount val="1"/>
                <c:pt idx="0">
                  <c:v>Series1</c:v>
                </c:pt>
              </c:strCache>
            </c:strRef>
          </c:tx>
          <c:spPr>
            <a:solidFill>
              <a:srgbClr val="FBD3C0"/>
            </a:solidFill>
            <a:ln w="0">
              <a:noFill/>
            </a:ln>
          </c:spPr>
          <c:explosion val="0"/>
          <c:dPt>
            <c:idx val="0"/>
            <c:spPr>
              <a:solidFill>
                <a:srgbClr val="CC7C3A"/>
              </a:solidFill>
              <a:ln w="0">
                <a:noFill/>
              </a:ln>
            </c:spPr>
          </c:dPt>
          <c:dLbls>
            <c:dLbl>
              <c:idx val="0"/>
              <c:layout>
                <c:manualLayout>
                  <c:x val="-0.136794465398582"/>
                  <c:y val="0.0940409011373578"/>
                </c:manualLayout>
              </c:layout>
              <c:numFmt formatCode="General" sourceLinked="0"/>
              <c:txPr>
                <a:bodyPr wrap="square"/>
                <a:lstStyle/>
                <a:p>
                  <a:pPr>
                    <a:defRPr sz="900" b="0" u="none" strike="noStrike">
                      <a:solidFill>
                        <a:srgbClr val="404040"/>
                      </a:solidFill>
                      <a:uFillTx/>
                      <a:latin typeface="Calibri"/>
                      <a:ea typeface="DejaVu Sans"/>
                    </a:defRPr>
                  </a:pPr>
                </a:p>
              </c:txPr>
              <c:dLblPos val="outEnd"/>
              <c:showLegendKey val="0"/>
              <c:showVal val="1"/>
              <c:showCatName val="0"/>
              <c:showSerName val="0"/>
              <c:showPercent val="0"/>
              <c:separator>; </c:separator>
            </c:dLbl>
            <c:numFmt formatCode="General" sourceLinked="0"/>
            <c:txPr>
              <a:bodyPr wrap="square"/>
              <a:lstStyle/>
              <a:p>
                <a:pPr>
                  <a:defRPr sz="900" b="0" u="none" strike="noStrike">
                    <a:solidFill>
                      <a:srgbClr val="404040"/>
                    </a:solidFill>
                    <a:uFillTx/>
                    <a:latin typeface="Calibri"/>
                    <a:ea typeface="DejaVu Sans"/>
                  </a:defRPr>
                </a:pPr>
              </a:p>
            </c:txPr>
            <c:dLblPos val="bestFit"/>
            <c:showLegendKey val="0"/>
            <c:showVal val="1"/>
            <c:showCatName val="0"/>
            <c:showSerName val="0"/>
            <c:showPercent val="0"/>
            <c:separator>; </c:separator>
            <c:showLeaderLines val="1"/>
            <c:leaderLines>
              <c:spPr>
                <a:ln w="0">
                  <a:solidFill>
                    <a:srgbClr val="A6A6A6"/>
                  </a:solidFill>
                </a:ln>
              </c:spPr>
            </c:leaderLines>
          </c:dLbls>
          <c:cat>
            <c:strRef>
              <c:f>categories</c:f>
              <c:strCache>
                <c:ptCount val="1"/>
                <c:pt idx="0">
                  <c:v>1</c:v>
                </c:pt>
              </c:strCache>
            </c:strRef>
          </c:cat>
          <c:val>
            <c:numRef>
              <c:f>0</c:f>
              <c:numCache>
                <c:formatCode>General</c:formatCode>
                <c:ptCount val="1"/>
                <c:pt idx="0">
                  <c:v>1</c:v>
                </c:pt>
              </c:numCache>
            </c:numRef>
          </c:val>
        </c:ser>
        <c:firstSliceAng val="0"/>
      </c:pieChart>
      <c:spPr>
        <a:noFill/>
        <a:ln w="25560">
          <a:noFill/>
        </a:ln>
      </c:spPr>
    </c:plotArea>
    <c:legend>
      <c:legendPos val="b"/>
      <c:overlay val="0"/>
      <c:spPr>
        <a:noFill/>
        <a:ln w="25560">
          <a:noFill/>
        </a:ln>
      </c:spPr>
      <c:txPr>
        <a:bodyPr/>
        <a:lstStyle/>
        <a:p>
          <a:pPr>
            <a:defRPr sz="900" b="0" u="none" strike="noStrike">
              <a:solidFill>
                <a:srgbClr val="595959"/>
              </a:solidFill>
              <a:uFillTx/>
              <a:latin typeface="Calibri"/>
              <a:ea typeface="DejaVu Sans"/>
            </a:defRPr>
          </a:pPr>
        </a:p>
      </c:txPr>
    </c:legend>
    <c:plotVisOnly val="1"/>
    <c:dispBlanksAs val="zero"/>
  </c:chart>
  <c:spPr>
    <a:solidFill>
      <a:srgbClr val="FFFFFF"/>
    </a:solidFill>
    <a:ln w="9360">
      <a:solidFill>
        <a:srgbClr val="D9D9D9"/>
      </a:solidFill>
      <a:round/>
    </a:ln>
  </c:spPr>
</c:chartSpace>
</file>

<file path=xl/charts/chart20.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lang="en-US" sz="1400" b="1" u="none" strike="noStrike">
                <a:solidFill>
                  <a:schemeClr val="tx1">
                    <a:lumMod val="65000"/>
                    <a:lumOff val="35000"/>
                  </a:schemeClr>
                </a:solidFill>
                <a:uFillTx/>
                <a:latin typeface="Calibri"/>
                <a:ea typeface="DejaVu Sans"/>
              </a:rPr>
              <a:t>TỔNG</a:t>
            </a:r>
            <a:r>
              <a:rPr lang="en-US" sz="1400" b="1" u="none" strike="noStrike">
                <a:solidFill>
                  <a:schemeClr val="tx1">
                    <a:lumMod val="65000"/>
                    <a:lumOff val="35000"/>
                  </a:schemeClr>
                </a:solidFill>
                <a:uFillTx/>
                <a:latin typeface="Calibri"/>
                <a:ea typeface="DejaVu Sans"/>
              </a:rPr>
              <a:t> HỢP DOANH THU</a:t>
            </a:r>
          </a:p>
        </c:rich>
      </c:tx>
      <c:overlay val="0"/>
      <c:spPr>
        <a:noFill/>
        <a:ln w="25560">
          <a:noFill/>
        </a:ln>
      </c:spPr>
    </c:title>
    <c:autoTitleDeleted val="0"/>
    <c:plotArea>
      <c:barChart>
        <c:barDir val="col"/>
        <c:grouping val="stacked"/>
        <c:varyColors val="0"/>
        <c:ser>
          <c:idx val="0"/>
          <c:order val="0"/>
          <c:tx>
            <c:strRef>
              <c:f>'KH hieu chinh'!$B$21</c:f>
              <c:strCache>
                <c:ptCount val="1"/>
                <c:pt idx="0">
                  <c:v>KH năm</c:v>
                </c:pt>
              </c:strCache>
            </c:strRef>
          </c:tx>
          <c:spPr>
            <a:solidFill>
              <a:srgbClr val="8064A2"/>
            </a:solidFill>
            <a:ln w="12600">
              <a:noFill/>
            </a:ln>
          </c:spPr>
          <c:invertIfNegative val="0"/>
          <c:dLbls>
            <c:numFmt formatCode="#,##0" sourceLinked="1"/>
            <c:txPr>
              <a:bodyPr wrap="square"/>
              <a:lstStyle/>
              <a:p>
                <a:pPr>
                  <a:defRPr sz="900" b="0" u="none" strike="noStrike">
                    <a:solidFill>
                      <a:srgbClr val="404040"/>
                    </a:solidFill>
                    <a:uFillTx/>
                    <a:latin typeface="Calibri"/>
                    <a:ea typeface="DejaVu Sans"/>
                  </a:defRPr>
                </a:pPr>
              </a:p>
            </c:txPr>
            <c:dLblPos val="ctr"/>
            <c:showLegendKey val="0"/>
            <c:showVal val="1"/>
            <c:showCatName val="0"/>
            <c:showSerName val="0"/>
            <c:showPercent val="0"/>
            <c:separator>; </c:separator>
            <c:showLeaderLines val="0"/>
            <c:extLst>
              <c:ext xmlns:c15="http://schemas.microsoft.com/office/drawing/2012/chart" uri="{CE6537A1-D6FC-4f65-9D91-7224C49458BB}">
                <c15:showLeaderLines val="0"/>
              </c:ext>
            </c:extLst>
          </c:dLbls>
          <c:val>
            <c:numRef>
              <c:f>'KH hieu chinh'!$F$21:$H$21</c:f>
              <c:numCache>
                <c:formatCode>#,##0</c:formatCode>
                <c:ptCount val="3"/>
                <c:pt idx="0">
                  <c:v>0</c:v>
                </c:pt>
              </c:numCache>
            </c:numRef>
          </c:val>
        </c:ser>
        <c:ser>
          <c:idx val="1"/>
          <c:order val="1"/>
          <c:tx>
            <c:strRef>
              <c:f>'KH hieu chinh'!$B$22</c:f>
              <c:strCache>
                <c:ptCount val="1"/>
                <c:pt idx="0">
                  <c:v>KH còn lại</c:v>
                </c:pt>
              </c:strCache>
            </c:strRef>
          </c:tx>
          <c:spPr>
            <a:solidFill>
              <a:srgbClr val="4BACC6"/>
            </a:solidFill>
            <a:ln w="12600">
              <a:noFill/>
            </a:ln>
          </c:spPr>
          <c:invertIfNegative val="0"/>
          <c:dLbls>
            <c:numFmt formatCode="#,##0" sourceLinked="1"/>
            <c:txPr>
              <a:bodyPr wrap="square"/>
              <a:lstStyle/>
              <a:p>
                <a:pPr>
                  <a:defRPr sz="900" b="0" u="none" strike="noStrike">
                    <a:solidFill>
                      <a:srgbClr val="404040"/>
                    </a:solidFill>
                    <a:uFillTx/>
                    <a:latin typeface="Calibri"/>
                    <a:ea typeface="DejaVu Sans"/>
                  </a:defRPr>
                </a:pPr>
              </a:p>
            </c:txPr>
            <c:dLblPos val="ctr"/>
            <c:showLegendKey val="0"/>
            <c:showVal val="1"/>
            <c:showCatName val="0"/>
            <c:showSerName val="0"/>
            <c:showPercent val="0"/>
            <c:separator>; </c:separator>
            <c:showLeaderLines val="0"/>
            <c:extLst>
              <c:ext xmlns:c15="http://schemas.microsoft.com/office/drawing/2012/chart" uri="{CE6537A1-D6FC-4f65-9D91-7224C49458BB}">
                <c15:showLeaderLines val="0"/>
              </c:ext>
            </c:extLst>
          </c:dLbls>
          <c:val>
            <c:numRef>
              <c:f>'KH hieu chinh'!$F$22:$H$22</c:f>
              <c:numCache>
                <c:formatCode>#,##0</c:formatCode>
                <c:ptCount val="3"/>
                <c:pt idx="1">
                  <c:v>0</c:v>
                </c:pt>
              </c:numCache>
            </c:numRef>
          </c:val>
        </c:ser>
        <c:ser>
          <c:idx val="2"/>
          <c:order val="2"/>
          <c:tx>
            <c:strRef>
              <c:f>'KH hieu chinh'!$B$23</c:f>
              <c:strCache>
                <c:ptCount val="1"/>
                <c:pt idx="0">
                  <c:v>Thực tế (đạt)</c:v>
                </c:pt>
              </c:strCache>
            </c:strRef>
          </c:tx>
          <c:spPr>
            <a:solidFill>
              <a:srgbClr val="F79646"/>
            </a:solidFill>
            <a:ln w="12600">
              <a:noFill/>
            </a:ln>
          </c:spPr>
          <c:invertIfNegative val="0"/>
          <c:dLbls>
            <c:numFmt formatCode="#,##0" sourceLinked="1"/>
            <c:txPr>
              <a:bodyPr wrap="square"/>
              <a:lstStyle/>
              <a:p>
                <a:pPr>
                  <a:defRPr sz="900" b="0" u="none" strike="noStrike">
                    <a:solidFill>
                      <a:srgbClr val="404040"/>
                    </a:solidFill>
                    <a:uFillTx/>
                    <a:latin typeface="Calibri"/>
                    <a:ea typeface="DejaVu Sans"/>
                  </a:defRPr>
                </a:pPr>
              </a:p>
            </c:txPr>
            <c:dLblPos val="ctr"/>
            <c:showLegendKey val="0"/>
            <c:showVal val="1"/>
            <c:showCatName val="0"/>
            <c:showSerName val="0"/>
            <c:showPercent val="0"/>
            <c:separator>; </c:separator>
            <c:showLeaderLines val="0"/>
            <c:extLst>
              <c:ext xmlns:c15="http://schemas.microsoft.com/office/drawing/2012/chart" uri="{CE6537A1-D6FC-4f65-9D91-7224C49458BB}">
                <c15:showLeaderLines val="0"/>
              </c:ext>
            </c:extLst>
          </c:dLbls>
          <c:val>
            <c:numRef>
              <c:f>'KH hieu chinh'!$F$23:$H$23</c:f>
              <c:numCache>
                <c:formatCode>#,##0</c:formatCode>
                <c:ptCount val="3"/>
                <c:pt idx="2">
                  <c:v>0</c:v>
                </c:pt>
              </c:numCache>
            </c:numRef>
          </c:val>
        </c:ser>
        <c:ser>
          <c:idx val="3"/>
          <c:order val="3"/>
          <c:tx>
            <c:strRef>
              <c:f>"Tổng dự kiến đạt được (Mức 1,2)"</c:f>
              <c:strCache>
                <c:ptCount val="1"/>
                <c:pt idx="0">
                  <c:v>Tổng dự kiến đạt được (Mức 1,2)</c:v>
                </c:pt>
              </c:strCache>
            </c:strRef>
          </c:tx>
          <c:spPr>
            <a:solidFill>
              <a:srgbClr val="4F81BD"/>
            </a:solidFill>
            <a:ln w="12600">
              <a:noFill/>
            </a:ln>
          </c:spPr>
          <c:invertIfNegative val="0"/>
          <c:dLbls>
            <c:numFmt formatCode="#,##0" sourceLinked="1"/>
            <c:txPr>
              <a:bodyPr wrap="square"/>
              <a:lstStyle/>
              <a:p>
                <a:pPr>
                  <a:defRPr sz="900" b="0" u="none" strike="noStrike">
                    <a:solidFill>
                      <a:srgbClr val="404040"/>
                    </a:solidFill>
                    <a:uFillTx/>
                    <a:latin typeface="Calibri"/>
                    <a:ea typeface="DejaVu Sans"/>
                  </a:defRPr>
                </a:pPr>
              </a:p>
            </c:txPr>
            <c:dLblPos val="ctr"/>
            <c:showLegendKey val="0"/>
            <c:showVal val="1"/>
            <c:showCatName val="0"/>
            <c:showSerName val="0"/>
            <c:showPercent val="0"/>
            <c:separator>; </c:separator>
            <c:showLeaderLines val="0"/>
            <c:extLst>
              <c:ext xmlns:c15="http://schemas.microsoft.com/office/drawing/2012/chart" uri="{CE6537A1-D6FC-4f65-9D91-7224C49458BB}">
                <c15:showLeaderLines val="0"/>
              </c:ext>
            </c:extLst>
          </c:dLbls>
          <c:val>
            <c:numRef>
              <c:f>'KH hieu chinh'!$F$24:$H$24</c:f>
              <c:numCache>
                <c:formatCode>#,##0</c:formatCode>
                <c:ptCount val="3"/>
                <c:pt idx="2">
                  <c:v>854990000</c:v>
                </c:pt>
              </c:numCache>
            </c:numRef>
          </c:val>
        </c:ser>
        <c:gapWidth val="219"/>
        <c:overlap val="100"/>
        <c:axId val="94098508"/>
        <c:axId val="9102299"/>
      </c:barChart>
      <c:catAx>
        <c:axId val="94098508"/>
        <c:scaling>
          <c:orientation val="minMax"/>
        </c:scaling>
        <c:delete val="1"/>
        <c:axPos val="b"/>
        <c:numFmt formatCode="General" sourceLinked="1"/>
        <c:majorTickMark val="out"/>
        <c:minorTickMark val="none"/>
        <c:tickLblPos val="none"/>
        <c:spPr>
          <a:ln w="9360">
            <a:solidFill>
              <a:srgbClr val="878787"/>
            </a:solidFill>
            <a:round/>
          </a:ln>
        </c:spPr>
        <c:txPr>
          <a:bodyPr/>
          <a:lstStyle/>
          <a:p>
            <a:pPr>
              <a:defRPr sz="1000" b="0" u="none" strike="noStrike">
                <a:solidFill>
                  <a:srgbClr val="000000"/>
                </a:solidFill>
                <a:uFillTx/>
                <a:latin typeface="Calibri"/>
                <a:ea typeface="DejaVu Sans"/>
              </a:defRPr>
            </a:pPr>
          </a:p>
        </c:txPr>
        <c:crossAx val="9102299"/>
        <c:auto val="1"/>
        <c:lblAlgn val="ctr"/>
        <c:lblOffset val="100"/>
        <c:noMultiLvlLbl val="0"/>
      </c:catAx>
      <c:valAx>
        <c:axId val="9102299"/>
        <c:scaling>
          <c:orientation val="minMax"/>
        </c:scaling>
        <c:delete val="0"/>
        <c:axPos val="l"/>
        <c:majorGridlines>
          <c:spPr>
            <a:ln w="9360">
              <a:solidFill>
                <a:srgbClr val="D9D9D9"/>
              </a:solidFill>
              <a:round/>
            </a:ln>
          </c:spPr>
        </c:majorGridlines>
        <c:numFmt formatCode="#,##0" sourceLinked="0"/>
        <c:majorTickMark val="none"/>
        <c:minorTickMark val="none"/>
        <c:tickLblPos val="nextTo"/>
        <c:spPr>
          <a:ln w="9360">
            <a:noFill/>
          </a:ln>
        </c:spPr>
        <c:txPr>
          <a:bodyPr/>
          <a:lstStyle/>
          <a:p>
            <a:pPr>
              <a:defRPr sz="900" b="0" u="none" strike="noStrike">
                <a:solidFill>
                  <a:srgbClr val="595959"/>
                </a:solidFill>
                <a:uFillTx/>
                <a:latin typeface="Calibri"/>
                <a:ea typeface="DejaVu Sans"/>
              </a:defRPr>
            </a:pPr>
          </a:p>
        </c:txPr>
        <c:crossAx val="94098508"/>
        <c:crosses val="autoZero"/>
        <c:crossBetween val="between"/>
      </c:valAx>
      <c:spPr>
        <a:noFill/>
        <a:ln w="25560">
          <a:noFill/>
        </a:ln>
      </c:spPr>
    </c:plotArea>
    <c:legend>
      <c:legendPos val="b"/>
      <c:overlay val="0"/>
      <c:spPr>
        <a:noFill/>
        <a:ln w="25560">
          <a:noFill/>
        </a:ln>
      </c:spPr>
      <c:txPr>
        <a:bodyPr/>
        <a:lstStyle/>
        <a:p>
          <a:pPr>
            <a:defRPr sz="900" b="0" u="none" strike="noStrike">
              <a:solidFill>
                <a:srgbClr val="595959"/>
              </a:solidFill>
              <a:uFillTx/>
              <a:latin typeface="Calibri"/>
              <a:ea typeface="DejaVu Sans"/>
            </a:defRPr>
          </a:pPr>
        </a:p>
      </c:txPr>
    </c:legend>
    <c:plotVisOnly val="1"/>
    <c:dispBlanksAs val="gap"/>
  </c:chart>
  <c:spPr>
    <a:solidFill>
      <a:srgbClr val="FFFFFF"/>
    </a:solidFill>
    <a:ln w="9360">
      <a:solidFill>
        <a:srgbClr val="D9D9D9"/>
      </a:solidFill>
      <a:round/>
    </a:ln>
  </c:spPr>
</c:chartSpace>
</file>

<file path=xl/charts/chart21.xml><?xml version="1.0" encoding="utf-8"?>
<c:chartSpace xmlns:c="http://schemas.openxmlformats.org/drawingml/2006/chart" xmlns:a="http://schemas.openxmlformats.org/drawingml/2006/main" xmlns:r="http://schemas.openxmlformats.org/officeDocument/2006/relationships">
  <c:date1904 val="0"/>
  <c:lang val="en-US"/>
  <c:roundedCorners val="0"/>
  <c:chart>
    <c:autoTitleDeleted val="1"/>
    <c:plotArea>
      <c:barChart>
        <c:barDir val="col"/>
        <c:grouping val="clustered"/>
        <c:varyColors val="0"/>
        <c:ser>
          <c:idx val="0"/>
          <c:order val="0"/>
          <c:tx>
            <c:strRef>
              <c:f>label 0</c:f>
              <c:strCache>
                <c:ptCount val="1"/>
                <c:pt idx="0">
                  <c:v>Kế hoạch</c:v>
                </c:pt>
              </c:strCache>
            </c:strRef>
          </c:tx>
          <c:spPr>
            <a:solidFill>
              <a:srgbClr val="9CC7D7"/>
            </a:solidFill>
            <a:ln w="12600">
              <a:noFill/>
            </a:ln>
          </c:spPr>
          <c:invertIfNegative val="0"/>
          <c:dLbls>
            <c:txPr>
              <a:bodyPr wrap="square"/>
              <a:lstStyle/>
              <a:p>
                <a:pPr>
                  <a:defRPr sz="1000" b="0" u="none" strike="noStrike">
                    <a:solidFill>
                      <a:srgbClr val="000000"/>
                    </a:solidFill>
                    <a:uFillTx/>
                    <a:latin typeface="Calibri"/>
                    <a:ea typeface="DejaVu Sans"/>
                  </a:defRPr>
                </a:pPr>
              </a:p>
            </c:txPr>
            <c:dLblPos val="outEnd"/>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categories</c:f>
              <c:strCache>
                <c:ptCount val="1"/>
                <c:pt idx="0">
                  <c:v>1</c:v>
                </c:pt>
              </c:strCache>
            </c:strRef>
          </c:cat>
          <c:val>
            <c:numRef>
              <c:f>0</c:f>
              <c:numCache>
                <c:formatCode>General</c:formatCode>
                <c:ptCount val="1"/>
                <c:pt idx="0">
                  <c:v>1</c:v>
                </c:pt>
              </c:numCache>
            </c:numRef>
          </c:val>
        </c:ser>
        <c:gapWidth val="219"/>
        <c:overlap val="0"/>
        <c:axId val="98551818"/>
        <c:axId val="44148381"/>
      </c:barChart>
      <c:lineChart>
        <c:grouping val="standard"/>
        <c:varyColors val="0"/>
        <c:ser>
          <c:idx val="1"/>
          <c:order val="1"/>
          <c:tx>
            <c:strRef>
              <c:f>label 1</c:f>
              <c:strCache>
                <c:ptCount val="1"/>
                <c:pt idx="0">
                  <c:v>Thực tế</c:v>
                </c:pt>
              </c:strCache>
            </c:strRef>
          </c:tx>
          <c:spPr>
            <a:solidFill>
              <a:srgbClr val="F79646"/>
            </a:solidFill>
            <a:ln cap="rnd" w="28440">
              <a:solidFill>
                <a:srgbClr val="F79646"/>
              </a:solidFill>
              <a:round/>
            </a:ln>
          </c:spPr>
          <c:marker>
            <c:symbol val="circle"/>
            <c:size val="5"/>
            <c:spPr>
              <a:solidFill>
                <a:srgbClr val="F79646"/>
              </a:solidFill>
            </c:spPr>
          </c:marker>
          <c:dPt>
            <c:idx val="0"/>
            <c:marker>
              <c:symbol val="circle"/>
              <c:size val="5"/>
              <c:spPr>
                <a:solidFill>
                  <a:srgbClr val="F79646"/>
                </a:solidFill>
              </c:spPr>
            </c:marker>
          </c:dPt>
          <c:dLbls>
            <c:dLbl>
              <c:idx val="0"/>
              <c:layout>
                <c:manualLayout>
                  <c:x val="-0.023355786187784"/>
                  <c:y val="-0.0509259259259259"/>
                </c:manualLayout>
              </c:layout>
              <c:numFmt formatCode="General" sourceLinked="0"/>
              <c:txPr>
                <a:bodyPr wrap="square"/>
                <a:lstStyle/>
                <a:p>
                  <a:pPr>
                    <a:defRPr sz="900" b="0" u="none" strike="noStrike">
                      <a:solidFill>
                        <a:srgbClr val="404040"/>
                      </a:solidFill>
                      <a:uFillTx/>
                      <a:latin typeface="Calibri"/>
                      <a:ea typeface="DejaVu Sans"/>
                    </a:defRPr>
                  </a:pPr>
                </a:p>
              </c:txPr>
              <c:dLblPos val="r"/>
              <c:showLegendKey val="0"/>
              <c:showVal val="1"/>
              <c:showCatName val="0"/>
              <c:showSerName val="0"/>
              <c:showPercent val="0"/>
              <c:separator>; </c:separator>
            </c:dLbl>
            <c:numFmt formatCode="General" sourceLinked="0"/>
            <c:txPr>
              <a:bodyPr wrap="square"/>
              <a:lstStyle/>
              <a:p>
                <a:pPr>
                  <a:defRPr sz="900" b="0" u="none" strike="noStrike">
                    <a:solidFill>
                      <a:srgbClr val="404040"/>
                    </a:solidFill>
                    <a:uFillTx/>
                    <a:latin typeface="Calibri"/>
                    <a:ea typeface="DejaVu Sans"/>
                  </a:defRPr>
                </a:pPr>
              </a:p>
            </c:txPr>
            <c:dLblPos val="r"/>
            <c:showLegendKey val="0"/>
            <c:showVal val="1"/>
            <c:showCatName val="0"/>
            <c:showSerName val="0"/>
            <c:showPercent val="0"/>
            <c:separator>; </c:separator>
            <c:showLeaderLines val="0"/>
            <c:extLst>
              <c:ext xmlns:c15="http://schemas.microsoft.com/office/drawing/2012/chart" uri="{CE6537A1-D6FC-4f65-9D91-7224C49458BB}">
                <c15:showLeaderLines val="0"/>
              </c:ext>
            </c:extLst>
          </c:dLbls>
          <c:cat>
            <c:strRef>
              <c:f>categories</c:f>
              <c:strCache>
                <c:ptCount val="1"/>
                <c:pt idx="0">
                  <c:v>1</c:v>
                </c:pt>
              </c:strCache>
            </c:strRef>
          </c:cat>
          <c:val>
            <c:numRef>
              <c:f>1</c:f>
              <c:numCache>
                <c:formatCode>General</c:formatCode>
                <c:ptCount val="1"/>
                <c:pt idx="0">
                  <c:v>1</c:v>
                </c:pt>
              </c:numCache>
            </c:numRef>
          </c:val>
          <c:smooth val="0"/>
        </c:ser>
        <c:hiLowLines>
          <c:spPr>
            <a:ln w="0">
              <a:noFill/>
            </a:ln>
          </c:spPr>
        </c:hiLowLines>
        <c:marker val="1"/>
        <c:axId val="74866452"/>
        <c:axId val="36677665"/>
      </c:lineChart>
      <c:catAx>
        <c:axId val="98551818"/>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sz="900" b="0" u="none" strike="noStrike">
                <a:solidFill>
                  <a:srgbClr val="595959"/>
                </a:solidFill>
                <a:uFillTx/>
                <a:latin typeface="Calibri"/>
                <a:ea typeface="DejaVu Sans"/>
              </a:defRPr>
            </a:pPr>
          </a:p>
        </c:txPr>
        <c:crossAx val="44148381"/>
        <c:crosses val="autoZero"/>
        <c:auto val="1"/>
        <c:lblAlgn val="ctr"/>
        <c:lblOffset val="100"/>
        <c:noMultiLvlLbl val="0"/>
      </c:catAx>
      <c:valAx>
        <c:axId val="44148381"/>
        <c:scaling>
          <c:orientation val="minMax"/>
        </c:scaling>
        <c:delete val="0"/>
        <c:axPos val="l"/>
        <c:majorGridlines>
          <c:spPr>
            <a:ln w="9360">
              <a:solidFill>
                <a:srgbClr val="D9D9D9"/>
              </a:solidFill>
              <a:round/>
            </a:ln>
          </c:spPr>
        </c:majorGridlines>
        <c:title>
          <c:tx>
            <c:rich>
              <a:bodyPr rot="-5400000"/>
              <a:lstStyle/>
              <a:p>
                <a:pPr>
                  <a:defRPr sz="1300" b="0" u="none" strike="noStrike">
                    <a:uFillTx/>
                    <a:latin typeface="Arial"/>
                  </a:defRPr>
                </a:pPr>
                <a:r>
                  <a:rPr lang="en-US" sz="1000" b="0" u="none" strike="noStrike">
                    <a:solidFill>
                      <a:schemeClr val="tx1">
                        <a:lumMod val="65000"/>
                        <a:lumOff val="35000"/>
                      </a:schemeClr>
                    </a:solidFill>
                    <a:uFillTx/>
                    <a:latin typeface="Calibri"/>
                    <a:ea typeface="DejaVu Sans"/>
                  </a:rPr>
                  <a:t>HỢP</a:t>
                </a:r>
                <a:r>
                  <a:rPr lang="en-US" sz="1000" b="0" u="none" strike="noStrike">
                    <a:solidFill>
                      <a:schemeClr val="tx1">
                        <a:lumMod val="65000"/>
                        <a:lumOff val="35000"/>
                      </a:schemeClr>
                    </a:solidFill>
                    <a:uFillTx/>
                    <a:latin typeface="Calibri"/>
                    <a:ea typeface="DejaVu Sans"/>
                  </a:rPr>
                  <a:t> ĐỒNG</a:t>
                </a:r>
              </a:p>
            </c:rich>
          </c:tx>
          <c:overlay val="0"/>
          <c:spPr>
            <a:noFill/>
            <a:ln w="25560">
              <a:noFill/>
            </a:ln>
          </c:spPr>
        </c:title>
        <c:numFmt formatCode="General" sourceLinked="0"/>
        <c:majorTickMark val="none"/>
        <c:minorTickMark val="none"/>
        <c:tickLblPos val="nextTo"/>
        <c:spPr>
          <a:ln w="9360">
            <a:noFill/>
          </a:ln>
        </c:spPr>
        <c:txPr>
          <a:bodyPr/>
          <a:lstStyle/>
          <a:p>
            <a:pPr>
              <a:defRPr sz="900" b="0" u="none" strike="noStrike">
                <a:solidFill>
                  <a:srgbClr val="595959"/>
                </a:solidFill>
                <a:uFillTx/>
                <a:latin typeface="Calibri"/>
                <a:ea typeface="DejaVu Sans"/>
              </a:defRPr>
            </a:pPr>
          </a:p>
        </c:txPr>
        <c:crossAx val="98551818"/>
        <c:crosses val="autoZero"/>
        <c:crossBetween val="between"/>
      </c:valAx>
      <c:catAx>
        <c:axId val="74866452"/>
        <c:scaling>
          <c:orientation val="minMax"/>
        </c:scaling>
        <c:delete val="1"/>
        <c:axPos val="t"/>
        <c:numFmt formatCode="[$-42A]dd/mm/yyyy" sourceLinked="1"/>
        <c:majorTickMark val="out"/>
        <c:minorTickMark val="none"/>
        <c:tickLblPos val="none"/>
        <c:spPr>
          <a:ln w="9360">
            <a:solidFill>
              <a:srgbClr val="878787"/>
            </a:solidFill>
            <a:round/>
          </a:ln>
        </c:spPr>
        <c:txPr>
          <a:bodyPr/>
          <a:lstStyle/>
          <a:p>
            <a:pPr>
              <a:defRPr sz="1000" b="0" u="none" strike="noStrike">
                <a:solidFill>
                  <a:srgbClr val="000000"/>
                </a:solidFill>
                <a:uFillTx/>
                <a:latin typeface="Calibri"/>
                <a:ea typeface="DejaVu Sans"/>
              </a:defRPr>
            </a:pPr>
          </a:p>
        </c:txPr>
        <c:crossAx val="36677665"/>
        <c:auto val="1"/>
        <c:lblAlgn val="ctr"/>
        <c:lblOffset val="100"/>
        <c:noMultiLvlLbl val="0"/>
      </c:catAx>
      <c:valAx>
        <c:axId val="36677665"/>
        <c:scaling>
          <c:orientation val="minMax"/>
        </c:scaling>
        <c:delete val="1"/>
        <c:axPos val="r"/>
        <c:numFmt formatCode="General" sourceLinked="1"/>
        <c:majorTickMark val="out"/>
        <c:minorTickMark val="none"/>
        <c:tickLblPos val="none"/>
        <c:spPr>
          <a:ln w="9360">
            <a:solidFill>
              <a:srgbClr val="878787"/>
            </a:solidFill>
            <a:round/>
          </a:ln>
        </c:spPr>
        <c:txPr>
          <a:bodyPr/>
          <a:lstStyle/>
          <a:p>
            <a:pPr>
              <a:defRPr sz="1000" b="0" u="none" strike="noStrike">
                <a:solidFill>
                  <a:srgbClr val="000000"/>
                </a:solidFill>
                <a:uFillTx/>
                <a:latin typeface="Calibri"/>
                <a:ea typeface="DejaVu Sans"/>
              </a:defRPr>
            </a:pPr>
          </a:p>
        </c:txPr>
        <c:crossAx val="74866452"/>
        <c:crossBetween val="between"/>
      </c:valAx>
      <c:spPr>
        <a:noFill/>
        <a:ln w="25560">
          <a:noFill/>
        </a:ln>
      </c:spPr>
    </c:plotArea>
    <c:legend>
      <c:legendPos val="b"/>
      <c:overlay val="0"/>
      <c:spPr>
        <a:noFill/>
        <a:ln w="25560">
          <a:noFill/>
        </a:ln>
      </c:spPr>
      <c:txPr>
        <a:bodyPr/>
        <a:lstStyle/>
        <a:p>
          <a:pPr>
            <a:defRPr sz="900" b="0" u="none" strike="noStrike">
              <a:solidFill>
                <a:srgbClr val="595959"/>
              </a:solidFill>
              <a:uFillTx/>
              <a:latin typeface="Calibri"/>
              <a:ea typeface="DejaVu Sans"/>
            </a:defRPr>
          </a:pPr>
        </a:p>
      </c:txPr>
    </c:legend>
    <c:plotVisOnly val="1"/>
    <c:dispBlanksAs val="gap"/>
  </c:chart>
  <c:spPr>
    <a:solidFill>
      <a:srgbClr val="FFFFFF"/>
    </a:solidFill>
    <a:ln w="9360">
      <a:solidFill>
        <a:srgbClr val="D9D9D9"/>
      </a:solidFill>
      <a:round/>
    </a:ln>
  </c:spPr>
</c:chartSpace>
</file>

<file path=xl/charts/chart2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lang="en-US" sz="1400" b="0" u="none" strike="noStrike">
                <a:solidFill>
                  <a:schemeClr val="tx1">
                    <a:lumMod val="65000"/>
                    <a:lumOff val="35000"/>
                  </a:schemeClr>
                </a:solidFill>
                <a:uFillTx/>
                <a:latin typeface="Calibri"/>
                <a:ea typeface="DejaVu Sans"/>
              </a:rPr>
              <a:t>Hợp</a:t>
            </a:r>
            <a:r>
              <a:rPr lang="en-US" sz="1400" b="0" u="none" strike="noStrike">
                <a:solidFill>
                  <a:schemeClr val="tx1">
                    <a:lumMod val="65000"/>
                    <a:lumOff val="35000"/>
                  </a:schemeClr>
                </a:solidFill>
                <a:uFillTx/>
                <a:latin typeface="Calibri"/>
                <a:ea typeface="DejaVu Sans"/>
              </a:rPr>
              <a:t> đồng</a:t>
            </a:r>
          </a:p>
        </c:rich>
      </c:tx>
      <c:overlay val="0"/>
      <c:spPr>
        <a:noFill/>
        <a:ln w="25560">
          <a:noFill/>
        </a:ln>
      </c:spPr>
    </c:title>
    <c:autoTitleDeleted val="0"/>
    <c:plotArea>
      <c:pieChart>
        <c:varyColors val="1"/>
        <c:ser>
          <c:idx val="0"/>
          <c:order val="0"/>
          <c:spPr>
            <a:solidFill>
              <a:srgbClr val="A9CEDC"/>
            </a:solidFill>
            <a:ln w="0">
              <a:noFill/>
            </a:ln>
          </c:spPr>
          <c:explosion val="0"/>
          <c:dPt>
            <c:idx val="0"/>
            <c:spPr>
              <a:solidFill>
                <a:srgbClr val="4298AF"/>
              </a:solidFill>
              <a:ln w="0">
                <a:noFill/>
              </a:ln>
            </c:spPr>
          </c:dPt>
          <c:dPt>
            <c:idx val="1"/>
            <c:spPr>
              <a:solidFill>
                <a:srgbClr val="91C3D4"/>
              </a:solidFill>
              <a:ln w="0">
                <a:noFill/>
              </a:ln>
            </c:spPr>
          </c:dPt>
          <c:dLbls>
            <c:dLbl>
              <c:idx val="0"/>
              <c:numFmt formatCode="General" sourceLinked="1"/>
              <c:txPr>
                <a:bodyPr wrap="square"/>
                <a:lstStyle/>
                <a:p>
                  <a:pPr>
                    <a:defRPr sz="900" b="0" u="none" strike="noStrike">
                      <a:solidFill>
                        <a:srgbClr val="404040"/>
                      </a:solidFill>
                      <a:uFillTx/>
                      <a:latin typeface="Calibri"/>
                      <a:ea typeface="DejaVu Sans"/>
                    </a:defRPr>
                  </a:pPr>
                </a:p>
              </c:txPr>
              <c:dLblPos val="bestFit"/>
              <c:showLegendKey val="0"/>
              <c:showVal val="1"/>
              <c:showCatName val="0"/>
              <c:showSerName val="0"/>
              <c:showPercent val="0"/>
              <c:separator>; </c:separator>
            </c:dLbl>
            <c:dLbl>
              <c:idx val="1"/>
              <c:numFmt formatCode="General" sourceLinked="1"/>
              <c:txPr>
                <a:bodyPr wrap="square"/>
                <a:lstStyle/>
                <a:p>
                  <a:pPr>
                    <a:defRPr sz="900" b="0" u="none" strike="noStrike">
                      <a:solidFill>
                        <a:srgbClr val="404040"/>
                      </a:solidFill>
                      <a:uFillTx/>
                      <a:latin typeface="Calibri"/>
                      <a:ea typeface="DejaVu Sans"/>
                    </a:defRPr>
                  </a:pPr>
                </a:p>
              </c:txPr>
              <c:dLblPos val="bestFit"/>
              <c:showLegendKey val="0"/>
              <c:showVal val="1"/>
              <c:showCatName val="0"/>
              <c:showSerName val="0"/>
              <c:showPercent val="0"/>
              <c:separator>; </c:separator>
            </c:dLbl>
            <c:numFmt formatCode="General" sourceLinked="1"/>
            <c:txPr>
              <a:bodyPr wrap="square"/>
              <a:lstStyle/>
              <a:p>
                <a:pPr>
                  <a:defRPr sz="900" b="0" u="none" strike="noStrike">
                    <a:solidFill>
                      <a:srgbClr val="404040"/>
                    </a:solidFill>
                    <a:uFillTx/>
                    <a:latin typeface="Calibri"/>
                    <a:ea typeface="DejaVu Sans"/>
                  </a:defRPr>
                </a:pPr>
              </a:p>
            </c:txPr>
            <c:dLblPos val="bestFit"/>
            <c:showLegendKey val="0"/>
            <c:showVal val="1"/>
            <c:showCatName val="0"/>
            <c:showSerName val="0"/>
            <c:showPercent val="0"/>
            <c:separator>; </c:separator>
            <c:showLeaderLines val="1"/>
            <c:leaderLines>
              <c:spPr>
                <a:ln w="0">
                  <a:solidFill>
                    <a:srgbClr val="A6A6A6"/>
                  </a:solidFill>
                </a:ln>
              </c:spPr>
            </c:leaderLines>
          </c:dLbls>
          <c:cat>
            <c:strRef>
              <c:f>BaoCaoQuy!$N$36:$O$36</c:f>
              <c:strCache>
                <c:ptCount val="2"/>
                <c:pt idx="0">
                  <c:v/>
                </c:pt>
                <c:pt idx="1">
                  <c:v/>
                </c:pt>
              </c:strCache>
            </c:strRef>
          </c:cat>
          <c:val>
            <c:numRef>
              <c:f>BaoCaoQuy!$N$39:$O$39</c:f>
              <c:numCache>
                <c:formatCode>General</c:formatCode>
                <c:ptCount val="2"/>
              </c:numCache>
            </c:numRef>
          </c:val>
        </c:ser>
        <c:firstSliceAng val="0"/>
      </c:pieChart>
      <c:spPr>
        <a:noFill/>
        <a:ln w="25560">
          <a:noFill/>
        </a:ln>
      </c:spPr>
    </c:plotArea>
    <c:legend>
      <c:legendPos val="r"/>
      <c:overlay val="0"/>
      <c:spPr>
        <a:noFill/>
        <a:ln w="25560">
          <a:noFill/>
        </a:ln>
      </c:spPr>
      <c:txPr>
        <a:bodyPr/>
        <a:lstStyle/>
        <a:p>
          <a:pPr>
            <a:defRPr sz="900" b="0" u="none" strike="noStrike">
              <a:solidFill>
                <a:srgbClr val="595959"/>
              </a:solidFill>
              <a:uFillTx/>
              <a:latin typeface="Calibri"/>
              <a:ea typeface="DejaVu Sans"/>
            </a:defRPr>
          </a:pPr>
        </a:p>
      </c:txPr>
    </c:legend>
    <c:plotVisOnly val="1"/>
    <c:dispBlanksAs val="zero"/>
  </c:chart>
  <c:spPr>
    <a:solidFill>
      <a:srgbClr val="FFFFFF"/>
    </a:solidFill>
    <a:ln w="9360">
      <a:solidFill>
        <a:srgbClr val="D9D9D9"/>
      </a:solidFill>
      <a:round/>
    </a:ln>
  </c:spPr>
</c:chartSpace>
</file>

<file path=xl/charts/chart23.xml><?xml version="1.0" encoding="utf-8"?>
<c:chartSpace xmlns:c="http://schemas.openxmlformats.org/drawingml/2006/chart" xmlns:a="http://schemas.openxmlformats.org/drawingml/2006/main" xmlns:r="http://schemas.openxmlformats.org/officeDocument/2006/relationships">
  <c:date1904 val="0"/>
  <c:lang val="en-US"/>
  <c:roundedCorners val="0"/>
  <c:chart>
    <c:autoTitleDeleted val="1"/>
    <c:plotArea>
      <c:barChart>
        <c:barDir val="col"/>
        <c:grouping val="clustered"/>
        <c:varyColors val="0"/>
        <c:ser>
          <c:idx val="0"/>
          <c:order val="0"/>
          <c:tx>
            <c:strRef>
              <c:f>label 0</c:f>
              <c:strCache>
                <c:ptCount val="1"/>
                <c:pt idx="0">
                  <c:v>Kế hoạch</c:v>
                </c:pt>
              </c:strCache>
            </c:strRef>
          </c:tx>
          <c:spPr>
            <a:solidFill>
              <a:srgbClr val="F9BB9A"/>
            </a:solidFill>
            <a:ln w="12600">
              <a:noFill/>
            </a:ln>
          </c:spPr>
          <c:invertIfNegative val="0"/>
          <c:dLbls>
            <c:txPr>
              <a:bodyPr wrap="square"/>
              <a:lstStyle/>
              <a:p>
                <a:pPr>
                  <a:defRPr sz="1000" b="0" u="none" strike="noStrike">
                    <a:solidFill>
                      <a:srgbClr val="000000"/>
                    </a:solidFill>
                    <a:uFillTx/>
                    <a:latin typeface="Calibri"/>
                    <a:ea typeface="DejaVu Sans"/>
                  </a:defRPr>
                </a:pPr>
              </a:p>
            </c:txPr>
            <c:dLblPos val="outEnd"/>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categories</c:f>
              <c:strCache>
                <c:ptCount val="1"/>
                <c:pt idx="0">
                  <c:v>1</c:v>
                </c:pt>
              </c:strCache>
            </c:strRef>
          </c:cat>
          <c:val>
            <c:numRef>
              <c:f>0</c:f>
              <c:numCache>
                <c:formatCode>General</c:formatCode>
                <c:ptCount val="1"/>
                <c:pt idx="0">
                  <c:v>1</c:v>
                </c:pt>
              </c:numCache>
            </c:numRef>
          </c:val>
        </c:ser>
        <c:gapWidth val="219"/>
        <c:overlap val="0"/>
        <c:axId val="27501024"/>
        <c:axId val="36633795"/>
      </c:barChart>
      <c:lineChart>
        <c:grouping val="standard"/>
        <c:varyColors val="0"/>
        <c:ser>
          <c:idx val="1"/>
          <c:order val="1"/>
          <c:tx>
            <c:strRef>
              <c:f>label 1</c:f>
              <c:strCache>
                <c:ptCount val="1"/>
                <c:pt idx="0">
                  <c:v>Thực tế</c:v>
                </c:pt>
              </c:strCache>
            </c:strRef>
          </c:tx>
          <c:spPr>
            <a:solidFill>
              <a:srgbClr val="4BACC6"/>
            </a:solidFill>
            <a:ln cap="rnd" w="28440">
              <a:solidFill>
                <a:srgbClr val="4BACC6"/>
              </a:solidFill>
              <a:round/>
            </a:ln>
          </c:spPr>
          <c:marker>
            <c:symbol val="circle"/>
            <c:size val="5"/>
            <c:spPr>
              <a:solidFill>
                <a:srgbClr val="4BACC6"/>
              </a:solidFill>
            </c:spPr>
          </c:marker>
          <c:dLbls>
            <c:numFmt formatCode="General" sourceLinked="0"/>
            <c:txPr>
              <a:bodyPr wrap="square"/>
              <a:lstStyle/>
              <a:p>
                <a:pPr>
                  <a:defRPr sz="900" b="0" u="none" strike="noStrike">
                    <a:solidFill>
                      <a:srgbClr val="404040"/>
                    </a:solidFill>
                    <a:uFillTx/>
                    <a:latin typeface="Calibri"/>
                    <a:ea typeface="DejaVu Sans"/>
                  </a:defRPr>
                </a:pPr>
              </a:p>
            </c:txPr>
            <c:dLblPos val="r"/>
            <c:showLegendKey val="0"/>
            <c:showVal val="1"/>
            <c:showCatName val="0"/>
            <c:showSerName val="0"/>
            <c:showPercent val="0"/>
            <c:separator>; </c:separator>
            <c:showLeaderLines val="0"/>
            <c:extLst>
              <c:ext xmlns:c15="http://schemas.microsoft.com/office/drawing/2012/chart" uri="{CE6537A1-D6FC-4f65-9D91-7224C49458BB}">
                <c15:showLeaderLines val="0"/>
              </c:ext>
            </c:extLst>
          </c:dLbls>
          <c:cat>
            <c:strRef>
              <c:f>categories</c:f>
              <c:strCache>
                <c:ptCount val="1"/>
                <c:pt idx="0">
                  <c:v>1</c:v>
                </c:pt>
              </c:strCache>
            </c:strRef>
          </c:cat>
          <c:val>
            <c:numRef>
              <c:f>1</c:f>
              <c:numCache>
                <c:formatCode>General</c:formatCode>
                <c:ptCount val="1"/>
                <c:pt idx="0">
                  <c:v>1</c:v>
                </c:pt>
              </c:numCache>
            </c:numRef>
          </c:val>
          <c:smooth val="0"/>
        </c:ser>
        <c:hiLowLines>
          <c:spPr>
            <a:ln w="0">
              <a:noFill/>
            </a:ln>
          </c:spPr>
        </c:hiLowLines>
        <c:marker val="1"/>
        <c:axId val="6452910"/>
        <c:axId val="86423481"/>
      </c:lineChart>
      <c:catAx>
        <c:axId val="27501024"/>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sz="900" b="0" u="none" strike="noStrike">
                <a:solidFill>
                  <a:srgbClr val="595959"/>
                </a:solidFill>
                <a:uFillTx/>
                <a:latin typeface="Calibri"/>
                <a:ea typeface="DejaVu Sans"/>
              </a:defRPr>
            </a:pPr>
          </a:p>
        </c:txPr>
        <c:crossAx val="36633795"/>
        <c:crosses val="autoZero"/>
        <c:auto val="1"/>
        <c:lblAlgn val="ctr"/>
        <c:lblOffset val="100"/>
        <c:noMultiLvlLbl val="0"/>
      </c:catAx>
      <c:valAx>
        <c:axId val="36633795"/>
        <c:scaling>
          <c:orientation val="minMax"/>
        </c:scaling>
        <c:delete val="0"/>
        <c:axPos val="l"/>
        <c:majorGridlines>
          <c:spPr>
            <a:ln w="9360">
              <a:solidFill>
                <a:srgbClr val="D9D9D9"/>
              </a:solidFill>
              <a:round/>
            </a:ln>
          </c:spPr>
        </c:majorGridlines>
        <c:title>
          <c:tx>
            <c:rich>
              <a:bodyPr rot="-5400000"/>
              <a:lstStyle/>
              <a:p>
                <a:pPr>
                  <a:defRPr sz="1300" b="0" u="none" strike="noStrike">
                    <a:uFillTx/>
                    <a:latin typeface="Arial"/>
                  </a:defRPr>
                </a:pPr>
                <a:r>
                  <a:rPr lang="en-US" sz="1000" b="0" u="none" strike="noStrike">
                    <a:solidFill>
                      <a:schemeClr val="tx1">
                        <a:lumMod val="65000"/>
                        <a:lumOff val="35000"/>
                      </a:schemeClr>
                    </a:solidFill>
                    <a:uFillTx/>
                    <a:latin typeface="Calibri"/>
                    <a:ea typeface="DejaVu Sans"/>
                  </a:rPr>
                  <a:t>DOANH THU</a:t>
                </a:r>
              </a:p>
            </c:rich>
          </c:tx>
          <c:overlay val="0"/>
          <c:spPr>
            <a:noFill/>
            <a:ln w="25560">
              <a:noFill/>
            </a:ln>
          </c:spPr>
        </c:title>
        <c:numFmt formatCode="General" sourceLinked="0"/>
        <c:majorTickMark val="none"/>
        <c:minorTickMark val="none"/>
        <c:tickLblPos val="nextTo"/>
        <c:spPr>
          <a:ln w="9360">
            <a:noFill/>
          </a:ln>
        </c:spPr>
        <c:txPr>
          <a:bodyPr/>
          <a:lstStyle/>
          <a:p>
            <a:pPr>
              <a:defRPr sz="900" b="0" u="none" strike="noStrike">
                <a:solidFill>
                  <a:srgbClr val="595959"/>
                </a:solidFill>
                <a:uFillTx/>
                <a:latin typeface="Calibri"/>
                <a:ea typeface="DejaVu Sans"/>
              </a:defRPr>
            </a:pPr>
          </a:p>
        </c:txPr>
        <c:crossAx val="27501024"/>
        <c:crosses val="autoZero"/>
        <c:crossBetween val="between"/>
      </c:valAx>
      <c:catAx>
        <c:axId val="6452910"/>
        <c:scaling>
          <c:orientation val="minMax"/>
        </c:scaling>
        <c:delete val="1"/>
        <c:axPos val="t"/>
        <c:numFmt formatCode="[$-42A]dd/mm/yyyy" sourceLinked="1"/>
        <c:majorTickMark val="out"/>
        <c:minorTickMark val="none"/>
        <c:tickLblPos val="none"/>
        <c:spPr>
          <a:ln w="9360">
            <a:solidFill>
              <a:srgbClr val="878787"/>
            </a:solidFill>
            <a:round/>
          </a:ln>
        </c:spPr>
        <c:txPr>
          <a:bodyPr/>
          <a:lstStyle/>
          <a:p>
            <a:pPr>
              <a:defRPr sz="1000" b="0" u="none" strike="noStrike">
                <a:solidFill>
                  <a:srgbClr val="000000"/>
                </a:solidFill>
                <a:uFillTx/>
                <a:latin typeface="Calibri"/>
                <a:ea typeface="DejaVu Sans"/>
              </a:defRPr>
            </a:pPr>
          </a:p>
        </c:txPr>
        <c:crossAx val="86423481"/>
        <c:auto val="1"/>
        <c:lblAlgn val="ctr"/>
        <c:lblOffset val="100"/>
        <c:noMultiLvlLbl val="0"/>
      </c:catAx>
      <c:valAx>
        <c:axId val="86423481"/>
        <c:scaling>
          <c:orientation val="minMax"/>
        </c:scaling>
        <c:delete val="1"/>
        <c:axPos val="r"/>
        <c:numFmt formatCode="General" sourceLinked="1"/>
        <c:majorTickMark val="out"/>
        <c:minorTickMark val="none"/>
        <c:tickLblPos val="none"/>
        <c:spPr>
          <a:ln w="9360">
            <a:solidFill>
              <a:srgbClr val="878787"/>
            </a:solidFill>
            <a:round/>
          </a:ln>
        </c:spPr>
        <c:txPr>
          <a:bodyPr/>
          <a:lstStyle/>
          <a:p>
            <a:pPr>
              <a:defRPr sz="1000" b="0" u="none" strike="noStrike">
                <a:solidFill>
                  <a:srgbClr val="000000"/>
                </a:solidFill>
                <a:uFillTx/>
                <a:latin typeface="Calibri"/>
                <a:ea typeface="DejaVu Sans"/>
              </a:defRPr>
            </a:pPr>
          </a:p>
        </c:txPr>
        <c:crossAx val="6452910"/>
        <c:crossBetween val="between"/>
      </c:valAx>
      <c:spPr>
        <a:noFill/>
        <a:ln w="25560">
          <a:noFill/>
        </a:ln>
      </c:spPr>
    </c:plotArea>
    <c:legend>
      <c:legendPos val="b"/>
      <c:overlay val="0"/>
      <c:spPr>
        <a:noFill/>
        <a:ln w="25560">
          <a:noFill/>
        </a:ln>
      </c:spPr>
      <c:txPr>
        <a:bodyPr/>
        <a:lstStyle/>
        <a:p>
          <a:pPr>
            <a:defRPr sz="900" b="0" u="none" strike="noStrike">
              <a:solidFill>
                <a:srgbClr val="595959"/>
              </a:solidFill>
              <a:uFillTx/>
              <a:latin typeface="Calibri"/>
              <a:ea typeface="DejaVu Sans"/>
            </a:defRPr>
          </a:pPr>
        </a:p>
      </c:txPr>
    </c:legend>
    <c:plotVisOnly val="1"/>
    <c:dispBlanksAs val="gap"/>
  </c:chart>
  <c:spPr>
    <a:solidFill>
      <a:srgbClr val="FFFFFF"/>
    </a:solidFill>
    <a:ln w="9360">
      <a:solidFill>
        <a:srgbClr val="D9D9D9"/>
      </a:solidFill>
      <a:round/>
    </a:ln>
  </c:spPr>
</c:chartSpace>
</file>

<file path=xl/charts/chart2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lang="en-US" sz="1400" b="0" u="none" strike="noStrike">
                <a:solidFill>
                  <a:schemeClr val="tx1">
                    <a:lumMod val="65000"/>
                    <a:lumOff val="35000"/>
                  </a:schemeClr>
                </a:solidFill>
                <a:uFillTx/>
                <a:latin typeface="Calibri"/>
                <a:ea typeface="DejaVu Sans"/>
              </a:rPr>
              <a:t>Doanh thu</a:t>
            </a:r>
          </a:p>
        </c:rich>
      </c:tx>
      <c:overlay val="0"/>
      <c:spPr>
        <a:noFill/>
        <a:ln w="25560">
          <a:noFill/>
        </a:ln>
      </c:spPr>
    </c:title>
    <c:autoTitleDeleted val="0"/>
    <c:plotArea>
      <c:pieChart>
        <c:varyColors val="1"/>
        <c:ser>
          <c:idx val="0"/>
          <c:order val="0"/>
          <c:spPr>
            <a:solidFill>
              <a:srgbClr val="F9C3A8"/>
            </a:solidFill>
            <a:ln w="0">
              <a:noFill/>
            </a:ln>
          </c:spPr>
          <c:explosion val="0"/>
          <c:dPt>
            <c:idx val="0"/>
            <c:spPr>
              <a:solidFill>
                <a:srgbClr val="DB853E"/>
              </a:solidFill>
              <a:ln w="0">
                <a:noFill/>
              </a:ln>
            </c:spPr>
          </c:dPt>
          <c:dPt>
            <c:idx val="1"/>
            <c:spPr>
              <a:solidFill>
                <a:srgbClr val="F8B590"/>
              </a:solidFill>
              <a:ln w="0">
                <a:noFill/>
              </a:ln>
            </c:spPr>
          </c:dPt>
          <c:dLbls>
            <c:dLbl>
              <c:idx val="0"/>
              <c:numFmt formatCode="General" sourceLinked="1"/>
              <c:txPr>
                <a:bodyPr wrap="square"/>
                <a:lstStyle/>
                <a:p>
                  <a:pPr>
                    <a:defRPr sz="900" b="0" u="none" strike="noStrike">
                      <a:solidFill>
                        <a:srgbClr val="404040"/>
                      </a:solidFill>
                      <a:uFillTx/>
                      <a:latin typeface="Calibri"/>
                      <a:ea typeface="DejaVu Sans"/>
                    </a:defRPr>
                  </a:pPr>
                </a:p>
              </c:txPr>
              <c:dLblPos val="bestFit"/>
              <c:showLegendKey val="0"/>
              <c:showVal val="1"/>
              <c:showCatName val="0"/>
              <c:showSerName val="0"/>
              <c:showPercent val="0"/>
              <c:separator>; </c:separator>
            </c:dLbl>
            <c:dLbl>
              <c:idx val="1"/>
              <c:numFmt formatCode="General" sourceLinked="1"/>
              <c:txPr>
                <a:bodyPr wrap="square"/>
                <a:lstStyle/>
                <a:p>
                  <a:pPr>
                    <a:defRPr sz="900" b="0" u="none" strike="noStrike">
                      <a:solidFill>
                        <a:srgbClr val="404040"/>
                      </a:solidFill>
                      <a:uFillTx/>
                      <a:latin typeface="Calibri"/>
                      <a:ea typeface="DejaVu Sans"/>
                    </a:defRPr>
                  </a:pPr>
                </a:p>
              </c:txPr>
              <c:dLblPos val="bestFit"/>
              <c:showLegendKey val="0"/>
              <c:showVal val="1"/>
              <c:showCatName val="0"/>
              <c:showSerName val="0"/>
              <c:showPercent val="0"/>
              <c:separator>; </c:separator>
            </c:dLbl>
            <c:numFmt formatCode="General" sourceLinked="1"/>
            <c:txPr>
              <a:bodyPr wrap="square"/>
              <a:lstStyle/>
              <a:p>
                <a:pPr>
                  <a:defRPr sz="900" b="0" u="none" strike="noStrike">
                    <a:solidFill>
                      <a:srgbClr val="404040"/>
                    </a:solidFill>
                    <a:uFillTx/>
                    <a:latin typeface="Calibri"/>
                    <a:ea typeface="DejaVu Sans"/>
                  </a:defRPr>
                </a:pPr>
              </a:p>
            </c:txPr>
            <c:dLblPos val="bestFit"/>
            <c:showLegendKey val="0"/>
            <c:showVal val="1"/>
            <c:showCatName val="0"/>
            <c:showSerName val="0"/>
            <c:showPercent val="0"/>
            <c:separator>; </c:separator>
            <c:showLeaderLines val="1"/>
            <c:leaderLines>
              <c:spPr>
                <a:ln w="0">
                  <a:solidFill>
                    <a:srgbClr val="A6A6A6"/>
                  </a:solidFill>
                </a:ln>
              </c:spPr>
            </c:leaderLines>
          </c:dLbls>
          <c:cat>
            <c:strRef>
              <c:f>BaoCaoQuy!$P$36:$Q$36</c:f>
              <c:strCache>
                <c:ptCount val="2"/>
                <c:pt idx="0">
                  <c:v/>
                </c:pt>
                <c:pt idx="1">
                  <c:v/>
                </c:pt>
              </c:strCache>
            </c:strRef>
          </c:cat>
          <c:val>
            <c:numRef>
              <c:f>BaoCaoQuy!$P$39:$Q$39</c:f>
              <c:numCache>
                <c:formatCode>General</c:formatCode>
                <c:ptCount val="2"/>
              </c:numCache>
            </c:numRef>
          </c:val>
        </c:ser>
        <c:firstSliceAng val="0"/>
      </c:pieChart>
      <c:spPr>
        <a:noFill/>
        <a:ln w="25560">
          <a:noFill/>
        </a:ln>
      </c:spPr>
    </c:plotArea>
    <c:legend>
      <c:legendPos val="r"/>
      <c:overlay val="0"/>
      <c:spPr>
        <a:noFill/>
        <a:ln w="25560">
          <a:noFill/>
        </a:ln>
      </c:spPr>
      <c:txPr>
        <a:bodyPr/>
        <a:lstStyle/>
        <a:p>
          <a:pPr>
            <a:defRPr sz="900" b="0" u="none" strike="noStrike">
              <a:solidFill>
                <a:srgbClr val="595959"/>
              </a:solidFill>
              <a:uFillTx/>
              <a:latin typeface="Calibri"/>
              <a:ea typeface="DejaVu Sans"/>
            </a:defRPr>
          </a:pPr>
        </a:p>
      </c:txPr>
    </c:legend>
    <c:plotVisOnly val="1"/>
    <c:dispBlanksAs val="zero"/>
  </c:chart>
  <c:spPr>
    <a:solidFill>
      <a:srgbClr val="FFFFFF"/>
    </a:solidFill>
    <a:ln w="9360">
      <a:solidFill>
        <a:srgbClr val="D9D9D9"/>
      </a:solidFill>
      <a:round/>
    </a:ln>
  </c:spPr>
</c:chartSpace>
</file>

<file path=xl/charts/chart25.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barChart>
        <c:barDir val="col"/>
        <c:grouping val="clustered"/>
        <c:varyColors val="0"/>
        <c:ser>
          <c:idx val="0"/>
          <c:order val="0"/>
          <c:tx>
            <c:strRef>
              <c:f>"Kế hoạch"</c:f>
              <c:strCache>
                <c:ptCount val="1"/>
                <c:pt idx="0">
                  <c:v>Kế hoạch</c:v>
                </c:pt>
              </c:strCache>
            </c:strRef>
          </c:tx>
          <c:spPr>
            <a:solidFill>
              <a:srgbClr val="388296"/>
            </a:solidFill>
            <a:ln w="12600">
              <a:noFill/>
            </a:ln>
          </c:spPr>
          <c:invertIfNegative val="0"/>
          <c:dLbls>
            <c:txPr>
              <a:bodyPr wrap="square"/>
              <a:lstStyle/>
              <a:p>
                <a:pPr>
                  <a:defRPr sz="1000" b="0" u="none" strike="noStrike">
                    <a:solidFill>
                      <a:srgbClr val="000000"/>
                    </a:solidFill>
                    <a:uFillTx/>
                    <a:latin typeface="Calibri"/>
                    <a:ea typeface="DejaVu Sans"/>
                  </a:defRPr>
                </a:pPr>
              </a:p>
            </c:txPr>
            <c:dLblPos val="outEnd"/>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'KH hieu chinh'!$B$35:$B$41</c:f>
              <c:strCache>
                <c:ptCount val="7"/>
                <c:pt idx="0">
                  <c:v>Tháng 06</c:v>
                </c:pt>
                <c:pt idx="1">
                  <c:v>Tháng 07</c:v>
                </c:pt>
                <c:pt idx="2">
                  <c:v>Tháng 08</c:v>
                </c:pt>
                <c:pt idx="3">
                  <c:v>Tháng 09</c:v>
                </c:pt>
                <c:pt idx="4">
                  <c:v>Tháng 10</c:v>
                </c:pt>
                <c:pt idx="5">
                  <c:v>Tháng 11</c:v>
                </c:pt>
                <c:pt idx="6">
                  <c:v>Tháng 12</c:v>
                </c:pt>
              </c:strCache>
            </c:strRef>
          </c:cat>
          <c:val>
            <c:numRef>
              <c:f>'KH hieu chinh'!$C$35:$C$41</c:f>
              <c:numCache>
                <c:formatCode>_(* #,##0_);_(* \(#,##0\);_(* \-??_);_(@_)</c:formatCode>
                <c:ptCount val="7"/>
                <c:pt idx="0">
                  <c:v>0</c:v>
                </c:pt>
                <c:pt idx="1">
                  <c:v>0</c:v>
                </c:pt>
                <c:pt idx="2">
                  <c:v>0</c:v>
                </c:pt>
                <c:pt idx="3">
                  <c:v>0</c:v>
                </c:pt>
                <c:pt idx="4">
                  <c:v>0</c:v>
                </c:pt>
                <c:pt idx="5">
                  <c:v>0</c:v>
                </c:pt>
                <c:pt idx="6">
                  <c:v>0</c:v>
                </c:pt>
              </c:numCache>
            </c:numRef>
          </c:val>
        </c:ser>
        <c:ser>
          <c:idx val="1"/>
          <c:order val="1"/>
          <c:tx>
            <c:strRef>
              <c:f>"Mức 1: Đạt 80-100%"</c:f>
              <c:strCache>
                <c:ptCount val="1"/>
                <c:pt idx="0">
                  <c:v>Mức 1: Đạt 80-100%</c:v>
                </c:pt>
              </c:strCache>
            </c:strRef>
          </c:tx>
          <c:spPr>
            <a:solidFill>
              <a:srgbClr val="4BACC6"/>
            </a:solidFill>
            <a:ln w="12600">
              <a:noFill/>
            </a:ln>
          </c:spPr>
          <c:invertIfNegative val="0"/>
          <c:dLbls>
            <c:numFmt formatCode="_(* #,##0_);_(* \(#,##0\);_(* \-??_);_(@_)" sourceLinked="1"/>
            <c:txPr>
              <a:bodyPr wrap="square"/>
              <a:lstStyle/>
              <a:p>
                <a:pPr>
                  <a:defRPr sz="900" b="0" u="none" strike="noStrike">
                    <a:solidFill>
                      <a:srgbClr val="404040"/>
                    </a:solidFill>
                    <a:uFillTx/>
                    <a:latin typeface="Calibri"/>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'KH hieu chinh'!$B$35:$B$41</c:f>
              <c:strCache>
                <c:ptCount val="7"/>
                <c:pt idx="0">
                  <c:v>Tháng 06</c:v>
                </c:pt>
                <c:pt idx="1">
                  <c:v>Tháng 07</c:v>
                </c:pt>
                <c:pt idx="2">
                  <c:v>Tháng 08</c:v>
                </c:pt>
                <c:pt idx="3">
                  <c:v>Tháng 09</c:v>
                </c:pt>
                <c:pt idx="4">
                  <c:v>Tháng 10</c:v>
                </c:pt>
                <c:pt idx="5">
                  <c:v>Tháng 11</c:v>
                </c:pt>
                <c:pt idx="6">
                  <c:v>Tháng 12</c:v>
                </c:pt>
              </c:strCache>
            </c:strRef>
          </c:cat>
          <c:val>
            <c:numRef>
              <c:f>'KH hieu chinh'!$E$35:$E$41</c:f>
              <c:numCache>
                <c:formatCode>_(* #,##0_);_(* \(#,##0\);_(* \-??_);_(@_)</c:formatCode>
                <c:ptCount val="7"/>
                <c:pt idx="0">
                  <c:v>0</c:v>
                </c:pt>
                <c:pt idx="1">
                  <c:v>0</c:v>
                </c:pt>
                <c:pt idx="2">
                  <c:v>0</c:v>
                </c:pt>
                <c:pt idx="3">
                  <c:v>0</c:v>
                </c:pt>
                <c:pt idx="4">
                  <c:v>0</c:v>
                </c:pt>
                <c:pt idx="5">
                  <c:v>0</c:v>
                </c:pt>
                <c:pt idx="6">
                  <c:v>0</c:v>
                </c:pt>
              </c:numCache>
            </c:numRef>
          </c:val>
        </c:ser>
        <c:ser>
          <c:idx val="2"/>
          <c:order val="2"/>
          <c:tx>
            <c:strRef>
              <c:f>"Mức 2: Đạt 50-79%"</c:f>
              <c:strCache>
                <c:ptCount val="1"/>
                <c:pt idx="0">
                  <c:v>Mức 2: Đạt 50-79%</c:v>
                </c:pt>
              </c:strCache>
            </c:strRef>
          </c:tx>
          <c:spPr>
            <a:solidFill>
              <a:srgbClr val="91C3D4"/>
            </a:solidFill>
            <a:ln w="12600">
              <a:noFill/>
            </a:ln>
          </c:spPr>
          <c:invertIfNegative val="0"/>
          <c:dLbls>
            <c:txPr>
              <a:bodyPr wrap="square"/>
              <a:lstStyle/>
              <a:p>
                <a:pPr>
                  <a:defRPr sz="1000" b="0" u="none" strike="noStrike">
                    <a:solidFill>
                      <a:srgbClr val="000000"/>
                    </a:solidFill>
                    <a:uFillTx/>
                    <a:latin typeface="Calibri"/>
                    <a:ea typeface="DejaVu Sans"/>
                  </a:defRPr>
                </a:pPr>
              </a:p>
            </c:txPr>
            <c:dLblPos val="outEnd"/>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'KH hieu chinh'!$B$35:$B$41</c:f>
              <c:strCache>
                <c:ptCount val="7"/>
                <c:pt idx="0">
                  <c:v>Tháng 06</c:v>
                </c:pt>
                <c:pt idx="1">
                  <c:v>Tháng 07</c:v>
                </c:pt>
                <c:pt idx="2">
                  <c:v>Tháng 08</c:v>
                </c:pt>
                <c:pt idx="3">
                  <c:v>Tháng 09</c:v>
                </c:pt>
                <c:pt idx="4">
                  <c:v>Tháng 10</c:v>
                </c:pt>
                <c:pt idx="5">
                  <c:v>Tháng 11</c:v>
                </c:pt>
                <c:pt idx="6">
                  <c:v>Tháng 12</c:v>
                </c:pt>
              </c:strCache>
            </c:strRef>
          </c:cat>
          <c:val>
            <c:numRef>
              <c:f>'KH hieu chinh'!$F$35:$F$41</c:f>
              <c:numCache>
                <c:formatCode>_(* #,##0_);_(* \(#,##0\);_(* \-??_);_(@_)</c:formatCode>
                <c:ptCount val="7"/>
                <c:pt idx="0">
                  <c:v>0</c:v>
                </c:pt>
                <c:pt idx="1">
                  <c:v>0</c:v>
                </c:pt>
                <c:pt idx="2">
                  <c:v>0</c:v>
                </c:pt>
                <c:pt idx="3">
                  <c:v>0</c:v>
                </c:pt>
                <c:pt idx="4">
                  <c:v>0</c:v>
                </c:pt>
                <c:pt idx="5">
                  <c:v>0</c:v>
                </c:pt>
                <c:pt idx="6">
                  <c:v>0</c:v>
                </c:pt>
              </c:numCache>
            </c:numRef>
          </c:val>
        </c:ser>
        <c:ser>
          <c:idx val="3"/>
          <c:order val="3"/>
          <c:tx>
            <c:strRef>
              <c:f>"Mức 3: Dưới 50%"</c:f>
              <c:strCache>
                <c:ptCount val="1"/>
                <c:pt idx="0">
                  <c:v>Mức 3: Dưới 50%</c:v>
                </c:pt>
              </c:strCache>
            </c:strRef>
          </c:tx>
          <c:spPr>
            <a:solidFill>
              <a:srgbClr val="BBD7E2"/>
            </a:solidFill>
            <a:ln w="12600">
              <a:noFill/>
            </a:ln>
          </c:spPr>
          <c:invertIfNegative val="0"/>
          <c:dLbls>
            <c:txPr>
              <a:bodyPr wrap="square"/>
              <a:lstStyle/>
              <a:p>
                <a:pPr>
                  <a:defRPr sz="1000" b="0" u="none" strike="noStrike">
                    <a:solidFill>
                      <a:srgbClr val="000000"/>
                    </a:solidFill>
                    <a:uFillTx/>
                    <a:latin typeface="Calibri"/>
                    <a:ea typeface="DejaVu Sans"/>
                  </a:defRPr>
                </a:pPr>
              </a:p>
            </c:txPr>
            <c:dLblPos val="outEnd"/>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'KH hieu chinh'!$B$35:$B$41</c:f>
              <c:strCache>
                <c:ptCount val="7"/>
                <c:pt idx="0">
                  <c:v>Tháng 06</c:v>
                </c:pt>
                <c:pt idx="1">
                  <c:v>Tháng 07</c:v>
                </c:pt>
                <c:pt idx="2">
                  <c:v>Tháng 08</c:v>
                </c:pt>
                <c:pt idx="3">
                  <c:v>Tháng 09</c:v>
                </c:pt>
                <c:pt idx="4">
                  <c:v>Tháng 10</c:v>
                </c:pt>
                <c:pt idx="5">
                  <c:v>Tháng 11</c:v>
                </c:pt>
                <c:pt idx="6">
                  <c:v>Tháng 12</c:v>
                </c:pt>
              </c:strCache>
            </c:strRef>
          </c:cat>
          <c:val>
            <c:numRef>
              <c:f>'KH hieu chinh'!$G$35:$G$41</c:f>
              <c:numCache>
                <c:formatCode>_(* #,##0_);_(* \(#,##0\);_(* \-??_);_(@_)</c:formatCode>
                <c:ptCount val="7"/>
                <c:pt idx="0">
                  <c:v>0</c:v>
                </c:pt>
                <c:pt idx="1">
                  <c:v>0</c:v>
                </c:pt>
                <c:pt idx="2">
                  <c:v>0</c:v>
                </c:pt>
                <c:pt idx="3">
                  <c:v>0</c:v>
                </c:pt>
                <c:pt idx="4">
                  <c:v>0</c:v>
                </c:pt>
                <c:pt idx="5">
                  <c:v>0</c:v>
                </c:pt>
                <c:pt idx="6">
                  <c:v>0</c:v>
                </c:pt>
              </c:numCache>
            </c:numRef>
          </c:val>
        </c:ser>
        <c:gapWidth val="219"/>
        <c:overlap val="-27"/>
        <c:axId val="40095780"/>
        <c:axId val="8327693"/>
      </c:barChart>
      <c:catAx>
        <c:axId val="40095780"/>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sz="900" b="0" u="none" strike="noStrike">
                <a:solidFill>
                  <a:srgbClr val="595959"/>
                </a:solidFill>
                <a:uFillTx/>
                <a:latin typeface="Calibri"/>
                <a:ea typeface="DejaVu Sans"/>
              </a:defRPr>
            </a:pPr>
          </a:p>
        </c:txPr>
        <c:crossAx val="8327693"/>
        <c:crosses val="autoZero"/>
        <c:auto val="1"/>
        <c:lblAlgn val="ctr"/>
        <c:lblOffset val="100"/>
        <c:noMultiLvlLbl val="0"/>
      </c:catAx>
      <c:valAx>
        <c:axId val="8327693"/>
        <c:scaling>
          <c:orientation val="minMax"/>
        </c:scaling>
        <c:delete val="0"/>
        <c:axPos val="l"/>
        <c:majorGridlines>
          <c:spPr>
            <a:ln w="9360">
              <a:solidFill>
                <a:srgbClr val="D9D9D9"/>
              </a:solidFill>
              <a:round/>
            </a:ln>
          </c:spPr>
        </c:majorGridlines>
        <c:title>
          <c:tx>
            <c:rich>
              <a:bodyPr rot="-5400000"/>
              <a:lstStyle/>
              <a:p>
                <a:pPr>
                  <a:defRPr sz="1300" b="0" u="none" strike="noStrike">
                    <a:uFillTx/>
                    <a:latin typeface="Arial"/>
                  </a:defRPr>
                </a:pPr>
                <a:r>
                  <a:rPr lang="en-US" sz="1000" b="0" u="none" strike="noStrike">
                    <a:solidFill>
                      <a:schemeClr val="tx1">
                        <a:lumMod val="65000"/>
                        <a:lumOff val="35000"/>
                      </a:schemeClr>
                    </a:solidFill>
                    <a:uFillTx/>
                    <a:latin typeface="Calibri"/>
                    <a:ea typeface="DejaVu Sans"/>
                  </a:rPr>
                  <a:t>HỢP</a:t>
                </a:r>
                <a:r>
                  <a:rPr lang="en-US" sz="1000" b="0" u="none" strike="noStrike">
                    <a:solidFill>
                      <a:schemeClr val="tx1">
                        <a:lumMod val="65000"/>
                        <a:lumOff val="35000"/>
                      </a:schemeClr>
                    </a:solidFill>
                    <a:uFillTx/>
                    <a:latin typeface="Calibri"/>
                    <a:ea typeface="DejaVu Sans"/>
                  </a:rPr>
                  <a:t> ĐỒNG</a:t>
                </a:r>
              </a:p>
            </c:rich>
          </c:tx>
          <c:overlay val="0"/>
          <c:spPr>
            <a:noFill/>
            <a:ln w="0">
              <a:noFill/>
            </a:ln>
          </c:spPr>
        </c:title>
        <c:numFmt formatCode="_(* #,##0_);_(* \(#,##0\);_(* \-??_);_(@_)" sourceLinked="0"/>
        <c:majorTickMark val="none"/>
        <c:minorTickMark val="none"/>
        <c:tickLblPos val="nextTo"/>
        <c:spPr>
          <a:ln w="9360">
            <a:noFill/>
          </a:ln>
        </c:spPr>
        <c:txPr>
          <a:bodyPr/>
          <a:lstStyle/>
          <a:p>
            <a:pPr>
              <a:defRPr sz="900" b="0" u="none" strike="noStrike">
                <a:solidFill>
                  <a:srgbClr val="595959"/>
                </a:solidFill>
                <a:uFillTx/>
                <a:latin typeface="Calibri"/>
                <a:ea typeface="DejaVu Sans"/>
              </a:defRPr>
            </a:pPr>
          </a:p>
        </c:txPr>
        <c:crossAx val="40095780"/>
        <c:crosses val="autoZero"/>
        <c:crossBetween val="between"/>
      </c:valAx>
      <c:spPr>
        <a:noFill/>
        <a:ln w="0">
          <a:noFill/>
        </a:ln>
      </c:spPr>
    </c:plotArea>
    <c:legend>
      <c:legendPos val="b"/>
      <c:overlay val="0"/>
      <c:spPr>
        <a:noFill/>
        <a:ln w="0">
          <a:noFill/>
        </a:ln>
      </c:spPr>
      <c:txPr>
        <a:bodyPr/>
        <a:lstStyle/>
        <a:p>
          <a:pPr>
            <a:defRPr sz="900" b="0" u="none" strike="noStrike">
              <a:solidFill>
                <a:srgbClr val="595959"/>
              </a:solidFill>
              <a:uFillTx/>
              <a:latin typeface="Calibri"/>
              <a:ea typeface="DejaVu Sans"/>
            </a:defRPr>
          </a:pPr>
        </a:p>
      </c:txPr>
    </c:legend>
    <c:plotVisOnly val="1"/>
    <c:dispBlanksAs val="gap"/>
  </c:chart>
  <c:spPr>
    <a:solidFill>
      <a:srgbClr val="FFFFFF"/>
    </a:solidFill>
    <a:ln w="9360">
      <a:solidFill>
        <a:srgbClr val="D9D9D9"/>
      </a:solidFill>
      <a:round/>
    </a:ln>
  </c:spPr>
</c:chartSpace>
</file>

<file path=xl/charts/chart26.xml><?xml version="1.0" encoding="utf-8"?>
<c:chartSpace xmlns:c="http://schemas.openxmlformats.org/drawingml/2006/chart" xmlns:a="http://schemas.openxmlformats.org/drawingml/2006/main" xmlns:r="http://schemas.openxmlformats.org/officeDocument/2006/relationships">
  <c:date1904 val="0"/>
  <c:lang val="en-US"/>
  <c:roundedCorners val="0"/>
  <c:chart>
    <c:autoTitleDeleted val="1"/>
    <c:plotArea>
      <c:pieChart>
        <c:varyColors val="1"/>
        <c:ser>
          <c:idx val="0"/>
          <c:order val="0"/>
          <c:tx>
            <c:strRef>
              <c:f>label 0</c:f>
              <c:strCache>
                <c:ptCount val="1"/>
                <c:pt idx="0">
                  <c:v>Series1</c:v>
                </c:pt>
              </c:strCache>
            </c:strRef>
          </c:tx>
          <c:spPr>
            <a:solidFill>
              <a:srgbClr val="4BACC6"/>
            </a:solidFill>
            <a:ln w="12600">
              <a:noFill/>
            </a:ln>
          </c:spPr>
          <c:explosion val="0"/>
          <c:dPt>
            <c:idx val="0"/>
            <c:spPr>
              <a:solidFill>
                <a:srgbClr val="3E8EA4"/>
              </a:solidFill>
              <a:ln w="19080">
                <a:noFill/>
              </a:ln>
            </c:spPr>
          </c:dPt>
          <c:dLbls>
            <c:dLbl>
              <c:idx val="0"/>
              <c:numFmt formatCode="General" sourceLinked="0"/>
              <c:txPr>
                <a:bodyPr wrap="square"/>
                <a:lstStyle/>
                <a:p>
                  <a:pPr>
                    <a:defRPr sz="900" b="0" u="none" strike="noStrike">
                      <a:solidFill>
                        <a:srgbClr val="404040"/>
                      </a:solidFill>
                      <a:uFillTx/>
                      <a:latin typeface="Calibri"/>
                      <a:ea typeface="DejaVu Sans"/>
                    </a:defRPr>
                  </a:pPr>
                </a:p>
              </c:txPr>
              <c:dLblPos val="bestFit"/>
              <c:showLegendKey val="0"/>
              <c:showVal val="1"/>
              <c:showCatName val="0"/>
              <c:showSerName val="0"/>
              <c:showPercent val="0"/>
              <c:separator>; </c:separator>
            </c:dLbl>
            <c:numFmt formatCode="General" sourceLinked="0"/>
            <c:txPr>
              <a:bodyPr wrap="square"/>
              <a:lstStyle/>
              <a:p>
                <a:pPr>
                  <a:defRPr sz="900" b="0" u="none" strike="noStrike">
                    <a:solidFill>
                      <a:srgbClr val="404040"/>
                    </a:solidFill>
                    <a:uFillTx/>
                    <a:latin typeface="Calibri"/>
                    <a:ea typeface="DejaVu Sans"/>
                  </a:defRPr>
                </a:pPr>
              </a:p>
            </c:txPr>
            <c:dLblPos val="bestFit"/>
            <c:showLegendKey val="0"/>
            <c:showVal val="1"/>
            <c:showCatName val="0"/>
            <c:showSerName val="0"/>
            <c:showPercent val="0"/>
            <c:separator>; </c:separator>
            <c:showLeaderLines val="1"/>
            <c:leaderLines>
              <c:spPr>
                <a:ln w="0">
                  <a:solidFill>
                    <a:srgbClr val="A6A6A6"/>
                  </a:solidFill>
                </a:ln>
              </c:spPr>
            </c:leaderLines>
          </c:dLbls>
          <c:cat>
            <c:strRef>
              <c:f>categories</c:f>
              <c:strCache>
                <c:ptCount val="1"/>
                <c:pt idx="0">
                  <c:v>1</c:v>
                </c:pt>
              </c:strCache>
            </c:strRef>
          </c:cat>
          <c:val>
            <c:numRef>
              <c:f>0</c:f>
              <c:numCache>
                <c:formatCode>General</c:formatCode>
                <c:ptCount val="1"/>
                <c:pt idx="0">
                  <c:v>1</c:v>
                </c:pt>
              </c:numCache>
            </c:numRef>
          </c:val>
        </c:ser>
        <c:firstSliceAng val="0"/>
      </c:pieChart>
      <c:spPr>
        <a:noFill/>
        <a:ln w="0">
          <a:noFill/>
        </a:ln>
      </c:spPr>
    </c:plotArea>
    <c:legend>
      <c:legendPos val="b"/>
      <c:overlay val="0"/>
      <c:spPr>
        <a:noFill/>
        <a:ln w="0">
          <a:noFill/>
        </a:ln>
      </c:spPr>
      <c:txPr>
        <a:bodyPr/>
        <a:lstStyle/>
        <a:p>
          <a:pPr>
            <a:defRPr sz="900" b="0" u="none" strike="noStrike">
              <a:solidFill>
                <a:srgbClr val="595959"/>
              </a:solidFill>
              <a:uFillTx/>
              <a:latin typeface="Calibri"/>
              <a:ea typeface="DejaVu Sans"/>
            </a:defRPr>
          </a:pPr>
        </a:p>
      </c:txPr>
    </c:legend>
    <c:plotVisOnly val="1"/>
    <c:dispBlanksAs val="zero"/>
  </c:chart>
  <c:spPr>
    <a:solidFill>
      <a:srgbClr val="FFFFFF"/>
    </a:solidFill>
    <a:ln w="9360">
      <a:solidFill>
        <a:srgbClr val="D9D9D9"/>
      </a:solidFill>
      <a:round/>
    </a:ln>
  </c:spPr>
</c:chartSpace>
</file>

<file path=xl/charts/chart27.xml><?xml version="1.0" encoding="utf-8"?>
<c:chartSpace xmlns:c="http://schemas.openxmlformats.org/drawingml/2006/chart" xmlns:a="http://schemas.openxmlformats.org/drawingml/2006/main" xmlns:r="http://schemas.openxmlformats.org/officeDocument/2006/relationships">
  <c:date1904 val="0"/>
  <c:lang val="en-US"/>
  <c:roundedCorners val="0"/>
  <c:chart>
    <c:title>
      <c:tx>
        <c:rich>
          <a:bodyPr rot="0"/>
          <a:lstStyle/>
          <a:p>
            <a:pPr>
              <a:defRPr sz="1300" b="0" u="none" strike="noStrike">
                <a:uFillTx/>
                <a:latin typeface="Arial"/>
              </a:defRPr>
            </a:pPr>
            <a:r>
              <a:rPr lang="en-US" sz="1400" b="1" u="none" strike="noStrike">
                <a:solidFill>
                  <a:schemeClr val="tx1">
                    <a:lumMod val="65000"/>
                    <a:lumOff val="35000"/>
                  </a:schemeClr>
                </a:solidFill>
                <a:uFillTx/>
                <a:latin typeface="Calibri"/>
                <a:ea typeface="DejaVu Sans"/>
              </a:rPr>
              <a:t>THÁNG</a:t>
            </a:r>
            <a:r>
              <a:rPr lang="en-US" sz="1400" b="1" u="none" strike="noStrike">
                <a:solidFill>
                  <a:schemeClr val="tx1">
                    <a:lumMod val="65000"/>
                    <a:lumOff val="35000"/>
                  </a:schemeClr>
                </a:solidFill>
                <a:uFillTx/>
                <a:latin typeface="Calibri"/>
                <a:ea typeface="DejaVu Sans"/>
              </a:rPr>
              <a:t> (6,7,8,9)</a:t>
            </a:r>
          </a:p>
        </c:rich>
      </c:tx>
      <c:overlay val="0"/>
      <c:spPr>
        <a:noFill/>
        <a:ln w="0">
          <a:noFill/>
        </a:ln>
      </c:spPr>
    </c:title>
    <c:autoTitleDeleted val="0"/>
    <c:plotArea>
      <c:pieChart>
        <c:varyColors val="1"/>
        <c:ser>
          <c:idx val="0"/>
          <c:order val="0"/>
          <c:tx>
            <c:strRef>
              <c:f>label 0</c:f>
              <c:strCache>
                <c:ptCount val="1"/>
                <c:pt idx="0">
                  <c:v>Series1</c:v>
                </c:pt>
              </c:strCache>
            </c:strRef>
          </c:tx>
          <c:spPr>
            <a:solidFill>
              <a:srgbClr val="A9CEDC"/>
            </a:solidFill>
            <a:ln w="0">
              <a:noFill/>
            </a:ln>
          </c:spPr>
          <c:explosion val="0"/>
          <c:dPt>
            <c:idx val="0"/>
            <c:spPr>
              <a:solidFill>
                <a:srgbClr val="4BACC6"/>
              </a:solidFill>
              <a:ln w="0">
                <a:noFill/>
              </a:ln>
            </c:spPr>
          </c:dPt>
          <c:dLbls>
            <c:dLbl>
              <c:idx val="0"/>
              <c:layout>
                <c:manualLayout>
                  <c:x val="-0.194463308679992"/>
                  <c:y val="-0.0100944152814232"/>
                </c:manualLayout>
              </c:layout>
              <c:numFmt formatCode="General" sourceLinked="0"/>
              <c:txPr>
                <a:bodyPr wrap="square"/>
                <a:lstStyle/>
                <a:p>
                  <a:pPr>
                    <a:defRPr sz="900" b="0" u="none" strike="noStrike">
                      <a:solidFill>
                        <a:srgbClr val="404040"/>
                      </a:solidFill>
                      <a:uFillTx/>
                      <a:latin typeface="Calibri"/>
                      <a:ea typeface="DejaVu Sans"/>
                    </a:defRPr>
                  </a:pPr>
                </a:p>
              </c:txPr>
              <c:dLblPos val="outEnd"/>
              <c:showLegendKey val="0"/>
              <c:showVal val="1"/>
              <c:showCatName val="0"/>
              <c:showSerName val="0"/>
              <c:showPercent val="0"/>
              <c:separator>; </c:separator>
            </c:dLbl>
            <c:numFmt formatCode="General" sourceLinked="0"/>
            <c:txPr>
              <a:bodyPr wrap="square"/>
              <a:lstStyle/>
              <a:p>
                <a:pPr>
                  <a:defRPr sz="900" b="0" u="none" strike="noStrike">
                    <a:solidFill>
                      <a:srgbClr val="404040"/>
                    </a:solidFill>
                    <a:uFillTx/>
                    <a:latin typeface="Calibri"/>
                    <a:ea typeface="DejaVu Sans"/>
                  </a:defRPr>
                </a:pPr>
              </a:p>
            </c:txPr>
            <c:dLblPos val="bestFit"/>
            <c:showLegendKey val="0"/>
            <c:showVal val="1"/>
            <c:showCatName val="0"/>
            <c:showSerName val="0"/>
            <c:showPercent val="0"/>
            <c:separator>; </c:separator>
            <c:showLeaderLines val="1"/>
            <c:leaderLines>
              <c:spPr>
                <a:ln w="0">
                  <a:solidFill>
                    <a:srgbClr val="A6A6A6"/>
                  </a:solidFill>
                </a:ln>
              </c:spPr>
            </c:leaderLines>
          </c:dLbls>
          <c:cat>
            <c:strRef>
              <c:f>categories</c:f>
              <c:strCache>
                <c:ptCount val="1"/>
                <c:pt idx="0">
                  <c:v>1</c:v>
                </c:pt>
              </c:strCache>
            </c:strRef>
          </c:cat>
          <c:val>
            <c:numRef>
              <c:f>0</c:f>
              <c:numCache>
                <c:formatCode>General</c:formatCode>
                <c:ptCount val="1"/>
                <c:pt idx="0">
                  <c:v>1</c:v>
                </c:pt>
              </c:numCache>
            </c:numRef>
          </c:val>
        </c:ser>
        <c:firstSliceAng val="0"/>
      </c:pieChart>
      <c:spPr>
        <a:noFill/>
        <a:ln w="0">
          <a:noFill/>
        </a:ln>
      </c:spPr>
    </c:plotArea>
    <c:legend>
      <c:legendPos val="b"/>
      <c:overlay val="0"/>
      <c:spPr>
        <a:noFill/>
        <a:ln w="0">
          <a:noFill/>
        </a:ln>
      </c:spPr>
      <c:txPr>
        <a:bodyPr/>
        <a:lstStyle/>
        <a:p>
          <a:pPr>
            <a:defRPr sz="900" b="0" u="none" strike="noStrike">
              <a:solidFill>
                <a:srgbClr val="595959"/>
              </a:solidFill>
              <a:uFillTx/>
              <a:latin typeface="Calibri"/>
              <a:ea typeface="DejaVu Sans"/>
            </a:defRPr>
          </a:pPr>
        </a:p>
      </c:txPr>
    </c:legend>
    <c:plotVisOnly val="1"/>
    <c:dispBlanksAs val="zero"/>
  </c:chart>
  <c:spPr>
    <a:solidFill>
      <a:srgbClr val="FFFFFF"/>
    </a:solidFill>
    <a:ln w="9360">
      <a:solidFill>
        <a:srgbClr val="D9D9D9"/>
      </a:solidFill>
      <a:round/>
    </a:ln>
  </c:spPr>
</c:chartSpace>
</file>

<file path=xl/charts/chart28.xml><?xml version="1.0" encoding="utf-8"?>
<c:chartSpace xmlns:c="http://schemas.openxmlformats.org/drawingml/2006/chart" xmlns:a="http://schemas.openxmlformats.org/drawingml/2006/main" xmlns:r="http://schemas.openxmlformats.org/officeDocument/2006/relationships">
  <c:date1904 val="0"/>
  <c:lang val="en-US"/>
  <c:roundedCorners val="0"/>
  <c:chart>
    <c:title>
      <c:tx>
        <c:rich>
          <a:bodyPr rot="0"/>
          <a:lstStyle/>
          <a:p>
            <a:pPr>
              <a:defRPr sz="1300" b="0" u="none" strike="noStrike">
                <a:uFillTx/>
                <a:latin typeface="Arial"/>
              </a:defRPr>
            </a:pPr>
            <a:r>
              <a:rPr lang="en-US" sz="1400" b="1" u="none" strike="noStrike">
                <a:solidFill>
                  <a:schemeClr val="tx1">
                    <a:lumMod val="65000"/>
                    <a:lumOff val="35000"/>
                  </a:schemeClr>
                </a:solidFill>
                <a:uFillTx/>
                <a:latin typeface="Calibri"/>
                <a:ea typeface="DejaVu Sans"/>
              </a:rPr>
              <a:t>THÁNG</a:t>
            </a:r>
            <a:r>
              <a:rPr lang="en-US" sz="1400" b="1" u="none" strike="noStrike">
                <a:solidFill>
                  <a:schemeClr val="tx1">
                    <a:lumMod val="65000"/>
                    <a:lumOff val="35000"/>
                  </a:schemeClr>
                </a:solidFill>
                <a:uFillTx/>
                <a:latin typeface="Calibri"/>
                <a:ea typeface="DejaVu Sans"/>
              </a:rPr>
              <a:t> (10,11,12)</a:t>
            </a:r>
          </a:p>
        </c:rich>
      </c:tx>
      <c:overlay val="0"/>
      <c:spPr>
        <a:noFill/>
        <a:ln w="0">
          <a:noFill/>
        </a:ln>
      </c:spPr>
    </c:title>
    <c:autoTitleDeleted val="0"/>
    <c:plotArea>
      <c:pieChart>
        <c:varyColors val="1"/>
        <c:ser>
          <c:idx val="0"/>
          <c:order val="0"/>
          <c:tx>
            <c:strRef>
              <c:f>label 0</c:f>
              <c:strCache>
                <c:ptCount val="1"/>
                <c:pt idx="0">
                  <c:v>Series1</c:v>
                </c:pt>
              </c:strCache>
            </c:strRef>
          </c:tx>
          <c:spPr>
            <a:solidFill>
              <a:srgbClr val="B5D4E0"/>
            </a:solidFill>
            <a:ln w="12600">
              <a:noFill/>
            </a:ln>
          </c:spPr>
          <c:explosion val="0"/>
          <c:dPt>
            <c:idx val="0"/>
            <c:spPr>
              <a:solidFill>
                <a:srgbClr val="3E8EA4"/>
              </a:solidFill>
              <a:ln w="19080">
                <a:noFill/>
              </a:ln>
            </c:spPr>
          </c:dPt>
          <c:dLbls>
            <c:dLbl>
              <c:idx val="0"/>
              <c:layout>
                <c:manualLayout>
                  <c:x val="-0.0368450898747174"/>
                  <c:y val="0.0155774278215223"/>
                </c:manualLayout>
              </c:layout>
              <c:numFmt formatCode="General" sourceLinked="0"/>
              <c:txPr>
                <a:bodyPr wrap="square"/>
                <a:lstStyle/>
                <a:p>
                  <a:pPr>
                    <a:defRPr sz="900" b="0" u="none" strike="noStrike">
                      <a:solidFill>
                        <a:srgbClr val="404040"/>
                      </a:solidFill>
                      <a:uFillTx/>
                      <a:latin typeface="Calibri"/>
                      <a:ea typeface="DejaVu Sans"/>
                    </a:defRPr>
                  </a:pPr>
                </a:p>
              </c:txPr>
              <c:dLblPos val="outEnd"/>
              <c:showLegendKey val="0"/>
              <c:showVal val="1"/>
              <c:showCatName val="0"/>
              <c:showSerName val="0"/>
              <c:showPercent val="0"/>
              <c:separator>; </c:separator>
            </c:dLbl>
            <c:numFmt formatCode="General" sourceLinked="0"/>
            <c:txPr>
              <a:bodyPr wrap="square"/>
              <a:lstStyle/>
              <a:p>
                <a:pPr>
                  <a:defRPr sz="900" b="0" u="none" strike="noStrike">
                    <a:solidFill>
                      <a:srgbClr val="404040"/>
                    </a:solidFill>
                    <a:uFillTx/>
                    <a:latin typeface="Calibri"/>
                    <a:ea typeface="DejaVu Sans"/>
                  </a:defRPr>
                </a:pPr>
              </a:p>
            </c:txPr>
            <c:dLblPos val="bestFit"/>
            <c:showLegendKey val="0"/>
            <c:showVal val="1"/>
            <c:showCatName val="0"/>
            <c:showSerName val="0"/>
            <c:showPercent val="0"/>
            <c:separator>; </c:separator>
            <c:showLeaderLines val="1"/>
            <c:leaderLines>
              <c:spPr>
                <a:ln w="0">
                  <a:solidFill>
                    <a:srgbClr val="A6A6A6"/>
                  </a:solidFill>
                </a:ln>
              </c:spPr>
            </c:leaderLines>
          </c:dLbls>
          <c:cat>
            <c:strRef>
              <c:f>categories</c:f>
              <c:strCache>
                <c:ptCount val="1"/>
                <c:pt idx="0">
                  <c:v>1</c:v>
                </c:pt>
              </c:strCache>
            </c:strRef>
          </c:cat>
          <c:val>
            <c:numRef>
              <c:f>0</c:f>
              <c:numCache>
                <c:formatCode>General</c:formatCode>
                <c:ptCount val="1"/>
                <c:pt idx="0">
                  <c:v>1</c:v>
                </c:pt>
              </c:numCache>
            </c:numRef>
          </c:val>
        </c:ser>
        <c:firstSliceAng val="0"/>
      </c:pieChart>
      <c:spPr>
        <a:noFill/>
        <a:ln w="0">
          <a:noFill/>
        </a:ln>
      </c:spPr>
    </c:plotArea>
    <c:legend>
      <c:legendPos val="b"/>
      <c:overlay val="0"/>
      <c:spPr>
        <a:noFill/>
        <a:ln w="0">
          <a:noFill/>
        </a:ln>
      </c:spPr>
      <c:txPr>
        <a:bodyPr/>
        <a:lstStyle/>
        <a:p>
          <a:pPr>
            <a:defRPr sz="900" b="0" u="none" strike="noStrike">
              <a:solidFill>
                <a:srgbClr val="595959"/>
              </a:solidFill>
              <a:uFillTx/>
              <a:latin typeface="Calibri"/>
              <a:ea typeface="DejaVu Sans"/>
            </a:defRPr>
          </a:pPr>
        </a:p>
      </c:txPr>
    </c:legend>
    <c:plotVisOnly val="1"/>
    <c:dispBlanksAs val="zero"/>
  </c:chart>
  <c:spPr>
    <a:solidFill>
      <a:srgbClr val="FFFFFF"/>
    </a:solidFill>
    <a:ln w="9360">
      <a:solidFill>
        <a:srgbClr val="D9D9D9"/>
      </a:solidFill>
      <a:round/>
    </a:ln>
  </c:spPr>
</c:chartSpace>
</file>

<file path=xl/charts/chart2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lang="en-US" sz="1400" b="1" u="none" strike="noStrike">
                <a:solidFill>
                  <a:schemeClr val="tx1">
                    <a:lumMod val="65000"/>
                    <a:lumOff val="35000"/>
                  </a:schemeClr>
                </a:solidFill>
                <a:uFillTx/>
                <a:latin typeface="Calibri"/>
                <a:ea typeface="DejaVu Sans"/>
              </a:rPr>
              <a:t>TỔNG</a:t>
            </a:r>
            <a:r>
              <a:rPr lang="en-US" sz="1400" b="1" u="none" strike="noStrike">
                <a:solidFill>
                  <a:schemeClr val="tx1">
                    <a:lumMod val="65000"/>
                    <a:lumOff val="35000"/>
                  </a:schemeClr>
                </a:solidFill>
                <a:uFillTx/>
                <a:latin typeface="Calibri"/>
                <a:ea typeface="DejaVu Sans"/>
              </a:rPr>
              <a:t> HỢP HỢP ĐỒNG</a:t>
            </a:r>
          </a:p>
        </c:rich>
      </c:tx>
      <c:overlay val="0"/>
      <c:spPr>
        <a:noFill/>
        <a:ln w="0">
          <a:noFill/>
        </a:ln>
      </c:spPr>
    </c:title>
    <c:autoTitleDeleted val="0"/>
    <c:plotArea>
      <c:barChart>
        <c:barDir val="col"/>
        <c:grouping val="stacked"/>
        <c:varyColors val="0"/>
        <c:ser>
          <c:idx val="0"/>
          <c:order val="0"/>
          <c:tx>
            <c:strRef>
              <c:f>'KH hieu chinh'!$B$46</c:f>
              <c:strCache>
                <c:ptCount val="1"/>
                <c:pt idx="0">
                  <c:v>KH năm</c:v>
                </c:pt>
              </c:strCache>
            </c:strRef>
          </c:tx>
          <c:spPr>
            <a:solidFill>
              <a:srgbClr val="4F81BD"/>
            </a:solidFill>
            <a:ln w="12600">
              <a:noFill/>
            </a:ln>
          </c:spPr>
          <c:invertIfNegative val="0"/>
          <c:dLbls>
            <c:numFmt formatCode="#,##0" sourceLinked="1"/>
            <c:txPr>
              <a:bodyPr wrap="square"/>
              <a:lstStyle/>
              <a:p>
                <a:pPr>
                  <a:defRPr sz="900" b="0" u="none" strike="noStrike">
                    <a:solidFill>
                      <a:srgbClr val="404040"/>
                    </a:solidFill>
                    <a:uFillTx/>
                    <a:latin typeface="Calibri"/>
                    <a:ea typeface="DejaVu Sans"/>
                  </a:defRPr>
                </a:pPr>
              </a:p>
            </c:txPr>
            <c:dLblPos val="ctr"/>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val>
            <c:numRef>
              <c:f>'KH hieu chinh'!$C$46:$E$46</c:f>
              <c:numCache>
                <c:formatCode>#,##0</c:formatCode>
                <c:ptCount val="3"/>
                <c:pt idx="0">
                  <c:v>10000000000</c:v>
                </c:pt>
              </c:numCache>
            </c:numRef>
          </c:val>
        </c:ser>
        <c:ser>
          <c:idx val="1"/>
          <c:order val="1"/>
          <c:tx>
            <c:strRef>
              <c:f>'KH hieu chinh'!$B$47</c:f>
              <c:strCache>
                <c:ptCount val="1"/>
                <c:pt idx="0">
                  <c:v>KH còn lại</c:v>
                </c:pt>
              </c:strCache>
            </c:strRef>
          </c:tx>
          <c:spPr>
            <a:solidFill>
              <a:srgbClr val="C0504D"/>
            </a:solidFill>
            <a:ln w="12600">
              <a:noFill/>
            </a:ln>
          </c:spPr>
          <c:invertIfNegative val="0"/>
          <c:dLbls>
            <c:numFmt formatCode="#,##0" sourceLinked="1"/>
            <c:txPr>
              <a:bodyPr wrap="square"/>
              <a:lstStyle/>
              <a:p>
                <a:pPr>
                  <a:defRPr sz="900" b="0" u="none" strike="noStrike">
                    <a:solidFill>
                      <a:srgbClr val="404040"/>
                    </a:solidFill>
                    <a:uFillTx/>
                    <a:latin typeface="Calibri"/>
                    <a:ea typeface="DejaVu Sans"/>
                  </a:defRPr>
                </a:pPr>
              </a:p>
            </c:txPr>
            <c:dLblPos val="ctr"/>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val>
            <c:numRef>
              <c:f>'KH hieu chinh'!$C$47:$E$47</c:f>
              <c:numCache>
                <c:formatCode>#,##0</c:formatCode>
                <c:ptCount val="3"/>
                <c:pt idx="1">
                  <c:v>10000000000</c:v>
                </c:pt>
              </c:numCache>
            </c:numRef>
          </c:val>
        </c:ser>
        <c:ser>
          <c:idx val="2"/>
          <c:order val="2"/>
          <c:tx>
            <c:strRef>
              <c:f>'KH hieu chinh'!$B$48</c:f>
              <c:strCache>
                <c:ptCount val="1"/>
                <c:pt idx="0">
                  <c:v>Thực tế (đạt)</c:v>
                </c:pt>
              </c:strCache>
            </c:strRef>
          </c:tx>
          <c:spPr>
            <a:solidFill>
              <a:srgbClr val="9BBB59"/>
            </a:solidFill>
            <a:ln w="12600">
              <a:noFill/>
            </a:ln>
          </c:spPr>
          <c:invertIfNegative val="0"/>
          <c:dLbls>
            <c:numFmt formatCode="#,##0" sourceLinked="1"/>
            <c:txPr>
              <a:bodyPr wrap="square"/>
              <a:lstStyle/>
              <a:p>
                <a:pPr>
                  <a:defRPr sz="900" b="0" u="none" strike="noStrike">
                    <a:solidFill>
                      <a:srgbClr val="404040"/>
                    </a:solidFill>
                    <a:uFillTx/>
                    <a:latin typeface="Calibri"/>
                    <a:ea typeface="DejaVu Sans"/>
                  </a:defRPr>
                </a:pPr>
              </a:p>
            </c:txPr>
            <c:dLblPos val="ctr"/>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val>
            <c:numRef>
              <c:f>'KH hieu chinh'!$C$48:$E$48</c:f>
              <c:numCache>
                <c:formatCode>#,##0</c:formatCode>
                <c:ptCount val="3"/>
                <c:pt idx="2">
                  <c:v>0</c:v>
                </c:pt>
              </c:numCache>
            </c:numRef>
          </c:val>
        </c:ser>
        <c:ser>
          <c:idx val="3"/>
          <c:order val="3"/>
          <c:tx>
            <c:strRef>
              <c:f>"Tổng dự kiến đạt được (Mức 1,2)"</c:f>
              <c:strCache>
                <c:ptCount val="1"/>
                <c:pt idx="0">
                  <c:v>Tổng dự kiến đạt được (Mức 1,2)</c:v>
                </c:pt>
              </c:strCache>
            </c:strRef>
          </c:tx>
          <c:spPr>
            <a:solidFill>
              <a:srgbClr val="8064A2"/>
            </a:solidFill>
            <a:ln w="12600">
              <a:noFill/>
            </a:ln>
          </c:spPr>
          <c:invertIfNegative val="0"/>
          <c:dLbls>
            <c:numFmt formatCode="#,##0" sourceLinked="1"/>
            <c:txPr>
              <a:bodyPr wrap="square"/>
              <a:lstStyle/>
              <a:p>
                <a:pPr>
                  <a:defRPr sz="900" b="0" u="none" strike="noStrike">
                    <a:solidFill>
                      <a:srgbClr val="404040"/>
                    </a:solidFill>
                    <a:uFillTx/>
                    <a:latin typeface="Calibri"/>
                    <a:ea typeface="DejaVu Sans"/>
                  </a:defRPr>
                </a:pPr>
              </a:p>
            </c:txPr>
            <c:dLblPos val="ctr"/>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val>
            <c:numRef>
              <c:f>'KH hieu chinh'!$C$50:$E$50</c:f>
              <c:numCache>
                <c:formatCode>#,##0</c:formatCode>
                <c:ptCount val="3"/>
                <c:pt idx="2">
                  <c:v>0</c:v>
                </c:pt>
              </c:numCache>
            </c:numRef>
          </c:val>
        </c:ser>
        <c:gapWidth val="150"/>
        <c:overlap val="100"/>
        <c:axId val="29251201"/>
        <c:axId val="2470483"/>
      </c:barChart>
      <c:catAx>
        <c:axId val="29251201"/>
        <c:scaling>
          <c:orientation val="minMax"/>
        </c:scaling>
        <c:delete val="1"/>
        <c:axPos val="b"/>
        <c:numFmt formatCode="General" sourceLinked="1"/>
        <c:majorTickMark val="none"/>
        <c:minorTickMark val="none"/>
        <c:tickLblPos val="none"/>
        <c:spPr>
          <a:ln w="9360">
            <a:solidFill>
              <a:srgbClr val="878787"/>
            </a:solidFill>
            <a:round/>
          </a:ln>
        </c:spPr>
        <c:txPr>
          <a:bodyPr/>
          <a:lstStyle/>
          <a:p>
            <a:pPr>
              <a:defRPr sz="1000" b="0" u="none" strike="noStrike">
                <a:solidFill>
                  <a:srgbClr val="000000"/>
                </a:solidFill>
                <a:uFillTx/>
                <a:latin typeface="Calibri"/>
                <a:ea typeface="DejaVu Sans"/>
              </a:defRPr>
            </a:pPr>
          </a:p>
        </c:txPr>
        <c:crossAx val="2470483"/>
        <c:auto val="1"/>
        <c:lblAlgn val="ctr"/>
        <c:lblOffset val="100"/>
        <c:noMultiLvlLbl val="0"/>
      </c:catAx>
      <c:valAx>
        <c:axId val="2470483"/>
        <c:scaling>
          <c:orientation val="minMax"/>
        </c:scaling>
        <c:delete val="0"/>
        <c:axPos val="l"/>
        <c:majorGridlines>
          <c:spPr>
            <a:ln w="9360">
              <a:solidFill>
                <a:srgbClr val="D9D9D9"/>
              </a:solidFill>
              <a:round/>
            </a:ln>
          </c:spPr>
        </c:majorGridlines>
        <c:numFmt formatCode="#,##0" sourceLinked="0"/>
        <c:majorTickMark val="none"/>
        <c:minorTickMark val="none"/>
        <c:tickLblPos val="nextTo"/>
        <c:spPr>
          <a:ln w="9360">
            <a:noFill/>
          </a:ln>
        </c:spPr>
        <c:txPr>
          <a:bodyPr/>
          <a:lstStyle/>
          <a:p>
            <a:pPr>
              <a:defRPr sz="900" b="0" u="none" strike="noStrike">
                <a:solidFill>
                  <a:srgbClr val="595959"/>
                </a:solidFill>
                <a:uFillTx/>
                <a:latin typeface="Calibri"/>
                <a:ea typeface="DejaVu Sans"/>
              </a:defRPr>
            </a:pPr>
          </a:p>
        </c:txPr>
        <c:crossAx val="29251201"/>
        <c:crosses val="autoZero"/>
        <c:crossBetween val="between"/>
      </c:valAx>
      <c:spPr>
        <a:noFill/>
        <a:ln w="0">
          <a:noFill/>
        </a:ln>
      </c:spPr>
    </c:plotArea>
    <c:legend>
      <c:legendPos val="b"/>
      <c:overlay val="0"/>
      <c:spPr>
        <a:noFill/>
        <a:ln w="0">
          <a:noFill/>
        </a:ln>
      </c:spPr>
      <c:txPr>
        <a:bodyPr/>
        <a:lstStyle/>
        <a:p>
          <a:pPr>
            <a:defRPr sz="900" b="0" u="none" strike="noStrike">
              <a:solidFill>
                <a:srgbClr val="595959"/>
              </a:solidFill>
              <a:uFillTx/>
              <a:latin typeface="Calibri"/>
              <a:ea typeface="DejaVu Sans"/>
            </a:defRPr>
          </a:pPr>
        </a:p>
      </c:txPr>
    </c:legend>
    <c:plotVisOnly val="1"/>
    <c:dispBlanksAs val="gap"/>
  </c:chart>
  <c:spPr>
    <a:solidFill>
      <a:srgbClr val="FFFFFF"/>
    </a:solidFill>
    <a:ln w="9360">
      <a:solidFill>
        <a:srgbClr val="D9D9D9"/>
      </a:solidFill>
      <a:round/>
    </a:ln>
  </c:spPr>
</c:chartSpace>
</file>

<file path=xl/charts/chart30.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barChart>
        <c:barDir val="col"/>
        <c:grouping val="clustered"/>
        <c:varyColors val="0"/>
        <c:ser>
          <c:idx val="0"/>
          <c:order val="0"/>
          <c:tx>
            <c:strRef>
              <c:f>"Kế hoạch"</c:f>
              <c:strCache>
                <c:ptCount val="1"/>
                <c:pt idx="0">
                  <c:v>Kế hoạch</c:v>
                </c:pt>
              </c:strCache>
            </c:strRef>
          </c:tx>
          <c:spPr>
            <a:solidFill>
              <a:srgbClr val="C77838"/>
            </a:solidFill>
            <a:ln w="12600">
              <a:noFill/>
            </a:ln>
          </c:spPr>
          <c:invertIfNegative val="0"/>
          <c:dPt>
            <c:idx val="1"/>
            <c:invertIfNegative val="0"/>
            <c:spPr>
              <a:solidFill>
                <a:srgbClr val="C77838"/>
              </a:solidFill>
              <a:ln w="12600">
                <a:noFill/>
              </a:ln>
            </c:spPr>
          </c:dPt>
          <c:dLbls>
            <c:dLbl>
              <c:idx val="1"/>
              <c:layout>
                <c:manualLayout>
                  <c:x val="-0.00956696000321984"/>
                  <c:y val="-0.0509259259259259"/>
                </c:manualLayout>
              </c:layout>
              <c:numFmt formatCode="_(* #,##0_);_(* \(#,##0\);_(* \-??_);_(@_)" sourceLinked="1"/>
              <c:txPr>
                <a:bodyPr wrap="square"/>
                <a:lstStyle/>
                <a:p>
                  <a:pPr>
                    <a:defRPr sz="900" b="0" u="none" strike="noStrike">
                      <a:solidFill>
                        <a:srgbClr val="404040"/>
                      </a:solidFill>
                      <a:uFillTx/>
                      <a:latin typeface="Calibri"/>
                      <a:ea typeface="DejaVu Sans"/>
                    </a:defRPr>
                  </a:pPr>
                </a:p>
              </c:txPr>
              <c:dLblPos val="outEnd"/>
              <c:showLegendKey val="0"/>
              <c:showVal val="1"/>
              <c:showCatName val="0"/>
              <c:showSerName val="0"/>
              <c:showPercent val="0"/>
              <c:separator>; </c:separator>
            </c:dLbl>
            <c:numFmt formatCode="_(* #,##0_);_(* \(#,##0\);_(* \-??_);_(@_)" sourceLinked="1"/>
            <c:txPr>
              <a:bodyPr wrap="square"/>
              <a:lstStyle/>
              <a:p>
                <a:pPr>
                  <a:defRPr sz="900" b="0" u="none" strike="noStrike">
                    <a:solidFill>
                      <a:srgbClr val="404040"/>
                    </a:solidFill>
                    <a:uFillTx/>
                    <a:latin typeface="Calibri"/>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'KH hieu chinh'!$B$35:$B$41</c:f>
              <c:strCache>
                <c:ptCount val="7"/>
                <c:pt idx="0">
                  <c:v>Tháng 06</c:v>
                </c:pt>
                <c:pt idx="1">
                  <c:v>Tháng 07</c:v>
                </c:pt>
                <c:pt idx="2">
                  <c:v>Tháng 08</c:v>
                </c:pt>
                <c:pt idx="3">
                  <c:v>Tháng 09</c:v>
                </c:pt>
                <c:pt idx="4">
                  <c:v>Tháng 10</c:v>
                </c:pt>
                <c:pt idx="5">
                  <c:v>Tháng 11</c:v>
                </c:pt>
                <c:pt idx="6">
                  <c:v>Tháng 12</c:v>
                </c:pt>
              </c:strCache>
            </c:strRef>
          </c:cat>
          <c:val>
            <c:numRef>
              <c:f>'KH hieu chinh'!$D$35:$D$41</c:f>
              <c:numCache>
                <c:formatCode>_(* #,##0_);_(* \(#,##0\);_(* \-??_);_(@_)</c:formatCode>
                <c:ptCount val="7"/>
                <c:pt idx="0">
                  <c:v>0</c:v>
                </c:pt>
                <c:pt idx="1">
                  <c:v>0</c:v>
                </c:pt>
                <c:pt idx="2">
                  <c:v>0</c:v>
                </c:pt>
                <c:pt idx="3">
                  <c:v>0</c:v>
                </c:pt>
                <c:pt idx="4">
                  <c:v>0</c:v>
                </c:pt>
                <c:pt idx="5">
                  <c:v>0</c:v>
                </c:pt>
                <c:pt idx="6">
                  <c:v>854990000</c:v>
                </c:pt>
              </c:numCache>
            </c:numRef>
          </c:val>
        </c:ser>
        <c:ser>
          <c:idx val="1"/>
          <c:order val="1"/>
          <c:tx>
            <c:strRef>
              <c:f>"Mức 1: Đạt 80-100%"</c:f>
              <c:strCache>
                <c:ptCount val="1"/>
                <c:pt idx="0">
                  <c:v>Mức 1: Đạt 80-100%</c:v>
                </c:pt>
              </c:strCache>
            </c:strRef>
          </c:tx>
          <c:spPr>
            <a:solidFill>
              <a:srgbClr val="F8B590"/>
            </a:solidFill>
            <a:ln w="12600">
              <a:noFill/>
            </a:ln>
          </c:spPr>
          <c:invertIfNegative val="0"/>
          <c:dPt>
            <c:idx val="0"/>
            <c:invertIfNegative val="0"/>
            <c:spPr>
              <a:solidFill>
                <a:srgbClr val="F8B590"/>
              </a:solidFill>
              <a:ln w="12600">
                <a:noFill/>
              </a:ln>
            </c:spPr>
          </c:dPt>
          <c:dPt>
            <c:idx val="1"/>
            <c:invertIfNegative val="0"/>
            <c:spPr>
              <a:solidFill>
                <a:srgbClr val="F8B590"/>
              </a:solidFill>
              <a:ln w="12600">
                <a:noFill/>
              </a:ln>
            </c:spPr>
          </c:dPt>
          <c:dLbls>
            <c:dLbl>
              <c:idx val="0"/>
              <c:layout>
                <c:manualLayout>
                  <c:x val="0.0396242463808313"/>
                  <c:y val="0.00925925925925926"/>
                </c:manualLayout>
              </c:layout>
              <c:numFmt formatCode="_(* #,##0_);_(* \(#,##0\);_(* \-??_);_(@_)" sourceLinked="1"/>
              <c:txPr>
                <a:bodyPr wrap="square"/>
                <a:lstStyle/>
                <a:p>
                  <a:pPr>
                    <a:defRPr sz="900" b="0" u="none" strike="noStrike">
                      <a:solidFill>
                        <a:srgbClr val="404040"/>
                      </a:solidFill>
                      <a:uFillTx/>
                      <a:latin typeface="Calibri"/>
                      <a:ea typeface="DejaVu Sans"/>
                    </a:defRPr>
                  </a:pPr>
                </a:p>
              </c:txPr>
              <c:dLblPos val="outEnd"/>
              <c:showLegendKey val="0"/>
              <c:showVal val="1"/>
              <c:showCatName val="0"/>
              <c:showSerName val="0"/>
              <c:showPercent val="0"/>
              <c:separator>; </c:separator>
            </c:dLbl>
            <c:dLbl>
              <c:idx val="1"/>
              <c:layout>
                <c:manualLayout>
                  <c:x val="0.0355344228691023"/>
                  <c:y val="-0.0277777777777778"/>
                </c:manualLayout>
              </c:layout>
              <c:numFmt formatCode="_(* #,##0_);_(* \(#,##0\);_(* \-??_);_(@_)" sourceLinked="1"/>
              <c:txPr>
                <a:bodyPr wrap="square"/>
                <a:lstStyle/>
                <a:p>
                  <a:pPr>
                    <a:defRPr sz="900" b="0" u="none" strike="noStrike">
                      <a:solidFill>
                        <a:srgbClr val="404040"/>
                      </a:solidFill>
                      <a:uFillTx/>
                      <a:latin typeface="Calibri"/>
                      <a:ea typeface="DejaVu Sans"/>
                    </a:defRPr>
                  </a:pPr>
                </a:p>
              </c:txPr>
              <c:dLblPos val="outEnd"/>
              <c:showLegendKey val="0"/>
              <c:showVal val="1"/>
              <c:showCatName val="0"/>
              <c:showSerName val="0"/>
              <c:showPercent val="0"/>
              <c:separator>; </c:separator>
            </c:dLbl>
            <c:numFmt formatCode="_(* #,##0_);_(* \(#,##0\);_(* \-??_);_(@_)" sourceLinked="1"/>
            <c:txPr>
              <a:bodyPr wrap="square"/>
              <a:lstStyle/>
              <a:p>
                <a:pPr>
                  <a:defRPr sz="900" b="0" u="none" strike="noStrike">
                    <a:solidFill>
                      <a:srgbClr val="404040"/>
                    </a:solidFill>
                    <a:uFillTx/>
                    <a:latin typeface="Calibri"/>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'KH hieu chinh'!$B$35:$B$41</c:f>
              <c:strCache>
                <c:ptCount val="7"/>
                <c:pt idx="0">
                  <c:v>Tháng 06</c:v>
                </c:pt>
                <c:pt idx="1">
                  <c:v>Tháng 07</c:v>
                </c:pt>
                <c:pt idx="2">
                  <c:v>Tháng 08</c:v>
                </c:pt>
                <c:pt idx="3">
                  <c:v>Tháng 09</c:v>
                </c:pt>
                <c:pt idx="4">
                  <c:v>Tháng 10</c:v>
                </c:pt>
                <c:pt idx="5">
                  <c:v>Tháng 11</c:v>
                </c:pt>
                <c:pt idx="6">
                  <c:v>Tháng 12</c:v>
                </c:pt>
              </c:strCache>
            </c:strRef>
          </c:cat>
          <c:val>
            <c:numRef>
              <c:f>'KH hieu chinh'!$H$35:$H$41</c:f>
              <c:numCache>
                <c:formatCode>_(* #,##0_);_(* \(#,##0\);_(* \-??_);_(@_)</c:formatCode>
                <c:ptCount val="7"/>
                <c:pt idx="0">
                  <c:v>0</c:v>
                </c:pt>
                <c:pt idx="1">
                  <c:v>0</c:v>
                </c:pt>
                <c:pt idx="2">
                  <c:v>0</c:v>
                </c:pt>
                <c:pt idx="3">
                  <c:v>0</c:v>
                </c:pt>
                <c:pt idx="4">
                  <c:v>0</c:v>
                </c:pt>
                <c:pt idx="5">
                  <c:v>0</c:v>
                </c:pt>
                <c:pt idx="6">
                  <c:v>854990000</c:v>
                </c:pt>
              </c:numCache>
            </c:numRef>
          </c:val>
        </c:ser>
        <c:ser>
          <c:idx val="2"/>
          <c:order val="2"/>
          <c:tx>
            <c:strRef>
              <c:f>"Mức 2: Đạt 50-79%"</c:f>
              <c:strCache>
                <c:ptCount val="1"/>
                <c:pt idx="0">
                  <c:v>Mức 2: Đạt 50-79%</c:v>
                </c:pt>
              </c:strCache>
            </c:strRef>
          </c:tx>
          <c:spPr>
            <a:solidFill>
              <a:srgbClr val="FAC6AD"/>
            </a:solidFill>
            <a:ln w="12600">
              <a:noFill/>
            </a:ln>
          </c:spPr>
          <c:invertIfNegative val="0"/>
          <c:dLbls>
            <c:txPr>
              <a:bodyPr wrap="square"/>
              <a:lstStyle/>
              <a:p>
                <a:pPr>
                  <a:defRPr sz="1000" b="0" u="none" strike="noStrike">
                    <a:solidFill>
                      <a:srgbClr val="000000"/>
                    </a:solidFill>
                    <a:uFillTx/>
                    <a:latin typeface="Calibri"/>
                    <a:ea typeface="DejaVu Sans"/>
                  </a:defRPr>
                </a:pPr>
              </a:p>
            </c:txPr>
            <c:dLblPos val="outEnd"/>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'KH hieu chinh'!$B$35:$B$41</c:f>
              <c:strCache>
                <c:ptCount val="7"/>
                <c:pt idx="0">
                  <c:v>Tháng 06</c:v>
                </c:pt>
                <c:pt idx="1">
                  <c:v>Tháng 07</c:v>
                </c:pt>
                <c:pt idx="2">
                  <c:v>Tháng 08</c:v>
                </c:pt>
                <c:pt idx="3">
                  <c:v>Tháng 09</c:v>
                </c:pt>
                <c:pt idx="4">
                  <c:v>Tháng 10</c:v>
                </c:pt>
                <c:pt idx="5">
                  <c:v>Tháng 11</c:v>
                </c:pt>
                <c:pt idx="6">
                  <c:v>Tháng 12</c:v>
                </c:pt>
              </c:strCache>
            </c:strRef>
          </c:cat>
          <c:val>
            <c:numRef>
              <c:f>'KH hieu chinh'!$I$35:$I$41</c:f>
              <c:numCache>
                <c:formatCode>_(* #,##0_);_(* \(#,##0\);_(* \-??_);_(@_)</c:formatCode>
                <c:ptCount val="7"/>
                <c:pt idx="0">
                  <c:v>0</c:v>
                </c:pt>
                <c:pt idx="1">
                  <c:v>0</c:v>
                </c:pt>
                <c:pt idx="2">
                  <c:v>0</c:v>
                </c:pt>
                <c:pt idx="3">
                  <c:v>0</c:v>
                </c:pt>
                <c:pt idx="4">
                  <c:v>0</c:v>
                </c:pt>
                <c:pt idx="5">
                  <c:v>0</c:v>
                </c:pt>
                <c:pt idx="6">
                  <c:v>0</c:v>
                </c:pt>
              </c:numCache>
            </c:numRef>
          </c:val>
        </c:ser>
        <c:ser>
          <c:idx val="3"/>
          <c:order val="3"/>
          <c:tx>
            <c:strRef>
              <c:f>"Mức 3: Dưới 50%"</c:f>
              <c:strCache>
                <c:ptCount val="1"/>
                <c:pt idx="0">
                  <c:v>Mức 3: Dưới 50%</c:v>
                </c:pt>
              </c:strCache>
            </c:strRef>
          </c:tx>
          <c:spPr>
            <a:solidFill>
              <a:srgbClr val="FBD7C6"/>
            </a:solidFill>
            <a:ln w="12600">
              <a:noFill/>
            </a:ln>
          </c:spPr>
          <c:invertIfNegative val="0"/>
          <c:dLbls>
            <c:txPr>
              <a:bodyPr wrap="square"/>
              <a:lstStyle/>
              <a:p>
                <a:pPr>
                  <a:defRPr sz="1000" b="0" u="none" strike="noStrike">
                    <a:solidFill>
                      <a:srgbClr val="000000"/>
                    </a:solidFill>
                    <a:uFillTx/>
                    <a:latin typeface="Calibri"/>
                    <a:ea typeface="DejaVu Sans"/>
                  </a:defRPr>
                </a:pPr>
              </a:p>
            </c:txPr>
            <c:dLblPos val="outEnd"/>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'KH hieu chinh'!$B$35:$B$41</c:f>
              <c:strCache>
                <c:ptCount val="7"/>
                <c:pt idx="0">
                  <c:v>Tháng 06</c:v>
                </c:pt>
                <c:pt idx="1">
                  <c:v>Tháng 07</c:v>
                </c:pt>
                <c:pt idx="2">
                  <c:v>Tháng 08</c:v>
                </c:pt>
                <c:pt idx="3">
                  <c:v>Tháng 09</c:v>
                </c:pt>
                <c:pt idx="4">
                  <c:v>Tháng 10</c:v>
                </c:pt>
                <c:pt idx="5">
                  <c:v>Tháng 11</c:v>
                </c:pt>
                <c:pt idx="6">
                  <c:v>Tháng 12</c:v>
                </c:pt>
              </c:strCache>
            </c:strRef>
          </c:cat>
          <c:val>
            <c:numRef>
              <c:f>'KH hieu chinh'!$J$35:$J$41</c:f>
              <c:numCache>
                <c:formatCode>_(* #,##0_);_(* \(#,##0\);_(* \-??_);_(@_)</c:formatCode>
                <c:ptCount val="7"/>
                <c:pt idx="0">
                  <c:v>0</c:v>
                </c:pt>
                <c:pt idx="1">
                  <c:v>0</c:v>
                </c:pt>
                <c:pt idx="2">
                  <c:v>0</c:v>
                </c:pt>
                <c:pt idx="3">
                  <c:v>0</c:v>
                </c:pt>
                <c:pt idx="4">
                  <c:v>0</c:v>
                </c:pt>
                <c:pt idx="5">
                  <c:v>0</c:v>
                </c:pt>
                <c:pt idx="6">
                  <c:v>0</c:v>
                </c:pt>
              </c:numCache>
            </c:numRef>
          </c:val>
        </c:ser>
        <c:gapWidth val="219"/>
        <c:overlap val="-27"/>
        <c:axId val="13159548"/>
        <c:axId val="88976097"/>
      </c:barChart>
      <c:catAx>
        <c:axId val="13159548"/>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sz="900" b="0" u="none" strike="noStrike">
                <a:solidFill>
                  <a:srgbClr val="595959"/>
                </a:solidFill>
                <a:uFillTx/>
                <a:latin typeface="Calibri"/>
                <a:ea typeface="DejaVu Sans"/>
              </a:defRPr>
            </a:pPr>
          </a:p>
        </c:txPr>
        <c:crossAx val="88976097"/>
        <c:crosses val="autoZero"/>
        <c:auto val="1"/>
        <c:lblAlgn val="ctr"/>
        <c:lblOffset val="100"/>
        <c:noMultiLvlLbl val="0"/>
      </c:catAx>
      <c:valAx>
        <c:axId val="88976097"/>
        <c:scaling>
          <c:orientation val="minMax"/>
        </c:scaling>
        <c:delete val="0"/>
        <c:axPos val="l"/>
        <c:majorGridlines>
          <c:spPr>
            <a:ln w="9360">
              <a:solidFill>
                <a:srgbClr val="D9D9D9"/>
              </a:solidFill>
              <a:round/>
            </a:ln>
          </c:spPr>
        </c:majorGridlines>
        <c:title>
          <c:tx>
            <c:rich>
              <a:bodyPr rot="-5400000"/>
              <a:lstStyle/>
              <a:p>
                <a:pPr>
                  <a:defRPr sz="1300" b="0" u="none" strike="noStrike">
                    <a:uFillTx/>
                    <a:latin typeface="Arial"/>
                  </a:defRPr>
                </a:pPr>
                <a:r>
                  <a:rPr lang="en-US" sz="1000" b="0" u="none" strike="noStrike">
                    <a:solidFill>
                      <a:schemeClr val="tx1">
                        <a:lumMod val="65000"/>
                        <a:lumOff val="35000"/>
                      </a:schemeClr>
                    </a:solidFill>
                    <a:uFillTx/>
                    <a:latin typeface="Calibri"/>
                    <a:ea typeface="DejaVu Sans"/>
                  </a:rPr>
                  <a:t>DOANH THU</a:t>
                </a:r>
              </a:p>
            </c:rich>
          </c:tx>
          <c:overlay val="0"/>
          <c:spPr>
            <a:noFill/>
            <a:ln w="0">
              <a:noFill/>
            </a:ln>
          </c:spPr>
        </c:title>
        <c:numFmt formatCode="_(* #,##0_);_(* \(#,##0\);_(* \-??_);_(@_)" sourceLinked="0"/>
        <c:majorTickMark val="none"/>
        <c:minorTickMark val="none"/>
        <c:tickLblPos val="nextTo"/>
        <c:spPr>
          <a:ln w="9360">
            <a:noFill/>
          </a:ln>
        </c:spPr>
        <c:txPr>
          <a:bodyPr/>
          <a:lstStyle/>
          <a:p>
            <a:pPr>
              <a:defRPr sz="900" b="0" u="none" strike="noStrike">
                <a:solidFill>
                  <a:srgbClr val="595959"/>
                </a:solidFill>
                <a:uFillTx/>
                <a:latin typeface="Calibri"/>
                <a:ea typeface="DejaVu Sans"/>
              </a:defRPr>
            </a:pPr>
          </a:p>
        </c:txPr>
        <c:crossAx val="13159548"/>
        <c:crosses val="autoZero"/>
        <c:crossBetween val="between"/>
      </c:valAx>
      <c:spPr>
        <a:noFill/>
        <a:ln w="0">
          <a:noFill/>
        </a:ln>
      </c:spPr>
    </c:plotArea>
    <c:legend>
      <c:legendPos val="b"/>
      <c:overlay val="0"/>
      <c:spPr>
        <a:noFill/>
        <a:ln w="0">
          <a:noFill/>
        </a:ln>
      </c:spPr>
      <c:txPr>
        <a:bodyPr/>
        <a:lstStyle/>
        <a:p>
          <a:pPr>
            <a:defRPr sz="900" b="0" u="none" strike="noStrike">
              <a:solidFill>
                <a:srgbClr val="595959"/>
              </a:solidFill>
              <a:uFillTx/>
              <a:latin typeface="Calibri"/>
              <a:ea typeface="DejaVu Sans"/>
            </a:defRPr>
          </a:pPr>
        </a:p>
      </c:txPr>
    </c:legend>
    <c:plotVisOnly val="1"/>
    <c:dispBlanksAs val="gap"/>
  </c:chart>
  <c:spPr>
    <a:solidFill>
      <a:srgbClr val="FFFFFF"/>
    </a:solidFill>
    <a:ln w="9360">
      <a:solidFill>
        <a:srgbClr val="D9D9D9"/>
      </a:solidFill>
      <a:round/>
    </a:ln>
  </c:spPr>
</c:chartSpace>
</file>

<file path=xl/charts/chart31.xml><?xml version="1.0" encoding="utf-8"?>
<c:chartSpace xmlns:c="http://schemas.openxmlformats.org/drawingml/2006/chart" xmlns:a="http://schemas.openxmlformats.org/drawingml/2006/main" xmlns:r="http://schemas.openxmlformats.org/officeDocument/2006/relationships">
  <c:date1904 val="0"/>
  <c:lang val="en-US"/>
  <c:roundedCorners val="0"/>
  <c:chart>
    <c:autoTitleDeleted val="1"/>
    <c:plotArea>
      <c:pieChart>
        <c:varyColors val="1"/>
        <c:ser>
          <c:idx val="0"/>
          <c:order val="0"/>
          <c:tx>
            <c:strRef>
              <c:f>label 0</c:f>
              <c:strCache>
                <c:ptCount val="1"/>
                <c:pt idx="0">
                  <c:v>Series1</c:v>
                </c:pt>
              </c:strCache>
            </c:strRef>
          </c:tx>
          <c:spPr>
            <a:solidFill>
              <a:srgbClr val="F8B590"/>
            </a:solidFill>
            <a:ln w="0">
              <a:noFill/>
            </a:ln>
          </c:spPr>
          <c:explosion val="0"/>
          <c:dPt>
            <c:idx val="0"/>
            <c:spPr>
              <a:solidFill>
                <a:srgbClr val="CC7C3A"/>
              </a:solidFill>
              <a:ln w="0">
                <a:noFill/>
              </a:ln>
            </c:spPr>
          </c:dPt>
          <c:dLbls>
            <c:dLbl>
              <c:idx val="0"/>
              <c:numFmt formatCode="General" sourceLinked="0"/>
              <c:txPr>
                <a:bodyPr wrap="square"/>
                <a:lstStyle/>
                <a:p>
                  <a:pPr>
                    <a:defRPr sz="900" b="0" u="none" strike="noStrike">
                      <a:solidFill>
                        <a:srgbClr val="404040"/>
                      </a:solidFill>
                      <a:uFillTx/>
                      <a:latin typeface="Calibri"/>
                      <a:ea typeface="DejaVu Sans"/>
                    </a:defRPr>
                  </a:pPr>
                </a:p>
              </c:txPr>
              <c:dLblPos val="bestFit"/>
              <c:showLegendKey val="0"/>
              <c:showVal val="1"/>
              <c:showCatName val="0"/>
              <c:showSerName val="0"/>
              <c:showPercent val="0"/>
              <c:separator>; </c:separator>
            </c:dLbl>
            <c:numFmt formatCode="General" sourceLinked="0"/>
            <c:txPr>
              <a:bodyPr wrap="square"/>
              <a:lstStyle/>
              <a:p>
                <a:pPr>
                  <a:defRPr sz="900" b="0" u="none" strike="noStrike">
                    <a:solidFill>
                      <a:srgbClr val="404040"/>
                    </a:solidFill>
                    <a:uFillTx/>
                    <a:latin typeface="Calibri"/>
                    <a:ea typeface="DejaVu Sans"/>
                  </a:defRPr>
                </a:pPr>
              </a:p>
            </c:txPr>
            <c:dLblPos val="bestFit"/>
            <c:showLegendKey val="0"/>
            <c:showVal val="1"/>
            <c:showCatName val="0"/>
            <c:showSerName val="0"/>
            <c:showPercent val="0"/>
            <c:separator>; </c:separator>
            <c:showLeaderLines val="1"/>
            <c:leaderLines>
              <c:spPr>
                <a:ln w="0">
                  <a:solidFill>
                    <a:srgbClr val="A6A6A6"/>
                  </a:solidFill>
                </a:ln>
              </c:spPr>
            </c:leaderLines>
          </c:dLbls>
          <c:cat>
            <c:strRef>
              <c:f>categories</c:f>
              <c:strCache>
                <c:ptCount val="1"/>
                <c:pt idx="0">
                  <c:v>1</c:v>
                </c:pt>
              </c:strCache>
            </c:strRef>
          </c:cat>
          <c:val>
            <c:numRef>
              <c:f>0</c:f>
              <c:numCache>
                <c:formatCode>General</c:formatCode>
                <c:ptCount val="1"/>
                <c:pt idx="0">
                  <c:v>1</c:v>
                </c:pt>
              </c:numCache>
            </c:numRef>
          </c:val>
        </c:ser>
        <c:firstSliceAng val="0"/>
      </c:pieChart>
      <c:spPr>
        <a:noFill/>
        <a:ln w="0">
          <a:noFill/>
        </a:ln>
      </c:spPr>
    </c:plotArea>
    <c:legend>
      <c:legendPos val="b"/>
      <c:overlay val="0"/>
      <c:spPr>
        <a:noFill/>
        <a:ln w="0">
          <a:noFill/>
        </a:ln>
      </c:spPr>
      <c:txPr>
        <a:bodyPr/>
        <a:lstStyle/>
        <a:p>
          <a:pPr>
            <a:defRPr sz="900" b="0" u="none" strike="noStrike">
              <a:solidFill>
                <a:srgbClr val="595959"/>
              </a:solidFill>
              <a:uFillTx/>
              <a:latin typeface="Calibri"/>
              <a:ea typeface="DejaVu Sans"/>
            </a:defRPr>
          </a:pPr>
        </a:p>
      </c:txPr>
    </c:legend>
    <c:plotVisOnly val="1"/>
    <c:dispBlanksAs val="zero"/>
  </c:chart>
  <c:spPr>
    <a:solidFill>
      <a:srgbClr val="FFFFFF"/>
    </a:solidFill>
    <a:ln w="9360">
      <a:solidFill>
        <a:srgbClr val="D9D9D9"/>
      </a:solidFill>
      <a:round/>
    </a:ln>
  </c:spPr>
</c:chartSpace>
</file>

<file path=xl/charts/chart32.xml><?xml version="1.0" encoding="utf-8"?>
<c:chartSpace xmlns:c="http://schemas.openxmlformats.org/drawingml/2006/chart" xmlns:a="http://schemas.openxmlformats.org/drawingml/2006/main" xmlns:r="http://schemas.openxmlformats.org/officeDocument/2006/relationships">
  <c:date1904 val="0"/>
  <c:lang val="en-US"/>
  <c:roundedCorners val="0"/>
  <c:chart>
    <c:title>
      <c:tx>
        <c:rich>
          <a:bodyPr rot="0"/>
          <a:lstStyle/>
          <a:p>
            <a:pPr>
              <a:defRPr sz="1300" b="0" u="none" strike="noStrike">
                <a:uFillTx/>
                <a:latin typeface="Arial"/>
              </a:defRPr>
            </a:pPr>
            <a:r>
              <a:rPr lang="en-US" sz="1400" b="1" u="none" strike="noStrike">
                <a:solidFill>
                  <a:schemeClr val="tx1">
                    <a:lumMod val="65000"/>
                    <a:lumOff val="35000"/>
                  </a:schemeClr>
                </a:solidFill>
                <a:uFillTx/>
                <a:latin typeface="Calibri"/>
                <a:ea typeface="DejaVu Sans"/>
              </a:rPr>
              <a:t>THÁNG</a:t>
            </a:r>
            <a:r>
              <a:rPr lang="en-US" sz="1400" b="1" u="none" strike="noStrike">
                <a:solidFill>
                  <a:schemeClr val="tx1">
                    <a:lumMod val="65000"/>
                    <a:lumOff val="35000"/>
                  </a:schemeClr>
                </a:solidFill>
                <a:uFillTx/>
                <a:latin typeface="Calibri"/>
                <a:ea typeface="DejaVu Sans"/>
              </a:rPr>
              <a:t> (6,7,8,9)</a:t>
            </a:r>
          </a:p>
        </c:rich>
      </c:tx>
      <c:overlay val="0"/>
      <c:spPr>
        <a:noFill/>
        <a:ln w="0">
          <a:noFill/>
        </a:ln>
      </c:spPr>
    </c:title>
    <c:autoTitleDeleted val="0"/>
    <c:plotArea>
      <c:pieChart>
        <c:varyColors val="1"/>
        <c:ser>
          <c:idx val="0"/>
          <c:order val="0"/>
          <c:tx>
            <c:strRef>
              <c:f>label 0</c:f>
              <c:strCache>
                <c:ptCount val="1"/>
                <c:pt idx="0">
                  <c:v>Series1</c:v>
                </c:pt>
              </c:strCache>
            </c:strRef>
          </c:tx>
          <c:spPr>
            <a:solidFill>
              <a:srgbClr val="FACFBB"/>
            </a:solidFill>
            <a:ln w="12600">
              <a:noFill/>
            </a:ln>
          </c:spPr>
          <c:explosion val="0"/>
          <c:dPt>
            <c:idx val="0"/>
            <c:spPr>
              <a:solidFill>
                <a:srgbClr val="CC7C3A"/>
              </a:solidFill>
              <a:ln w="19080">
                <a:noFill/>
              </a:ln>
            </c:spPr>
          </c:dPt>
          <c:dLbls>
            <c:dLbl>
              <c:idx val="0"/>
              <c:layout>
                <c:manualLayout>
                  <c:x val="-0.249310323500646"/>
                  <c:y val="-0.111944808982211"/>
                </c:manualLayout>
              </c:layout>
              <c:numFmt formatCode="General" sourceLinked="0"/>
              <c:txPr>
                <a:bodyPr wrap="square"/>
                <a:lstStyle/>
                <a:p>
                  <a:pPr>
                    <a:defRPr sz="900" b="0" u="none" strike="noStrike">
                      <a:solidFill>
                        <a:srgbClr val="404040"/>
                      </a:solidFill>
                      <a:uFillTx/>
                      <a:latin typeface="Calibri"/>
                      <a:ea typeface="DejaVu Sans"/>
                    </a:defRPr>
                  </a:pPr>
                </a:p>
              </c:txPr>
              <c:dLblPos val="outEnd"/>
              <c:showLegendKey val="0"/>
              <c:showVal val="1"/>
              <c:showCatName val="0"/>
              <c:showSerName val="0"/>
              <c:showPercent val="0"/>
              <c:separator>; </c:separator>
            </c:dLbl>
            <c:numFmt formatCode="General" sourceLinked="0"/>
            <c:txPr>
              <a:bodyPr wrap="square"/>
              <a:lstStyle/>
              <a:p>
                <a:pPr>
                  <a:defRPr sz="900" b="0" u="none" strike="noStrike">
                    <a:solidFill>
                      <a:srgbClr val="404040"/>
                    </a:solidFill>
                    <a:uFillTx/>
                    <a:latin typeface="Calibri"/>
                    <a:ea typeface="DejaVu Sans"/>
                  </a:defRPr>
                </a:pPr>
              </a:p>
            </c:txPr>
            <c:dLblPos val="bestFit"/>
            <c:showLegendKey val="0"/>
            <c:showVal val="1"/>
            <c:showCatName val="0"/>
            <c:showSerName val="0"/>
            <c:showPercent val="0"/>
            <c:separator>; </c:separator>
            <c:showLeaderLines val="1"/>
            <c:leaderLines>
              <c:spPr>
                <a:ln w="0">
                  <a:solidFill>
                    <a:srgbClr val="A6A6A6"/>
                  </a:solidFill>
                </a:ln>
              </c:spPr>
            </c:leaderLines>
          </c:dLbls>
          <c:cat>
            <c:strRef>
              <c:f>categories</c:f>
              <c:strCache>
                <c:ptCount val="1"/>
                <c:pt idx="0">
                  <c:v>1</c:v>
                </c:pt>
              </c:strCache>
            </c:strRef>
          </c:cat>
          <c:val>
            <c:numRef>
              <c:f>0</c:f>
              <c:numCache>
                <c:formatCode>General</c:formatCode>
                <c:ptCount val="1"/>
                <c:pt idx="0">
                  <c:v>1</c:v>
                </c:pt>
              </c:numCache>
            </c:numRef>
          </c:val>
        </c:ser>
        <c:firstSliceAng val="0"/>
      </c:pieChart>
      <c:spPr>
        <a:noFill/>
        <a:ln w="0">
          <a:noFill/>
        </a:ln>
      </c:spPr>
    </c:plotArea>
    <c:legend>
      <c:legendPos val="b"/>
      <c:overlay val="0"/>
      <c:spPr>
        <a:noFill/>
        <a:ln w="0">
          <a:noFill/>
        </a:ln>
      </c:spPr>
      <c:txPr>
        <a:bodyPr/>
        <a:lstStyle/>
        <a:p>
          <a:pPr>
            <a:defRPr sz="900" b="0" u="none" strike="noStrike">
              <a:solidFill>
                <a:srgbClr val="595959"/>
              </a:solidFill>
              <a:uFillTx/>
              <a:latin typeface="Calibri"/>
              <a:ea typeface="DejaVu Sans"/>
            </a:defRPr>
          </a:pPr>
        </a:p>
      </c:txPr>
    </c:legend>
    <c:plotVisOnly val="1"/>
    <c:dispBlanksAs val="zero"/>
  </c:chart>
  <c:spPr>
    <a:solidFill>
      <a:srgbClr val="FFFFFF"/>
    </a:solidFill>
    <a:ln w="9360">
      <a:solidFill>
        <a:srgbClr val="D9D9D9"/>
      </a:solidFill>
      <a:round/>
    </a:ln>
  </c:spPr>
</c:chartSpace>
</file>

<file path=xl/charts/chart33.xml><?xml version="1.0" encoding="utf-8"?>
<c:chartSpace xmlns:c="http://schemas.openxmlformats.org/drawingml/2006/chart" xmlns:a="http://schemas.openxmlformats.org/drawingml/2006/main" xmlns:r="http://schemas.openxmlformats.org/officeDocument/2006/relationships">
  <c:date1904 val="0"/>
  <c:lang val="en-US"/>
  <c:roundedCorners val="0"/>
  <c:chart>
    <c:title>
      <c:tx>
        <c:rich>
          <a:bodyPr rot="0"/>
          <a:lstStyle/>
          <a:p>
            <a:pPr>
              <a:defRPr sz="1300" b="0" u="none" strike="noStrike">
                <a:uFillTx/>
                <a:latin typeface="Arial"/>
              </a:defRPr>
            </a:pPr>
            <a:r>
              <a:rPr lang="en-US" sz="1400" b="1" u="none" strike="noStrike">
                <a:solidFill>
                  <a:schemeClr val="tx1">
                    <a:lumMod val="65000"/>
                    <a:lumOff val="35000"/>
                  </a:schemeClr>
                </a:solidFill>
                <a:uFillTx/>
                <a:latin typeface="Calibri"/>
                <a:ea typeface="DejaVu Sans"/>
              </a:rPr>
              <a:t>THÁNG</a:t>
            </a:r>
            <a:r>
              <a:rPr lang="en-US" sz="1400" b="1" u="none" strike="noStrike">
                <a:solidFill>
                  <a:schemeClr val="tx1">
                    <a:lumMod val="65000"/>
                    <a:lumOff val="35000"/>
                  </a:schemeClr>
                </a:solidFill>
                <a:uFillTx/>
                <a:latin typeface="Calibri"/>
                <a:ea typeface="DejaVu Sans"/>
              </a:rPr>
              <a:t> (10,11,12)</a:t>
            </a:r>
          </a:p>
        </c:rich>
      </c:tx>
      <c:overlay val="0"/>
      <c:spPr>
        <a:noFill/>
        <a:ln w="0">
          <a:noFill/>
        </a:ln>
      </c:spPr>
    </c:title>
    <c:autoTitleDeleted val="0"/>
    <c:plotArea>
      <c:pieChart>
        <c:varyColors val="1"/>
        <c:ser>
          <c:idx val="0"/>
          <c:order val="0"/>
          <c:tx>
            <c:strRef>
              <c:f>label 0</c:f>
              <c:strCache>
                <c:ptCount val="1"/>
                <c:pt idx="0">
                  <c:v>Series1</c:v>
                </c:pt>
              </c:strCache>
            </c:strRef>
          </c:tx>
          <c:spPr>
            <a:solidFill>
              <a:srgbClr val="FBD3C0"/>
            </a:solidFill>
            <a:ln w="12600">
              <a:noFill/>
            </a:ln>
          </c:spPr>
          <c:explosion val="0"/>
          <c:dPt>
            <c:idx val="0"/>
            <c:spPr>
              <a:solidFill>
                <a:srgbClr val="CC7C3A"/>
              </a:solidFill>
              <a:ln w="19080">
                <a:noFill/>
              </a:ln>
            </c:spPr>
          </c:dPt>
          <c:dLbls>
            <c:dLbl>
              <c:idx val="0"/>
              <c:layout>
                <c:manualLayout>
                  <c:x val="0.203796047859248"/>
                  <c:y val="0.0353342811315252"/>
                </c:manualLayout>
              </c:layout>
              <c:numFmt formatCode="General" sourceLinked="0"/>
              <c:txPr>
                <a:bodyPr wrap="square"/>
                <a:lstStyle/>
                <a:p>
                  <a:pPr>
                    <a:defRPr sz="900" b="0" u="none" strike="noStrike">
                      <a:solidFill>
                        <a:srgbClr val="404040"/>
                      </a:solidFill>
                      <a:uFillTx/>
                      <a:latin typeface="Calibri"/>
                      <a:ea typeface="DejaVu Sans"/>
                    </a:defRPr>
                  </a:pPr>
                </a:p>
              </c:txPr>
              <c:dLblPos val="outEnd"/>
              <c:showLegendKey val="0"/>
              <c:showVal val="1"/>
              <c:showCatName val="0"/>
              <c:showSerName val="0"/>
              <c:showPercent val="0"/>
              <c:separator>; </c:separator>
            </c:dLbl>
            <c:numFmt formatCode="General" sourceLinked="0"/>
            <c:txPr>
              <a:bodyPr wrap="square"/>
              <a:lstStyle/>
              <a:p>
                <a:pPr>
                  <a:defRPr sz="900" b="0" u="none" strike="noStrike">
                    <a:solidFill>
                      <a:srgbClr val="404040"/>
                    </a:solidFill>
                    <a:uFillTx/>
                    <a:latin typeface="Calibri"/>
                    <a:ea typeface="DejaVu Sans"/>
                  </a:defRPr>
                </a:pPr>
              </a:p>
            </c:txPr>
            <c:dLblPos val="bestFit"/>
            <c:showLegendKey val="0"/>
            <c:showVal val="1"/>
            <c:showCatName val="0"/>
            <c:showSerName val="0"/>
            <c:showPercent val="0"/>
            <c:separator>; </c:separator>
            <c:showLeaderLines val="1"/>
            <c:leaderLines>
              <c:spPr>
                <a:ln w="0">
                  <a:solidFill>
                    <a:srgbClr val="A6A6A6"/>
                  </a:solidFill>
                </a:ln>
              </c:spPr>
            </c:leaderLines>
          </c:dLbls>
          <c:cat>
            <c:strRef>
              <c:f>categories</c:f>
              <c:strCache>
                <c:ptCount val="1"/>
                <c:pt idx="0">
                  <c:v>1</c:v>
                </c:pt>
              </c:strCache>
            </c:strRef>
          </c:cat>
          <c:val>
            <c:numRef>
              <c:f>0</c:f>
              <c:numCache>
                <c:formatCode>General</c:formatCode>
                <c:ptCount val="1"/>
                <c:pt idx="0">
                  <c:v>1</c:v>
                </c:pt>
              </c:numCache>
            </c:numRef>
          </c:val>
        </c:ser>
        <c:firstSliceAng val="0"/>
      </c:pieChart>
      <c:spPr>
        <a:noFill/>
        <a:ln w="0">
          <a:noFill/>
        </a:ln>
      </c:spPr>
    </c:plotArea>
    <c:legend>
      <c:legendPos val="b"/>
      <c:overlay val="0"/>
      <c:spPr>
        <a:noFill/>
        <a:ln w="0">
          <a:noFill/>
        </a:ln>
      </c:spPr>
      <c:txPr>
        <a:bodyPr/>
        <a:lstStyle/>
        <a:p>
          <a:pPr>
            <a:defRPr sz="900" b="0" u="none" strike="noStrike">
              <a:solidFill>
                <a:srgbClr val="595959"/>
              </a:solidFill>
              <a:uFillTx/>
              <a:latin typeface="Calibri"/>
              <a:ea typeface="DejaVu Sans"/>
            </a:defRPr>
          </a:pPr>
        </a:p>
      </c:txPr>
    </c:legend>
    <c:plotVisOnly val="1"/>
    <c:dispBlanksAs val="zero"/>
  </c:chart>
  <c:spPr>
    <a:solidFill>
      <a:srgbClr val="FFFFFF"/>
    </a:solidFill>
    <a:ln w="9360">
      <a:solidFill>
        <a:srgbClr val="D9D9D9"/>
      </a:solidFill>
      <a:round/>
    </a:ln>
  </c:spPr>
</c:chartSpace>
</file>

<file path=xl/charts/chart3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lang="en-US" sz="1400" b="1" u="none" strike="noStrike">
                <a:solidFill>
                  <a:schemeClr val="tx1">
                    <a:lumMod val="65000"/>
                    <a:lumOff val="35000"/>
                  </a:schemeClr>
                </a:solidFill>
                <a:uFillTx/>
                <a:latin typeface="Calibri"/>
                <a:ea typeface="DejaVu Sans"/>
              </a:rPr>
              <a:t>TỔNG</a:t>
            </a:r>
            <a:r>
              <a:rPr lang="en-US" sz="1400" b="1" u="none" strike="noStrike">
                <a:solidFill>
                  <a:schemeClr val="tx1">
                    <a:lumMod val="65000"/>
                    <a:lumOff val="35000"/>
                  </a:schemeClr>
                </a:solidFill>
                <a:uFillTx/>
                <a:latin typeface="Calibri"/>
                <a:ea typeface="DejaVu Sans"/>
              </a:rPr>
              <a:t> HỢP DOANH THU</a:t>
            </a:r>
          </a:p>
        </c:rich>
      </c:tx>
      <c:overlay val="0"/>
      <c:spPr>
        <a:noFill/>
        <a:ln w="0">
          <a:noFill/>
        </a:ln>
      </c:spPr>
    </c:title>
    <c:autoTitleDeleted val="0"/>
    <c:plotArea>
      <c:barChart>
        <c:barDir val="col"/>
        <c:grouping val="stacked"/>
        <c:varyColors val="0"/>
        <c:ser>
          <c:idx val="0"/>
          <c:order val="0"/>
          <c:tx>
            <c:strRef>
              <c:f>'KH hieu chinh'!$B$46</c:f>
              <c:strCache>
                <c:ptCount val="1"/>
                <c:pt idx="0">
                  <c:v>KH năm</c:v>
                </c:pt>
              </c:strCache>
            </c:strRef>
          </c:tx>
          <c:spPr>
            <a:solidFill>
              <a:srgbClr val="8064A2"/>
            </a:solidFill>
            <a:ln w="12600">
              <a:noFill/>
            </a:ln>
          </c:spPr>
          <c:invertIfNegative val="0"/>
          <c:dLbls>
            <c:numFmt formatCode="#,##0" sourceLinked="1"/>
            <c:txPr>
              <a:bodyPr wrap="square"/>
              <a:lstStyle/>
              <a:p>
                <a:pPr>
                  <a:defRPr sz="900" b="0" u="none" strike="noStrike">
                    <a:solidFill>
                      <a:srgbClr val="404040"/>
                    </a:solidFill>
                    <a:uFillTx/>
                    <a:latin typeface="Calibri"/>
                    <a:ea typeface="DejaVu Sans"/>
                  </a:defRPr>
                </a:pPr>
              </a:p>
            </c:txPr>
            <c:dLblPos val="ctr"/>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val>
            <c:numRef>
              <c:f>'KH hieu chinh'!$F$46:$H$46</c:f>
              <c:numCache>
                <c:formatCode>#,##0</c:formatCode>
                <c:ptCount val="3"/>
                <c:pt idx="0">
                  <c:v>9000000000</c:v>
                </c:pt>
              </c:numCache>
            </c:numRef>
          </c:val>
        </c:ser>
        <c:ser>
          <c:idx val="1"/>
          <c:order val="1"/>
          <c:tx>
            <c:strRef>
              <c:f>'KH hieu chinh'!$B$47</c:f>
              <c:strCache>
                <c:ptCount val="1"/>
                <c:pt idx="0">
                  <c:v>KH còn lại</c:v>
                </c:pt>
              </c:strCache>
            </c:strRef>
          </c:tx>
          <c:spPr>
            <a:solidFill>
              <a:srgbClr val="4BACC6"/>
            </a:solidFill>
            <a:ln w="12600">
              <a:noFill/>
            </a:ln>
          </c:spPr>
          <c:invertIfNegative val="0"/>
          <c:dLbls>
            <c:numFmt formatCode="#,##0" sourceLinked="1"/>
            <c:txPr>
              <a:bodyPr wrap="square"/>
              <a:lstStyle/>
              <a:p>
                <a:pPr>
                  <a:defRPr sz="900" b="0" u="none" strike="noStrike">
                    <a:solidFill>
                      <a:srgbClr val="404040"/>
                    </a:solidFill>
                    <a:uFillTx/>
                    <a:latin typeface="Calibri"/>
                    <a:ea typeface="DejaVu Sans"/>
                  </a:defRPr>
                </a:pPr>
              </a:p>
            </c:txPr>
            <c:dLblPos val="ctr"/>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val>
            <c:numRef>
              <c:f>'KH hieu chinh'!$F$47:$H$47</c:f>
              <c:numCache>
                <c:formatCode>#,##0</c:formatCode>
                <c:ptCount val="3"/>
                <c:pt idx="1">
                  <c:v>9000000000</c:v>
                </c:pt>
              </c:numCache>
            </c:numRef>
          </c:val>
        </c:ser>
        <c:ser>
          <c:idx val="2"/>
          <c:order val="2"/>
          <c:tx>
            <c:strRef>
              <c:f>'KH hieu chinh'!$B$48</c:f>
              <c:strCache>
                <c:ptCount val="1"/>
                <c:pt idx="0">
                  <c:v>Thực tế (đạt)</c:v>
                </c:pt>
              </c:strCache>
            </c:strRef>
          </c:tx>
          <c:spPr>
            <a:solidFill>
              <a:srgbClr val="F79646"/>
            </a:solidFill>
            <a:ln w="12600">
              <a:noFill/>
            </a:ln>
          </c:spPr>
          <c:invertIfNegative val="0"/>
          <c:dLbls>
            <c:numFmt formatCode="#,##0" sourceLinked="1"/>
            <c:txPr>
              <a:bodyPr wrap="square"/>
              <a:lstStyle/>
              <a:p>
                <a:pPr>
                  <a:defRPr sz="900" b="0" u="none" strike="noStrike">
                    <a:solidFill>
                      <a:srgbClr val="404040"/>
                    </a:solidFill>
                    <a:uFillTx/>
                    <a:latin typeface="Calibri"/>
                    <a:ea typeface="DejaVu Sans"/>
                  </a:defRPr>
                </a:pPr>
              </a:p>
            </c:txPr>
            <c:dLblPos val="ctr"/>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val>
            <c:numRef>
              <c:f>'KH hieu chinh'!$F$48:$H$48</c:f>
              <c:numCache>
                <c:formatCode>#,##0</c:formatCode>
                <c:ptCount val="3"/>
                <c:pt idx="2">
                  <c:v>0</c:v>
                </c:pt>
              </c:numCache>
            </c:numRef>
          </c:val>
        </c:ser>
        <c:ser>
          <c:idx val="3"/>
          <c:order val="3"/>
          <c:tx>
            <c:strRef>
              <c:f>"Tổng dự kiến đạt được (Mức 1,2)"</c:f>
              <c:strCache>
                <c:ptCount val="1"/>
                <c:pt idx="0">
                  <c:v>Tổng dự kiến đạt được (Mức 1,2)</c:v>
                </c:pt>
              </c:strCache>
            </c:strRef>
          </c:tx>
          <c:spPr>
            <a:solidFill>
              <a:srgbClr val="4F81BD"/>
            </a:solidFill>
            <a:ln w="12600">
              <a:noFill/>
            </a:ln>
          </c:spPr>
          <c:invertIfNegative val="0"/>
          <c:dLbls>
            <c:numFmt formatCode="#,##0" sourceLinked="1"/>
            <c:txPr>
              <a:bodyPr wrap="square"/>
              <a:lstStyle/>
              <a:p>
                <a:pPr>
                  <a:defRPr sz="900" b="0" u="none" strike="noStrike">
                    <a:solidFill>
                      <a:srgbClr val="404040"/>
                    </a:solidFill>
                    <a:uFillTx/>
                    <a:latin typeface="Calibri"/>
                    <a:ea typeface="DejaVu Sans"/>
                  </a:defRPr>
                </a:pPr>
              </a:p>
            </c:txPr>
            <c:dLblPos val="ctr"/>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val>
            <c:numRef>
              <c:f>'KH hieu chinh'!$F$50:$H$50</c:f>
              <c:numCache>
                <c:formatCode>#,##0</c:formatCode>
                <c:ptCount val="3"/>
                <c:pt idx="2">
                  <c:v>854990000</c:v>
                </c:pt>
              </c:numCache>
            </c:numRef>
          </c:val>
        </c:ser>
        <c:gapWidth val="219"/>
        <c:overlap val="100"/>
        <c:axId val="56772880"/>
        <c:axId val="38818129"/>
      </c:barChart>
      <c:catAx>
        <c:axId val="56772880"/>
        <c:scaling>
          <c:orientation val="minMax"/>
        </c:scaling>
        <c:delete val="1"/>
        <c:axPos val="b"/>
        <c:numFmt formatCode="General" sourceLinked="1"/>
        <c:majorTickMark val="none"/>
        <c:minorTickMark val="none"/>
        <c:tickLblPos val="none"/>
        <c:spPr>
          <a:ln w="9360">
            <a:solidFill>
              <a:srgbClr val="878787"/>
            </a:solidFill>
            <a:round/>
          </a:ln>
        </c:spPr>
        <c:txPr>
          <a:bodyPr/>
          <a:lstStyle/>
          <a:p>
            <a:pPr>
              <a:defRPr sz="1000" b="0" u="none" strike="noStrike">
                <a:solidFill>
                  <a:srgbClr val="000000"/>
                </a:solidFill>
                <a:uFillTx/>
                <a:latin typeface="Calibri"/>
                <a:ea typeface="DejaVu Sans"/>
              </a:defRPr>
            </a:pPr>
          </a:p>
        </c:txPr>
        <c:crossAx val="38818129"/>
        <c:auto val="1"/>
        <c:lblAlgn val="ctr"/>
        <c:lblOffset val="100"/>
        <c:noMultiLvlLbl val="0"/>
      </c:catAx>
      <c:valAx>
        <c:axId val="38818129"/>
        <c:scaling>
          <c:orientation val="minMax"/>
        </c:scaling>
        <c:delete val="0"/>
        <c:axPos val="l"/>
        <c:majorGridlines>
          <c:spPr>
            <a:ln w="9360">
              <a:solidFill>
                <a:srgbClr val="D9D9D9"/>
              </a:solidFill>
              <a:round/>
            </a:ln>
          </c:spPr>
        </c:majorGridlines>
        <c:numFmt formatCode="#,##0" sourceLinked="0"/>
        <c:majorTickMark val="none"/>
        <c:minorTickMark val="none"/>
        <c:tickLblPos val="nextTo"/>
        <c:spPr>
          <a:ln w="9360">
            <a:noFill/>
          </a:ln>
        </c:spPr>
        <c:txPr>
          <a:bodyPr/>
          <a:lstStyle/>
          <a:p>
            <a:pPr>
              <a:defRPr sz="900" b="0" u="none" strike="noStrike">
                <a:solidFill>
                  <a:srgbClr val="595959"/>
                </a:solidFill>
                <a:uFillTx/>
                <a:latin typeface="Calibri"/>
                <a:ea typeface="DejaVu Sans"/>
              </a:defRPr>
            </a:pPr>
          </a:p>
        </c:txPr>
        <c:crossAx val="56772880"/>
        <c:crosses val="autoZero"/>
        <c:crossBetween val="between"/>
      </c:valAx>
      <c:spPr>
        <a:noFill/>
        <a:ln w="0">
          <a:noFill/>
        </a:ln>
      </c:spPr>
    </c:plotArea>
    <c:legend>
      <c:legendPos val="b"/>
      <c:overlay val="0"/>
      <c:spPr>
        <a:noFill/>
        <a:ln w="0">
          <a:noFill/>
        </a:ln>
      </c:spPr>
      <c:txPr>
        <a:bodyPr/>
        <a:lstStyle/>
        <a:p>
          <a:pPr>
            <a:defRPr sz="900" b="0" u="none" strike="noStrike">
              <a:solidFill>
                <a:srgbClr val="595959"/>
              </a:solidFill>
              <a:uFillTx/>
              <a:latin typeface="Calibri"/>
              <a:ea typeface="DejaVu Sans"/>
            </a:defRPr>
          </a:pPr>
        </a:p>
      </c:txPr>
    </c:legend>
    <c:plotVisOnly val="1"/>
    <c:dispBlanksAs val="gap"/>
  </c:chart>
  <c:spPr>
    <a:solidFill>
      <a:srgbClr val="FFFFFF"/>
    </a:solidFill>
    <a:ln w="9360">
      <a:solidFill>
        <a:srgbClr val="D9D9D9"/>
      </a:solidFill>
      <a:round/>
    </a:ln>
  </c:spPr>
</c:chartSpace>
</file>

<file path=xl/charts/chart3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lang="en-US" sz="1400" b="0" u="none" strike="noStrike">
                <a:solidFill>
                  <a:schemeClr val="tx1">
                    <a:lumMod val="65000"/>
                    <a:lumOff val="35000"/>
                  </a:schemeClr>
                </a:solidFill>
                <a:uFillTx/>
                <a:latin typeface="Calibri"/>
                <a:ea typeface="DejaVu Sans"/>
              </a:rPr>
              <a:t>Doanh</a:t>
            </a:r>
            <a:r>
              <a:rPr lang="en-US" sz="1400" b="0" u="none" strike="noStrike">
                <a:solidFill>
                  <a:schemeClr val="tx1">
                    <a:lumMod val="65000"/>
                    <a:lumOff val="35000"/>
                  </a:schemeClr>
                </a:solidFill>
                <a:uFillTx/>
                <a:latin typeface="Calibri"/>
                <a:ea typeface="DejaVu Sans"/>
              </a:rPr>
              <a:t> thu</a:t>
            </a:r>
          </a:p>
        </c:rich>
      </c:tx>
      <c:overlay val="0"/>
      <c:spPr>
        <a:noFill/>
        <a:ln w="0">
          <a:noFill/>
        </a:ln>
      </c:spPr>
    </c:title>
    <c:autoTitleDeleted val="0"/>
    <c:plotArea>
      <c:pieChart>
        <c:varyColors val="1"/>
        <c:ser>
          <c:idx val="0"/>
          <c:order val="0"/>
          <c:spPr>
            <a:solidFill>
              <a:srgbClr val="4F81BD"/>
            </a:solidFill>
            <a:ln w="12600">
              <a:noFill/>
            </a:ln>
          </c:spPr>
          <c:explosion val="0"/>
          <c:dPt>
            <c:idx val="0"/>
            <c:spPr>
              <a:solidFill>
                <a:srgbClr val="4F81BD"/>
              </a:solidFill>
              <a:ln w="19080">
                <a:noFill/>
              </a:ln>
            </c:spPr>
          </c:dPt>
          <c:dPt>
            <c:idx val="1"/>
            <c:spPr>
              <a:solidFill>
                <a:srgbClr val="9BBB59"/>
              </a:solidFill>
              <a:ln w="19080">
                <a:noFill/>
              </a:ln>
            </c:spPr>
          </c:dPt>
          <c:dLbls>
            <c:dLbl>
              <c:idx val="0"/>
              <c:layout>
                <c:manualLayout>
                  <c:x val="-0.116666666666667"/>
                  <c:y val="0.00979184893554968"/>
                </c:manualLayout>
              </c:layout>
              <c:numFmt formatCode="General" sourceLinked="1"/>
              <c:txPr>
                <a:bodyPr wrap="square"/>
                <a:lstStyle/>
                <a:p>
                  <a:pPr>
                    <a:defRPr sz="900" b="0" u="none" strike="noStrike">
                      <a:solidFill>
                        <a:srgbClr val="404040"/>
                      </a:solidFill>
                      <a:uFillTx/>
                      <a:latin typeface="Calibri"/>
                      <a:ea typeface="DejaVu Sans"/>
                    </a:defRPr>
                  </a:pPr>
                </a:p>
              </c:txPr>
              <c:dLblPos val="outEnd"/>
              <c:showLegendKey val="0"/>
              <c:showVal val="1"/>
              <c:showCatName val="0"/>
              <c:showSerName val="0"/>
              <c:showPercent val="0"/>
              <c:separator>; </c:separator>
            </c:dLbl>
            <c:dLbl>
              <c:idx val="1"/>
              <c:layout>
                <c:manualLayout>
                  <c:x val="0.102777777777778"/>
                  <c:y val="-0.0501370662000584"/>
                </c:manualLayout>
              </c:layout>
              <c:numFmt formatCode="General" sourceLinked="1"/>
              <c:txPr>
                <a:bodyPr wrap="square"/>
                <a:lstStyle/>
                <a:p>
                  <a:pPr>
                    <a:defRPr sz="900" b="0" u="none" strike="noStrike">
                      <a:solidFill>
                        <a:srgbClr val="404040"/>
                      </a:solidFill>
                      <a:uFillTx/>
                      <a:latin typeface="Calibri"/>
                      <a:ea typeface="DejaVu Sans"/>
                    </a:defRPr>
                  </a:pPr>
                </a:p>
              </c:txPr>
              <c:dLblPos val="outEnd"/>
              <c:showLegendKey val="0"/>
              <c:showVal val="1"/>
              <c:showCatName val="0"/>
              <c:showSerName val="0"/>
              <c:showPercent val="0"/>
              <c:separator>; </c:separator>
            </c:dLbl>
            <c:numFmt formatCode="General" sourceLinked="1"/>
            <c:txPr>
              <a:bodyPr wrap="square"/>
              <a:lstStyle/>
              <a:p>
                <a:pPr>
                  <a:defRPr sz="900" b="0" u="none" strike="noStrike">
                    <a:solidFill>
                      <a:srgbClr val="404040"/>
                    </a:solidFill>
                    <a:uFillTx/>
                    <a:latin typeface="Calibri"/>
                    <a:ea typeface="DejaVu Sans"/>
                  </a:defRPr>
                </a:pPr>
              </a:p>
            </c:txPr>
            <c:dLblPos val="bestFit"/>
            <c:showLegendKey val="0"/>
            <c:showVal val="1"/>
            <c:showCatName val="0"/>
            <c:showSerName val="0"/>
            <c:showPercent val="0"/>
            <c:separator>; </c:separator>
            <c:showLeaderLines val="1"/>
            <c:leaderLines>
              <c:spPr>
                <a:ln w="0">
                  <a:solidFill>
                    <a:srgbClr val="A6A6A6"/>
                  </a:solidFill>
                </a:ln>
              </c:spPr>
            </c:leaderLines>
          </c:dLbls>
          <c:cat>
            <c:strRef>
              <c:f>BaoCaoQuy!$P$36:$Q$36</c:f>
              <c:strCache>
                <c:ptCount val="2"/>
                <c:pt idx="0">
                  <c:v/>
                </c:pt>
                <c:pt idx="1">
                  <c:v/>
                </c:pt>
              </c:strCache>
            </c:strRef>
          </c:cat>
          <c:val>
            <c:numRef>
              <c:f>BaoCaoQuy!$P$37:$Q$37</c:f>
              <c:numCache>
                <c:formatCode>General</c:formatCode>
                <c:ptCount val="2"/>
              </c:numCache>
            </c:numRef>
          </c:val>
        </c:ser>
        <c:firstSliceAng val="0"/>
      </c:pieChart>
      <c:spPr>
        <a:noFill/>
        <a:ln w="0">
          <a:noFill/>
        </a:ln>
      </c:spPr>
    </c:plotArea>
    <c:legend>
      <c:legendPos val="b"/>
      <c:overlay val="0"/>
      <c:spPr>
        <a:noFill/>
        <a:ln w="0">
          <a:noFill/>
        </a:ln>
      </c:spPr>
      <c:txPr>
        <a:bodyPr/>
        <a:lstStyle/>
        <a:p>
          <a:pPr>
            <a:defRPr sz="900" b="0" u="none" strike="noStrike">
              <a:solidFill>
                <a:srgbClr val="595959"/>
              </a:solidFill>
              <a:uFillTx/>
              <a:latin typeface="Calibri"/>
              <a:ea typeface="DejaVu Sans"/>
            </a:defRPr>
          </a:pPr>
        </a:p>
      </c:txPr>
    </c:legend>
    <c:plotVisOnly val="1"/>
    <c:dispBlanksAs val="zero"/>
  </c:chart>
  <c:spPr>
    <a:solidFill>
      <a:srgbClr val="FFFFFF"/>
    </a:solidFill>
    <a:ln w="9360">
      <a:solidFill>
        <a:srgbClr val="D9D9D9"/>
      </a:solidFill>
      <a:round/>
    </a:ln>
  </c:spPr>
</c:chartSpace>
</file>

<file path=xl/charts/chart3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lang="en-US" sz="1600" b="1" u="none" strike="noStrike">
                <a:solidFill>
                  <a:schemeClr val="tx2"/>
                </a:solidFill>
                <a:uFillTx/>
                <a:latin typeface="Calibri"/>
                <a:ea typeface="DejaVu Sans"/>
              </a:rPr>
              <a:t>HỢP ĐỒNG</a:t>
            </a:r>
          </a:p>
        </c:rich>
      </c:tx>
      <c:overlay val="0"/>
      <c:spPr>
        <a:noFill/>
        <a:ln w="0">
          <a:noFill/>
        </a:ln>
      </c:spPr>
    </c:title>
    <c:autoTitleDeleted val="0"/>
    <c:plotArea>
      <c:barChart>
        <c:barDir val="col"/>
        <c:grouping val="clustered"/>
        <c:varyColors val="0"/>
        <c:ser>
          <c:idx val="0"/>
          <c:order val="0"/>
          <c:tx>
            <c:strRef>
              <c:f>"Kế hoạch"</c:f>
              <c:strCache>
                <c:ptCount val="1"/>
                <c:pt idx="0">
                  <c:v>Kế hoạch</c:v>
                </c:pt>
              </c:strCache>
            </c:strRef>
          </c:tx>
          <c:spPr>
            <a:gradFill>
              <a:gsLst>
                <a:gs pos="0">
                  <a:srgbClr val="3E7FCC"/>
                </a:gs>
                <a:gs pos="100000">
                  <a:srgbClr val="A4C1FF"/>
                </a:gs>
              </a:gsLst>
              <a:lin ang="16200000"/>
            </a:gradFill>
            <a:ln w="12600">
              <a:noFill/>
            </a:ln>
          </c:spPr>
          <c:invertIfNegative val="0"/>
          <c:dPt>
            <c:idx val="0"/>
            <c:invertIfNegative val="0"/>
            <c:spPr>
              <a:gradFill>
                <a:gsLst>
                  <a:gs pos="0">
                    <a:srgbClr val="3E7FCC"/>
                  </a:gs>
                  <a:gs pos="100000">
                    <a:srgbClr val="A4C1FF"/>
                  </a:gs>
                </a:gsLst>
                <a:lin ang="16200000"/>
              </a:gradFill>
              <a:ln w="12600">
                <a:noFill/>
              </a:ln>
            </c:spPr>
          </c:dPt>
          <c:dPt>
            <c:idx val="1"/>
            <c:invertIfNegative val="0"/>
            <c:spPr>
              <a:gradFill>
                <a:gsLst>
                  <a:gs pos="0">
                    <a:srgbClr val="3E7FCC"/>
                  </a:gs>
                  <a:gs pos="100000">
                    <a:srgbClr val="A4C1FF"/>
                  </a:gs>
                </a:gsLst>
                <a:lin ang="16200000"/>
              </a:gradFill>
              <a:ln w="12600">
                <a:noFill/>
              </a:ln>
            </c:spPr>
          </c:dPt>
          <c:dLbls>
            <c:dLbl>
              <c:idx val="0"/>
              <c:layout>
                <c:manualLayout>
                  <c:x val="-2.45813012073521E-017"/>
                  <c:y val="-0.0235221448491828"/>
                </c:manualLayout>
              </c:layout>
              <c:numFmt formatCode="#,##0" sourceLinked="1"/>
              <c:txPr>
                <a:bodyPr wrap="square"/>
                <a:lstStyle/>
                <a:p>
                  <a:pPr>
                    <a:defRPr sz="900" b="0" u="none" strike="noStrike">
                      <a:solidFill>
                        <a:srgbClr val="1F497D"/>
                      </a:solidFill>
                      <a:uFillTx/>
                      <a:latin typeface="Calibri"/>
                      <a:ea typeface="DejaVu Sans"/>
                    </a:defRPr>
                  </a:pPr>
                </a:p>
              </c:txPr>
              <c:dLblPos val="outEnd"/>
              <c:showLegendKey val="0"/>
              <c:showVal val="1"/>
              <c:showCatName val="0"/>
              <c:showSerName val="0"/>
              <c:showPercent val="0"/>
              <c:separator>; </c:separator>
            </c:dLbl>
            <c:dLbl>
              <c:idx val="1"/>
              <c:layout>
                <c:manualLayout>
                  <c:x val="0.0268162747337904"/>
                  <c:y val="0"/>
                </c:manualLayout>
              </c:layout>
              <c:numFmt formatCode="#,##0" sourceLinked="1"/>
              <c:txPr>
                <a:bodyPr wrap="square"/>
                <a:lstStyle/>
                <a:p>
                  <a:pPr>
                    <a:defRPr sz="900" b="0" u="none" strike="noStrike">
                      <a:solidFill>
                        <a:srgbClr val="1F497D"/>
                      </a:solidFill>
                      <a:uFillTx/>
                      <a:latin typeface="Calibri"/>
                      <a:ea typeface="DejaVu Sans"/>
                    </a:defRPr>
                  </a:pPr>
                </a:p>
              </c:txPr>
              <c:dLblPos val="outEnd"/>
              <c:showLegendKey val="0"/>
              <c:showVal val="1"/>
              <c:showCatName val="0"/>
              <c:showSerName val="0"/>
              <c:showPercent val="0"/>
              <c:separator>; </c:separator>
            </c:dLbl>
            <c:numFmt formatCode="#,##0" sourceLinked="1"/>
            <c:txPr>
              <a:bodyPr wrap="square"/>
              <a:lstStyle/>
              <a:p>
                <a:pPr>
                  <a:defRPr sz="900" b="0" u="none" strike="noStrike">
                    <a:solidFill>
                      <a:srgbClr val="1F497D"/>
                    </a:solidFill>
                    <a:uFillTx/>
                    <a:latin typeface="Calibri"/>
                    <a:ea typeface="DejaVu Sans"/>
                  </a:defRPr>
                </a:pPr>
              </a:p>
            </c:txPr>
            <c:dLblPos val="outEnd"/>
            <c:showLegendKey val="0"/>
            <c:showVal val="1"/>
            <c:showCatName val="0"/>
            <c:showSerName val="0"/>
            <c:showPercent val="0"/>
            <c:separator>; </c:separator>
            <c:showLeaderLines val="0"/>
            <c:extLst>
              <c:ext xmlns:c15="http://schemas.microsoft.com/office/drawing/2012/chart" uri="{CE6537A1-D6FC-4f65-9D91-7224C49458BB}">
                <c15:showLeaderLines val="0"/>
              </c:ext>
            </c:extLst>
          </c:dLbls>
          <c:cat>
            <c:strRef>
              <c:f>BaoCaoQuy!$A$37:$A$39</c:f>
              <c:strCache>
                <c:ptCount val="3"/>
                <c:pt idx="0">
                  <c:v>ITO</c:v>
                </c:pt>
                <c:pt idx="1">
                  <c:v>UNI</c:v>
                </c:pt>
                <c:pt idx="2">
                  <c:v>G2B</c:v>
                </c:pt>
              </c:strCache>
            </c:strRef>
          </c:cat>
          <c:val>
            <c:numRef>
              <c:f>BaoCaoQuy!$B$37:$B$39</c:f>
              <c:numCache>
                <c:formatCode>#,##0</c:formatCode>
                <c:ptCount val="3"/>
                <c:pt idx="0">
                  <c:v>11400000000</c:v>
                </c:pt>
                <c:pt idx="1">
                  <c:v>10100000000</c:v>
                </c:pt>
                <c:pt idx="2">
                  <c:v>10000000000</c:v>
                </c:pt>
              </c:numCache>
            </c:numRef>
          </c:val>
        </c:ser>
        <c:ser>
          <c:idx val="1"/>
          <c:order val="1"/>
          <c:tx>
            <c:strRef>
              <c:f>"Thực tế"</c:f>
              <c:strCache>
                <c:ptCount val="1"/>
                <c:pt idx="0">
                  <c:v>Thực tế</c:v>
                </c:pt>
              </c:strCache>
            </c:strRef>
          </c:tx>
          <c:spPr>
            <a:gradFill>
              <a:gsLst>
                <a:gs pos="0">
                  <a:srgbClr val="7E5AAA"/>
                </a:gs>
                <a:gs pos="100000">
                  <a:srgbClr val="C7AEED"/>
                </a:gs>
              </a:gsLst>
              <a:lin ang="16200000"/>
            </a:gradFill>
            <a:ln w="12600">
              <a:noFill/>
            </a:ln>
          </c:spPr>
          <c:invertIfNegative val="0"/>
          <c:dPt>
            <c:idx val="0"/>
            <c:invertIfNegative val="0"/>
            <c:spPr>
              <a:gradFill>
                <a:gsLst>
                  <a:gs pos="0">
                    <a:srgbClr val="7E5AAA"/>
                  </a:gs>
                  <a:gs pos="100000">
                    <a:srgbClr val="C7AEED"/>
                  </a:gs>
                </a:gsLst>
                <a:lin ang="16200000"/>
              </a:gradFill>
              <a:ln w="12600">
                <a:noFill/>
              </a:ln>
            </c:spPr>
          </c:dPt>
          <c:dPt>
            <c:idx val="1"/>
            <c:invertIfNegative val="0"/>
            <c:spPr>
              <a:gradFill>
                <a:gsLst>
                  <a:gs pos="0">
                    <a:srgbClr val="7E5AAA"/>
                  </a:gs>
                  <a:gs pos="100000">
                    <a:srgbClr val="C7AEED"/>
                  </a:gs>
                </a:gsLst>
                <a:lin ang="16200000"/>
              </a:gradFill>
              <a:ln w="12600">
                <a:noFill/>
              </a:ln>
            </c:spPr>
          </c:dPt>
          <c:dPt>
            <c:idx val="2"/>
            <c:invertIfNegative val="0"/>
            <c:spPr>
              <a:gradFill>
                <a:gsLst>
                  <a:gs pos="0">
                    <a:srgbClr val="7E5AAA"/>
                  </a:gs>
                  <a:gs pos="100000">
                    <a:srgbClr val="C7AEED"/>
                  </a:gs>
                </a:gsLst>
                <a:lin ang="16200000"/>
              </a:gradFill>
              <a:ln w="12600">
                <a:noFill/>
              </a:ln>
            </c:spPr>
          </c:dPt>
          <c:dLbls>
            <c:dLbl>
              <c:idx val="0"/>
              <c:layout>
                <c:manualLayout>
                  <c:x val="0.0151597448951124"/>
                  <c:y val="0"/>
                </c:manualLayout>
              </c:layout>
              <c:numFmt formatCode="_(* #,##0_);_(* \(#,##0\);_(* \-??_);_(@_)" sourceLinked="1"/>
              <c:txPr>
                <a:bodyPr wrap="square"/>
                <a:lstStyle/>
                <a:p>
                  <a:pPr>
                    <a:defRPr sz="900" b="0" u="none" strike="noStrike">
                      <a:solidFill>
                        <a:srgbClr val="FF0000"/>
                      </a:solidFill>
                      <a:uFillTx/>
                      <a:latin typeface="Calibri"/>
                      <a:ea typeface="DejaVu Sans"/>
                    </a:defRPr>
                  </a:pPr>
                </a:p>
              </c:txPr>
              <c:dLblPos val="outEnd"/>
              <c:showLegendKey val="0"/>
              <c:showVal val="1"/>
              <c:showCatName val="0"/>
              <c:showSerName val="0"/>
              <c:showPercent val="0"/>
              <c:separator>; </c:separator>
            </c:dLbl>
            <c:dLbl>
              <c:idx val="1"/>
              <c:layout>
                <c:manualLayout>
                  <c:x val="0.00960849143535387"/>
                  <c:y val="0"/>
                </c:manualLayout>
              </c:layout>
              <c:numFmt formatCode="_(* #,##0_);_(* \(#,##0\);_(* \-??_);_(@_)" sourceLinked="1"/>
              <c:txPr>
                <a:bodyPr wrap="square"/>
                <a:lstStyle/>
                <a:p>
                  <a:pPr>
                    <a:defRPr sz="900" b="0" u="none" strike="noStrike">
                      <a:solidFill>
                        <a:srgbClr val="FF0000"/>
                      </a:solidFill>
                      <a:uFillTx/>
                      <a:latin typeface="Calibri"/>
                      <a:ea typeface="DejaVu Sans"/>
                    </a:defRPr>
                  </a:pPr>
                </a:p>
              </c:txPr>
              <c:dLblPos val="outEnd"/>
              <c:showLegendKey val="0"/>
              <c:showVal val="1"/>
              <c:showCatName val="0"/>
              <c:showSerName val="0"/>
              <c:showPercent val="0"/>
              <c:separator>; </c:separator>
            </c:dLbl>
            <c:dLbl>
              <c:idx val="2"/>
              <c:layout>
                <c:manualLayout>
                  <c:x val="0.01424439886853"/>
                  <c:y val="0"/>
                </c:manualLayout>
              </c:layout>
              <c:numFmt formatCode="_(* #,##0_);_(* \(#,##0\);_(* \-??_);_(@_)" sourceLinked="1"/>
              <c:txPr>
                <a:bodyPr wrap="square"/>
                <a:lstStyle/>
                <a:p>
                  <a:pPr>
                    <a:defRPr sz="900" b="0" u="none" strike="noStrike">
                      <a:solidFill>
                        <a:srgbClr val="FF0000"/>
                      </a:solidFill>
                      <a:uFillTx/>
                      <a:latin typeface="Calibri"/>
                      <a:ea typeface="DejaVu Sans"/>
                    </a:defRPr>
                  </a:pPr>
                </a:p>
              </c:txPr>
              <c:dLblPos val="outEnd"/>
              <c:showLegendKey val="0"/>
              <c:showVal val="1"/>
              <c:showCatName val="0"/>
              <c:showSerName val="0"/>
              <c:showPercent val="0"/>
              <c:separator>; </c:separator>
            </c:dLbl>
            <c:numFmt formatCode="_(* #,##0_);_(* \(#,##0\);_(* \-??_);_(@_)" sourceLinked="1"/>
            <c:txPr>
              <a:bodyPr wrap="square"/>
              <a:lstStyle/>
              <a:p>
                <a:pPr>
                  <a:defRPr sz="900" b="0" u="none" strike="noStrike">
                    <a:solidFill>
                      <a:srgbClr val="FF0000"/>
                    </a:solidFill>
                    <a:uFillTx/>
                    <a:latin typeface="Calibri"/>
                    <a:ea typeface="DejaVu Sans"/>
                  </a:defRPr>
                </a:pPr>
              </a:p>
            </c:txPr>
            <c:dLblPos val="outEnd"/>
            <c:showLegendKey val="0"/>
            <c:showVal val="1"/>
            <c:showCatName val="0"/>
            <c:showSerName val="0"/>
            <c:showPercent val="0"/>
            <c:separator>; </c:separator>
            <c:showLeaderLines val="0"/>
            <c:extLst>
              <c:ext xmlns:c15="http://schemas.microsoft.com/office/drawing/2012/chart" uri="{CE6537A1-D6FC-4f65-9D91-7224C49458BB}">
                <c15:showLeaderLines val="0"/>
              </c:ext>
            </c:extLst>
          </c:dLbls>
          <c:cat>
            <c:strRef>
              <c:f>BaoCaoQuy!$A$37:$A$39</c:f>
              <c:strCache>
                <c:ptCount val="3"/>
                <c:pt idx="0">
                  <c:v>ITO</c:v>
                </c:pt>
                <c:pt idx="1">
                  <c:v>UNI</c:v>
                </c:pt>
                <c:pt idx="2">
                  <c:v>G2B</c:v>
                </c:pt>
              </c:strCache>
            </c:strRef>
          </c:cat>
          <c:val>
            <c:numRef>
              <c:f>BaoCaoQuy!$E$37:$E$39</c:f>
              <c:numCache>
                <c:formatCode>_(* #,##0_);_(* \(#,##0\);_(* \-??_);_(@_)</c:formatCode>
                <c:ptCount val="3"/>
                <c:pt idx="0">
                  <c:v>0</c:v>
                </c:pt>
                <c:pt idx="1">
                  <c:v>0</c:v>
                </c:pt>
                <c:pt idx="2">
                  <c:v>0</c:v>
                </c:pt>
              </c:numCache>
            </c:numRef>
          </c:val>
        </c:ser>
        <c:gapWidth val="100"/>
        <c:overlap val="-24"/>
        <c:axId val="87272682"/>
        <c:axId val="38139754"/>
      </c:barChart>
      <c:catAx>
        <c:axId val="87272682"/>
        <c:scaling>
          <c:orientation val="minMax"/>
        </c:scaling>
        <c:delete val="0"/>
        <c:axPos val="b"/>
        <c:numFmt formatCode="General" sourceLinked="0"/>
        <c:majorTickMark val="none"/>
        <c:minorTickMark val="none"/>
        <c:tickLblPos val="nextTo"/>
        <c:spPr>
          <a:ln w="9360">
            <a:solidFill>
              <a:srgbClr val="D4E3F4"/>
            </a:solidFill>
            <a:round/>
          </a:ln>
        </c:spPr>
        <c:txPr>
          <a:bodyPr/>
          <a:lstStyle/>
          <a:p>
            <a:pPr>
              <a:defRPr sz="900" b="0" u="none" strike="noStrike">
                <a:solidFill>
                  <a:srgbClr val="1F497D"/>
                </a:solidFill>
                <a:uFillTx/>
                <a:latin typeface="Calibri"/>
                <a:ea typeface="DejaVu Sans"/>
              </a:defRPr>
            </a:pPr>
          </a:p>
        </c:txPr>
        <c:crossAx val="38139754"/>
        <c:crosses val="autoZero"/>
        <c:auto val="1"/>
        <c:lblAlgn val="ctr"/>
        <c:lblOffset val="100"/>
        <c:noMultiLvlLbl val="0"/>
      </c:catAx>
      <c:valAx>
        <c:axId val="38139754"/>
        <c:scaling>
          <c:orientation val="minMax"/>
        </c:scaling>
        <c:delete val="0"/>
        <c:axPos val="l"/>
        <c:majorGridlines>
          <c:spPr>
            <a:ln w="9360">
              <a:solidFill>
                <a:srgbClr val="D4E3F4"/>
              </a:solidFill>
              <a:round/>
            </a:ln>
          </c:spPr>
        </c:majorGridlines>
        <c:numFmt formatCode="#,##0" sourceLinked="0"/>
        <c:majorTickMark val="none"/>
        <c:minorTickMark val="none"/>
        <c:tickLblPos val="nextTo"/>
        <c:spPr>
          <a:ln w="9360">
            <a:noFill/>
          </a:ln>
        </c:spPr>
        <c:txPr>
          <a:bodyPr/>
          <a:lstStyle/>
          <a:p>
            <a:pPr>
              <a:defRPr sz="900" b="0" u="none" strike="noStrike">
                <a:solidFill>
                  <a:srgbClr val="1F497D"/>
                </a:solidFill>
                <a:uFillTx/>
                <a:latin typeface="Calibri"/>
                <a:ea typeface="DejaVu Sans"/>
              </a:defRPr>
            </a:pPr>
          </a:p>
        </c:txPr>
        <c:crossAx val="87272682"/>
        <c:crosses val="autoZero"/>
        <c:crossBetween val="between"/>
      </c:valAx>
      <c:spPr>
        <a:noFill/>
        <a:ln w="0">
          <a:noFill/>
        </a:ln>
      </c:spPr>
    </c:plotArea>
    <c:legend>
      <c:legendPos val="b"/>
      <c:overlay val="0"/>
      <c:spPr>
        <a:noFill/>
        <a:ln w="0">
          <a:noFill/>
        </a:ln>
      </c:spPr>
      <c:txPr>
        <a:bodyPr/>
        <a:lstStyle/>
        <a:p>
          <a:pPr>
            <a:defRPr sz="900" b="0" u="none" strike="noStrike">
              <a:solidFill>
                <a:srgbClr val="1F497D"/>
              </a:solidFill>
              <a:uFillTx/>
              <a:latin typeface="Calibri"/>
              <a:ea typeface="DejaVu Sans"/>
            </a:defRPr>
          </a:pPr>
        </a:p>
      </c:txPr>
    </c:legend>
    <c:plotVisOnly val="1"/>
    <c:dispBlanksAs val="gap"/>
  </c:chart>
  <c:spPr>
    <a:solidFill>
      <a:srgbClr val="FFFFFF"/>
    </a:solidFill>
    <a:ln w="9360">
      <a:solidFill>
        <a:srgbClr val="D4E3F4"/>
      </a:solidFill>
      <a:round/>
    </a:ln>
  </c:spPr>
</c:chartSpace>
</file>

<file path=xl/charts/chart3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lang="en-US" sz="1600" b="1" u="none" strike="noStrike">
                <a:solidFill>
                  <a:schemeClr val="tx2"/>
                </a:solidFill>
                <a:uFillTx/>
                <a:latin typeface="Calibri"/>
                <a:ea typeface="DejaVu Sans"/>
              </a:rPr>
              <a:t>DOANH THU</a:t>
            </a:r>
          </a:p>
        </c:rich>
      </c:tx>
      <c:overlay val="0"/>
      <c:spPr>
        <a:noFill/>
        <a:ln w="0">
          <a:noFill/>
        </a:ln>
      </c:spPr>
    </c:title>
    <c:autoTitleDeleted val="0"/>
    <c:plotArea>
      <c:barChart>
        <c:barDir val="col"/>
        <c:grouping val="clustered"/>
        <c:varyColors val="0"/>
        <c:ser>
          <c:idx val="0"/>
          <c:order val="0"/>
          <c:tx>
            <c:strRef>
              <c:f>"Kế hoạch"</c:f>
              <c:strCache>
                <c:ptCount val="1"/>
                <c:pt idx="0">
                  <c:v>Kế hoạch</c:v>
                </c:pt>
              </c:strCache>
            </c:strRef>
          </c:tx>
          <c:spPr>
            <a:gradFill>
              <a:gsLst>
                <a:gs pos="0">
                  <a:srgbClr val="FFA963"/>
                </a:gs>
                <a:gs pos="100000">
                  <a:srgbClr val="FFD9C4"/>
                </a:gs>
              </a:gsLst>
              <a:lin ang="16200000"/>
            </a:gradFill>
            <a:ln w="12600">
              <a:noFill/>
            </a:ln>
          </c:spPr>
          <c:invertIfNegative val="0"/>
          <c:dPt>
            <c:idx val="0"/>
            <c:invertIfNegative val="0"/>
            <c:spPr>
              <a:gradFill>
                <a:gsLst>
                  <a:gs pos="0">
                    <a:srgbClr val="FFA963"/>
                  </a:gs>
                  <a:gs pos="100000">
                    <a:srgbClr val="FFD9C4"/>
                  </a:gs>
                </a:gsLst>
                <a:lin ang="16200000"/>
              </a:gradFill>
              <a:ln w="12600">
                <a:noFill/>
              </a:ln>
            </c:spPr>
          </c:dPt>
          <c:dPt>
            <c:idx val="1"/>
            <c:invertIfNegative val="0"/>
            <c:spPr>
              <a:gradFill>
                <a:gsLst>
                  <a:gs pos="0">
                    <a:srgbClr val="FFA963"/>
                  </a:gs>
                  <a:gs pos="100000">
                    <a:srgbClr val="FFD9C4"/>
                  </a:gs>
                </a:gsLst>
                <a:lin ang="16200000"/>
              </a:gradFill>
              <a:ln w="12600">
                <a:noFill/>
              </a:ln>
            </c:spPr>
          </c:dPt>
          <c:dPt>
            <c:idx val="2"/>
            <c:invertIfNegative val="0"/>
            <c:spPr>
              <a:gradFill>
                <a:gsLst>
                  <a:gs pos="0">
                    <a:srgbClr val="FFA963"/>
                  </a:gs>
                  <a:gs pos="100000">
                    <a:srgbClr val="FFD9C4"/>
                  </a:gs>
                </a:gsLst>
                <a:lin ang="16200000"/>
              </a:gradFill>
              <a:ln w="12600">
                <a:noFill/>
              </a:ln>
            </c:spPr>
          </c:dPt>
          <c:dLbls>
            <c:dLbl>
              <c:idx val="0"/>
              <c:layout>
                <c:manualLayout>
                  <c:x val="0.00257553256233651"/>
                  <c:y val="-0.00593343960435149"/>
                </c:manualLayout>
              </c:layout>
              <c:numFmt formatCode="#,##0" sourceLinked="1"/>
              <c:txPr>
                <a:bodyPr wrap="square"/>
                <a:lstStyle/>
                <a:p>
                  <a:pPr>
                    <a:defRPr sz="900" b="0" u="none" strike="noStrike">
                      <a:solidFill>
                        <a:srgbClr val="1F497D"/>
                      </a:solidFill>
                      <a:uFillTx/>
                      <a:latin typeface="Calibri"/>
                      <a:ea typeface="DejaVu Sans"/>
                    </a:defRPr>
                  </a:pPr>
                </a:p>
              </c:txPr>
              <c:dLblPos val="outEnd"/>
              <c:showLegendKey val="0"/>
              <c:showVal val="1"/>
              <c:showCatName val="0"/>
              <c:showSerName val="0"/>
              <c:showPercent val="0"/>
              <c:separator>; </c:separator>
            </c:dLbl>
            <c:dLbl>
              <c:idx val="1"/>
              <c:layout>
                <c:manualLayout>
                  <c:x val="-0.00257553256233651"/>
                  <c:y val="0.00575852051593761"/>
                </c:manualLayout>
              </c:layout>
              <c:numFmt formatCode="#,##0" sourceLinked="1"/>
              <c:txPr>
                <a:bodyPr wrap="square"/>
                <a:lstStyle/>
                <a:p>
                  <a:pPr>
                    <a:defRPr sz="900" b="0" u="none" strike="noStrike">
                      <a:solidFill>
                        <a:srgbClr val="1F497D"/>
                      </a:solidFill>
                      <a:uFillTx/>
                      <a:latin typeface="Calibri"/>
                      <a:ea typeface="DejaVu Sans"/>
                    </a:defRPr>
                  </a:pPr>
                </a:p>
              </c:txPr>
              <c:dLblPos val="outEnd"/>
              <c:showLegendKey val="0"/>
              <c:showVal val="1"/>
              <c:showCatName val="0"/>
              <c:showSerName val="0"/>
              <c:showPercent val="0"/>
              <c:separator>; </c:separator>
            </c:dLbl>
            <c:dLbl>
              <c:idx val="2"/>
              <c:layout>
                <c:manualLayout>
                  <c:x val="-0.00257553256233651"/>
                  <c:y val="-8.74595442069137E-005"/>
                </c:manualLayout>
              </c:layout>
              <c:numFmt formatCode="#,##0" sourceLinked="1"/>
              <c:txPr>
                <a:bodyPr wrap="square"/>
                <a:lstStyle/>
                <a:p>
                  <a:pPr>
                    <a:defRPr sz="900" b="0" u="none" strike="noStrike">
                      <a:solidFill>
                        <a:srgbClr val="1F497D"/>
                      </a:solidFill>
                      <a:uFillTx/>
                      <a:latin typeface="Calibri"/>
                      <a:ea typeface="DejaVu Sans"/>
                    </a:defRPr>
                  </a:pPr>
                </a:p>
              </c:txPr>
              <c:dLblPos val="outEnd"/>
              <c:showLegendKey val="0"/>
              <c:showVal val="1"/>
              <c:showCatName val="0"/>
              <c:showSerName val="0"/>
              <c:showPercent val="0"/>
              <c:separator>; </c:separator>
            </c:dLbl>
            <c:numFmt formatCode="#,##0" sourceLinked="1"/>
            <c:txPr>
              <a:bodyPr wrap="square"/>
              <a:lstStyle/>
              <a:p>
                <a:pPr>
                  <a:defRPr sz="900" b="0" u="none" strike="noStrike">
                    <a:solidFill>
                      <a:srgbClr val="1F497D"/>
                    </a:solidFill>
                    <a:uFillTx/>
                    <a:latin typeface="Calibri"/>
                    <a:ea typeface="DejaVu Sans"/>
                  </a:defRPr>
                </a:pPr>
              </a:p>
            </c:txPr>
            <c:dLblPos val="inEnd"/>
            <c:showLegendKey val="0"/>
            <c:showVal val="1"/>
            <c:showCatName val="0"/>
            <c:showSerName val="0"/>
            <c:showPercent val="0"/>
            <c:separator>; </c:separator>
            <c:showLeaderLines val="0"/>
            <c:extLst>
              <c:ext xmlns:c15="http://schemas.microsoft.com/office/drawing/2012/chart" uri="{CE6537A1-D6FC-4f65-9D91-7224C49458BB}">
                <c15:showLeaderLines val="0"/>
              </c:ext>
            </c:extLst>
          </c:dLbls>
          <c:cat>
            <c:strRef>
              <c:f>BaoCaoQuy!$A$37:$A$39</c:f>
              <c:strCache>
                <c:ptCount val="3"/>
                <c:pt idx="0">
                  <c:v>ITO</c:v>
                </c:pt>
                <c:pt idx="1">
                  <c:v>UNI</c:v>
                </c:pt>
                <c:pt idx="2">
                  <c:v>G2B</c:v>
                </c:pt>
              </c:strCache>
            </c:strRef>
          </c:cat>
          <c:val>
            <c:numRef>
              <c:f>BaoCaoQuy!$H$37:$H$39</c:f>
              <c:numCache>
                <c:formatCode>#,##0</c:formatCode>
                <c:ptCount val="3"/>
                <c:pt idx="0">
                  <c:v>11400000000</c:v>
                </c:pt>
                <c:pt idx="1">
                  <c:v>9300000000</c:v>
                </c:pt>
                <c:pt idx="2">
                  <c:v>9300000000</c:v>
                </c:pt>
              </c:numCache>
            </c:numRef>
          </c:val>
        </c:ser>
        <c:ser>
          <c:idx val="1"/>
          <c:order val="1"/>
          <c:tx>
            <c:strRef>
              <c:f>"Thực tế"</c:f>
              <c:strCache>
                <c:ptCount val="1"/>
                <c:pt idx="0">
                  <c:v>Thực tế</c:v>
                </c:pt>
              </c:strCache>
            </c:strRef>
          </c:tx>
          <c:spPr>
            <a:gradFill>
              <a:gsLst>
                <a:gs pos="0">
                  <a:srgbClr val="FC7200"/>
                </a:gs>
                <a:gs pos="100000">
                  <a:srgbClr val="FFC6B6"/>
                </a:gs>
              </a:gsLst>
              <a:lin ang="16200000"/>
            </a:gradFill>
            <a:ln w="12600">
              <a:noFill/>
            </a:ln>
          </c:spPr>
          <c:invertIfNegative val="0"/>
          <c:dPt>
            <c:idx val="0"/>
            <c:invertIfNegative val="0"/>
            <c:spPr>
              <a:gradFill>
                <a:gsLst>
                  <a:gs pos="0">
                    <a:srgbClr val="FC7200"/>
                  </a:gs>
                  <a:gs pos="100000">
                    <a:srgbClr val="FFC6B6"/>
                  </a:gs>
                </a:gsLst>
                <a:lin ang="16200000"/>
              </a:gradFill>
              <a:ln w="12600">
                <a:noFill/>
              </a:ln>
            </c:spPr>
          </c:dPt>
          <c:dLbls>
            <c:dLbl>
              <c:idx val="0"/>
              <c:layout>
                <c:manualLayout>
                  <c:x val="0.0307993134887535"/>
                  <c:y val="-0.0126268566165218"/>
                </c:manualLayout>
              </c:layout>
              <c:numFmt formatCode="_(* #,##0_);_(* \(#,##0\);_(* \-??_);_(@_)" sourceLinked="1"/>
              <c:txPr>
                <a:bodyPr wrap="square"/>
                <a:lstStyle/>
                <a:p>
                  <a:pPr>
                    <a:defRPr sz="900" b="0" u="none" strike="noStrike">
                      <a:solidFill>
                        <a:srgbClr val="FF0000"/>
                      </a:solidFill>
                      <a:uFillTx/>
                      <a:latin typeface="Calibri"/>
                      <a:ea typeface="DejaVu Sans"/>
                    </a:defRPr>
                  </a:pPr>
                </a:p>
              </c:txPr>
              <c:dLblPos val="outEnd"/>
              <c:showLegendKey val="0"/>
              <c:showVal val="1"/>
              <c:showCatName val="0"/>
              <c:showSerName val="0"/>
              <c:showPercent val="0"/>
              <c:separator>; </c:separator>
            </c:dLbl>
            <c:numFmt formatCode="_(* #,##0_);_(* \(#,##0\);_(* \-??_);_(@_)" sourceLinked="1"/>
            <c:txPr>
              <a:bodyPr wrap="square"/>
              <a:lstStyle/>
              <a:p>
                <a:pPr>
                  <a:defRPr sz="900" b="0" u="none" strike="noStrike">
                    <a:solidFill>
                      <a:srgbClr val="FF0000"/>
                    </a:solidFill>
                    <a:uFillTx/>
                    <a:latin typeface="Calibri"/>
                    <a:ea typeface="DejaVu Sans"/>
                  </a:defRPr>
                </a:pPr>
              </a:p>
            </c:txPr>
            <c:dLblPos val="inEnd"/>
            <c:showLegendKey val="0"/>
            <c:showVal val="1"/>
            <c:showCatName val="0"/>
            <c:showSerName val="0"/>
            <c:showPercent val="0"/>
            <c:separator>; </c:separator>
            <c:showLeaderLines val="0"/>
            <c:extLst>
              <c:ext xmlns:c15="http://schemas.microsoft.com/office/drawing/2012/chart" uri="{CE6537A1-D6FC-4f65-9D91-7224C49458BB}">
                <c15:showLeaderLines val="0"/>
              </c:ext>
            </c:extLst>
          </c:dLbls>
          <c:cat>
            <c:strRef>
              <c:f>BaoCaoQuy!$A$37:$A$39</c:f>
              <c:strCache>
                <c:ptCount val="3"/>
                <c:pt idx="0">
                  <c:v>ITO</c:v>
                </c:pt>
                <c:pt idx="1">
                  <c:v>UNI</c:v>
                </c:pt>
                <c:pt idx="2">
                  <c:v>G2B</c:v>
                </c:pt>
              </c:strCache>
            </c:strRef>
          </c:cat>
          <c:val>
            <c:numRef>
              <c:f>BaoCaoQuy!$K$37:$K$39</c:f>
              <c:numCache>
                <c:formatCode>_(* #,##0_);_(* \(#,##0\);_(* \-??_);_(@_)</c:formatCode>
                <c:ptCount val="3"/>
                <c:pt idx="0">
                  <c:v>0</c:v>
                </c:pt>
                <c:pt idx="1">
                  <c:v>0</c:v>
                </c:pt>
                <c:pt idx="2">
                  <c:v>0</c:v>
                </c:pt>
              </c:numCache>
            </c:numRef>
          </c:val>
        </c:ser>
        <c:gapWidth val="100"/>
        <c:overlap val="-24"/>
        <c:axId val="42893306"/>
        <c:axId val="59094926"/>
      </c:barChart>
      <c:catAx>
        <c:axId val="42893306"/>
        <c:scaling>
          <c:orientation val="minMax"/>
        </c:scaling>
        <c:delete val="0"/>
        <c:axPos val="b"/>
        <c:numFmt formatCode="General" sourceLinked="0"/>
        <c:majorTickMark val="none"/>
        <c:minorTickMark val="none"/>
        <c:tickLblPos val="nextTo"/>
        <c:spPr>
          <a:ln w="9360">
            <a:solidFill>
              <a:srgbClr val="D4E3F4"/>
            </a:solidFill>
            <a:round/>
          </a:ln>
        </c:spPr>
        <c:txPr>
          <a:bodyPr/>
          <a:lstStyle/>
          <a:p>
            <a:pPr>
              <a:defRPr sz="900" b="0" u="none" strike="noStrike">
                <a:solidFill>
                  <a:srgbClr val="1F497D"/>
                </a:solidFill>
                <a:uFillTx/>
                <a:latin typeface="Calibri"/>
                <a:ea typeface="DejaVu Sans"/>
              </a:defRPr>
            </a:pPr>
          </a:p>
        </c:txPr>
        <c:crossAx val="59094926"/>
        <c:crosses val="autoZero"/>
        <c:auto val="1"/>
        <c:lblAlgn val="ctr"/>
        <c:lblOffset val="100"/>
        <c:noMultiLvlLbl val="0"/>
      </c:catAx>
      <c:valAx>
        <c:axId val="59094926"/>
        <c:scaling>
          <c:orientation val="minMax"/>
        </c:scaling>
        <c:delete val="0"/>
        <c:axPos val="l"/>
        <c:majorGridlines>
          <c:spPr>
            <a:ln w="9360">
              <a:solidFill>
                <a:srgbClr val="D4E3F4"/>
              </a:solidFill>
              <a:round/>
            </a:ln>
          </c:spPr>
        </c:majorGridlines>
        <c:numFmt formatCode="#,##0" sourceLinked="0"/>
        <c:majorTickMark val="none"/>
        <c:minorTickMark val="none"/>
        <c:tickLblPos val="nextTo"/>
        <c:spPr>
          <a:ln w="9360">
            <a:noFill/>
          </a:ln>
        </c:spPr>
        <c:txPr>
          <a:bodyPr/>
          <a:lstStyle/>
          <a:p>
            <a:pPr>
              <a:defRPr sz="900" b="0" u="none" strike="noStrike">
                <a:solidFill>
                  <a:srgbClr val="1F497D"/>
                </a:solidFill>
                <a:uFillTx/>
                <a:latin typeface="Calibri"/>
                <a:ea typeface="DejaVu Sans"/>
              </a:defRPr>
            </a:pPr>
          </a:p>
        </c:txPr>
        <c:crossAx val="42893306"/>
        <c:crosses val="autoZero"/>
        <c:crossBetween val="between"/>
      </c:valAx>
      <c:spPr>
        <a:noFill/>
        <a:ln w="0">
          <a:noFill/>
        </a:ln>
      </c:spPr>
    </c:plotArea>
    <c:legend>
      <c:legendPos val="b"/>
      <c:overlay val="0"/>
      <c:spPr>
        <a:noFill/>
        <a:ln w="0">
          <a:noFill/>
        </a:ln>
      </c:spPr>
      <c:txPr>
        <a:bodyPr/>
        <a:lstStyle/>
        <a:p>
          <a:pPr>
            <a:defRPr sz="900" b="0" u="none" strike="noStrike">
              <a:solidFill>
                <a:srgbClr val="1F497D"/>
              </a:solidFill>
              <a:uFillTx/>
              <a:latin typeface="Calibri"/>
              <a:ea typeface="DejaVu Sans"/>
            </a:defRPr>
          </a:pPr>
        </a:p>
      </c:txPr>
    </c:legend>
    <c:plotVisOnly val="1"/>
    <c:dispBlanksAs val="gap"/>
  </c:chart>
  <c:spPr>
    <a:solidFill>
      <a:srgbClr val="FFFFFF"/>
    </a:solidFill>
    <a:ln w="9360">
      <a:solidFill>
        <a:srgbClr val="D4E3F4"/>
      </a:solidFill>
      <a:round/>
    </a:ln>
  </c:spPr>
</c:chartSpace>
</file>

<file path=xl/charts/chart3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lang="en-US" sz="1400" b="1" u="none" strike="noStrike">
                <a:solidFill>
                  <a:schemeClr val="tx1">
                    <a:lumMod val="65000"/>
                    <a:lumOff val="35000"/>
                  </a:schemeClr>
                </a:solidFill>
                <a:uFillTx/>
                <a:latin typeface="Calibri"/>
                <a:ea typeface="DejaVu Sans"/>
              </a:rPr>
              <a:t>HỢP</a:t>
            </a:r>
            <a:r>
              <a:rPr lang="en-US" sz="1400" b="1" u="none" strike="noStrike">
                <a:solidFill>
                  <a:schemeClr val="tx1">
                    <a:lumMod val="65000"/>
                    <a:lumOff val="35000"/>
                  </a:schemeClr>
                </a:solidFill>
                <a:uFillTx/>
                <a:latin typeface="Calibri"/>
                <a:ea typeface="DejaVu Sans"/>
              </a:rPr>
              <a:t> ĐỒNG - DOANH THU</a:t>
            </a:r>
          </a:p>
        </c:rich>
      </c:tx>
      <c:overlay val="0"/>
      <c:spPr>
        <a:noFill/>
        <a:ln w="25560">
          <a:noFill/>
        </a:ln>
      </c:spPr>
    </c:title>
    <c:autoTitleDeleted val="0"/>
    <c:plotArea>
      <c:barChart>
        <c:barDir val="col"/>
        <c:grouping val="clustered"/>
        <c:varyColors val="0"/>
        <c:ser>
          <c:idx val="0"/>
          <c:order val="0"/>
          <c:tx>
            <c:strRef>
              <c:f>"Kế hoạch"</c:f>
              <c:strCache>
                <c:ptCount val="1"/>
                <c:pt idx="0">
                  <c:v>Kế hoạch</c:v>
                </c:pt>
              </c:strCache>
            </c:strRef>
          </c:tx>
          <c:spPr>
            <a:solidFill>
              <a:srgbClr val="F79646"/>
            </a:solidFill>
            <a:ln w="12600">
              <a:noFill/>
            </a:ln>
          </c:spPr>
          <c:invertIfNegative val="0"/>
          <c:dLbls>
            <c:numFmt formatCode="_(* #,##0_);_(* \(#,##0\);_(* \-??_);_(@_)" sourceLinked="1"/>
            <c:txPr>
              <a:bodyPr wrap="square"/>
              <a:lstStyle/>
              <a:p>
                <a:pPr>
                  <a:defRPr sz="1000" b="0" u="none" strike="noStrike">
                    <a:solidFill>
                      <a:srgbClr val="000000"/>
                    </a:solidFill>
                    <a:uFillTx/>
                    <a:latin typeface="Calibri"/>
                    <a:ea typeface="DejaVu Sans"/>
                  </a:defRPr>
                </a:pPr>
              </a:p>
            </c:txPr>
            <c:dLblPos val="ctr"/>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val>
            <c:numRef>
              <c:f>'Tong hop (TH)'!$C$5:$C$16</c:f>
              <c:numCache>
                <c:formatCode>_(* #,##0_);_(* \(#,##0\);_(* \-??_);_(@_)</c:formatCode>
                <c:ptCount val="12"/>
                <c:pt idx="0">
                  <c:v>900000000</c:v>
                </c:pt>
                <c:pt idx="1">
                  <c:v>900000000</c:v>
                </c:pt>
                <c:pt idx="2">
                  <c:v>900000000</c:v>
                </c:pt>
                <c:pt idx="3">
                  <c:v>900000000</c:v>
                </c:pt>
                <c:pt idx="4">
                  <c:v>900000000</c:v>
                </c:pt>
                <c:pt idx="5">
                  <c:v>900000000</c:v>
                </c:pt>
                <c:pt idx="6">
                  <c:v>900000000</c:v>
                </c:pt>
                <c:pt idx="7">
                  <c:v>900000000</c:v>
                </c:pt>
                <c:pt idx="8">
                  <c:v>900000000</c:v>
                </c:pt>
                <c:pt idx="9">
                  <c:v>900000000</c:v>
                </c:pt>
                <c:pt idx="10">
                  <c:v>900000000</c:v>
                </c:pt>
                <c:pt idx="11">
                  <c:v>900000000</c:v>
                </c:pt>
              </c:numCache>
            </c:numRef>
          </c:val>
        </c:ser>
        <c:gapWidth val="150"/>
        <c:overlap val="0"/>
        <c:axId val="70501528"/>
        <c:axId val="48512244"/>
      </c:barChart>
      <c:lineChart>
        <c:grouping val="standard"/>
        <c:varyColors val="0"/>
        <c:ser>
          <c:idx val="1"/>
          <c:order val="1"/>
          <c:tx>
            <c:strRef>
              <c:f>"Hợp đồng"</c:f>
              <c:strCache>
                <c:ptCount val="1"/>
                <c:pt idx="0">
                  <c:v>Hợp đồng</c:v>
                </c:pt>
              </c:strCache>
            </c:strRef>
          </c:tx>
          <c:spPr>
            <a:solidFill>
              <a:srgbClr val="4BACC6"/>
            </a:solidFill>
            <a:ln cap="rnd" w="28440">
              <a:solidFill>
                <a:srgbClr val="4BACC6"/>
              </a:solidFill>
              <a:round/>
            </a:ln>
          </c:spPr>
          <c:marker>
            <c:symbol val="circle"/>
            <c:size val="5"/>
            <c:spPr>
              <a:solidFill>
                <a:srgbClr val="4BACC6"/>
              </a:solidFill>
            </c:spPr>
          </c:marker>
          <c:dPt>
            <c:idx val="0"/>
            <c:marker>
              <c:symbol val="circle"/>
              <c:size val="5"/>
              <c:spPr>
                <a:solidFill>
                  <a:srgbClr val="4BACC6"/>
                </a:solidFill>
              </c:spPr>
            </c:marker>
          </c:dPt>
          <c:dPt>
            <c:idx val="1"/>
            <c:marker>
              <c:symbol val="circle"/>
              <c:size val="5"/>
              <c:spPr>
                <a:solidFill>
                  <a:srgbClr val="4BACC6"/>
                </a:solidFill>
              </c:spPr>
            </c:marker>
          </c:dPt>
          <c:dPt>
            <c:idx val="2"/>
            <c:marker>
              <c:symbol val="circle"/>
              <c:size val="5"/>
              <c:spPr>
                <a:solidFill>
                  <a:srgbClr val="4BACC6"/>
                </a:solidFill>
              </c:spPr>
            </c:marker>
          </c:dPt>
          <c:dPt>
            <c:idx val="3"/>
            <c:marker>
              <c:symbol val="circle"/>
              <c:size val="5"/>
              <c:spPr>
                <a:solidFill>
                  <a:srgbClr val="4BACC6"/>
                </a:solidFill>
              </c:spPr>
            </c:marker>
          </c:dPt>
          <c:dPt>
            <c:idx val="4"/>
            <c:marker>
              <c:symbol val="circle"/>
              <c:size val="5"/>
              <c:spPr>
                <a:solidFill>
                  <a:srgbClr val="4BACC6"/>
                </a:solidFill>
              </c:spPr>
            </c:marker>
          </c:dPt>
          <c:dPt>
            <c:idx val="7"/>
            <c:marker>
              <c:symbol val="circle"/>
              <c:size val="5"/>
              <c:spPr>
                <a:solidFill>
                  <a:srgbClr val="4BACC6"/>
                </a:solidFill>
              </c:spPr>
            </c:marker>
          </c:dPt>
          <c:dPt>
            <c:idx val="8"/>
            <c:marker>
              <c:symbol val="circle"/>
              <c:size val="5"/>
              <c:spPr>
                <a:solidFill>
                  <a:srgbClr val="4BACC6"/>
                </a:solidFill>
              </c:spPr>
            </c:marker>
          </c:dPt>
          <c:dPt>
            <c:idx val="9"/>
            <c:marker>
              <c:symbol val="circle"/>
              <c:size val="5"/>
              <c:spPr>
                <a:solidFill>
                  <a:srgbClr val="4BACC6"/>
                </a:solidFill>
              </c:spPr>
            </c:marker>
          </c:dPt>
          <c:dLbls>
            <c:dLbl>
              <c:idx val="0"/>
              <c:layout>
                <c:manualLayout>
                  <c:x val="-0.040464969353134"/>
                  <c:y val="-0.0648148148148148"/>
                </c:manualLayout>
              </c:layout>
              <c:numFmt formatCode="_(* #,##0_);_(* \(#,##0\);_(* \-??_);_(@_)" sourceLinked="1"/>
              <c:txPr>
                <a:bodyPr wrap="square"/>
                <a:lstStyle/>
                <a:p>
                  <a:pPr>
                    <a:defRPr sz="900" b="0" u="none" strike="noStrike">
                      <a:solidFill>
                        <a:srgbClr val="404040"/>
                      </a:solidFill>
                      <a:uFillTx/>
                      <a:latin typeface="Calibri"/>
                      <a:ea typeface="DejaVu Sans"/>
                    </a:defRPr>
                  </a:pPr>
                </a:p>
              </c:txPr>
              <c:dLblPos val="r"/>
              <c:showLegendKey val="0"/>
              <c:showVal val="1"/>
              <c:showCatName val="0"/>
              <c:showSerName val="0"/>
              <c:showPercent val="0"/>
              <c:separator>; </c:separator>
            </c:dLbl>
            <c:dLbl>
              <c:idx val="1"/>
              <c:layout>
                <c:manualLayout>
                  <c:x val="-0.0317939044917482"/>
                  <c:y val="-0.0694444444444445"/>
                </c:manualLayout>
              </c:layout>
              <c:numFmt formatCode="_(* #,##0_);_(* \(#,##0\);_(* \-??_);_(@_)" sourceLinked="1"/>
              <c:txPr>
                <a:bodyPr wrap="square"/>
                <a:lstStyle/>
                <a:p>
                  <a:pPr>
                    <a:defRPr sz="900" b="0" u="none" strike="noStrike">
                      <a:solidFill>
                        <a:srgbClr val="404040"/>
                      </a:solidFill>
                      <a:uFillTx/>
                      <a:latin typeface="Calibri"/>
                      <a:ea typeface="DejaVu Sans"/>
                    </a:defRPr>
                  </a:pPr>
                </a:p>
              </c:txPr>
              <c:dLblPos val="r"/>
              <c:showLegendKey val="0"/>
              <c:showVal val="1"/>
              <c:showCatName val="0"/>
              <c:showSerName val="0"/>
              <c:showPercent val="0"/>
              <c:separator>; </c:separator>
            </c:dLbl>
            <c:dLbl>
              <c:idx val="2"/>
              <c:layout>
                <c:manualLayout>
                  <c:x val="-0.0375746143993387"/>
                  <c:y val="-0.0509259259259259"/>
                </c:manualLayout>
              </c:layout>
              <c:numFmt formatCode="_(* #,##0_);_(* \(#,##0\);_(* \-??_);_(@_)" sourceLinked="1"/>
              <c:txPr>
                <a:bodyPr wrap="square"/>
                <a:lstStyle/>
                <a:p>
                  <a:pPr>
                    <a:defRPr sz="900" b="0" u="none" strike="noStrike">
                      <a:solidFill>
                        <a:srgbClr val="404040"/>
                      </a:solidFill>
                      <a:uFillTx/>
                      <a:latin typeface="Calibri"/>
                      <a:ea typeface="DejaVu Sans"/>
                    </a:defRPr>
                  </a:pPr>
                </a:p>
              </c:txPr>
              <c:dLblPos val="r"/>
              <c:showLegendKey val="0"/>
              <c:showVal val="1"/>
              <c:showCatName val="0"/>
              <c:showSerName val="0"/>
              <c:showPercent val="0"/>
              <c:separator>; </c:separator>
            </c:dLbl>
            <c:dLbl>
              <c:idx val="3"/>
              <c:layout>
                <c:manualLayout>
                  <c:x val="-0.0317939044917482"/>
                  <c:y val="-0.0509259259259259"/>
                </c:manualLayout>
              </c:layout>
              <c:numFmt formatCode="_(* #,##0_);_(* \(#,##0\);_(* \-??_);_(@_)" sourceLinked="1"/>
              <c:txPr>
                <a:bodyPr wrap="square"/>
                <a:lstStyle/>
                <a:p>
                  <a:pPr>
                    <a:defRPr sz="900" b="0" u="none" strike="noStrike">
                      <a:solidFill>
                        <a:srgbClr val="404040"/>
                      </a:solidFill>
                      <a:uFillTx/>
                      <a:latin typeface="Calibri"/>
                      <a:ea typeface="DejaVu Sans"/>
                    </a:defRPr>
                  </a:pPr>
                </a:p>
              </c:txPr>
              <c:dLblPos val="r"/>
              <c:showLegendKey val="0"/>
              <c:showVal val="1"/>
              <c:showCatName val="0"/>
              <c:showSerName val="0"/>
              <c:showPercent val="0"/>
              <c:separator>; </c:separator>
            </c:dLbl>
            <c:dLbl>
              <c:idx val="4"/>
              <c:layout>
                <c:manualLayout>
                  <c:x val="-0.0260131945841575"/>
                  <c:y val="-0.0462962962962964"/>
                </c:manualLayout>
              </c:layout>
              <c:numFmt formatCode="_(* #,##0_);_(* \(#,##0\);_(* \-??_);_(@_)" sourceLinked="1"/>
              <c:txPr>
                <a:bodyPr wrap="square"/>
                <a:lstStyle/>
                <a:p>
                  <a:pPr>
                    <a:defRPr sz="900" b="0" u="none" strike="noStrike">
                      <a:solidFill>
                        <a:srgbClr val="404040"/>
                      </a:solidFill>
                      <a:uFillTx/>
                      <a:latin typeface="Calibri"/>
                      <a:ea typeface="DejaVu Sans"/>
                    </a:defRPr>
                  </a:pPr>
                </a:p>
              </c:txPr>
              <c:dLblPos val="r"/>
              <c:showLegendKey val="0"/>
              <c:showVal val="1"/>
              <c:showCatName val="0"/>
              <c:showSerName val="0"/>
              <c:showPercent val="0"/>
              <c:separator>; </c:separator>
            </c:dLbl>
            <c:dLbl>
              <c:idx val="7"/>
              <c:layout>
                <c:manualLayout>
                  <c:x val="0.00903517447287786"/>
                  <c:y val="-0.0735294117647059"/>
                </c:manualLayout>
              </c:layout>
              <c:numFmt formatCode="_(* #,##0_);_(* \(#,##0\);_(* \-??_);_(@_)" sourceLinked="1"/>
              <c:txPr>
                <a:bodyPr wrap="square"/>
                <a:lstStyle/>
                <a:p>
                  <a:pPr>
                    <a:defRPr sz="900" b="0" u="none" strike="noStrike">
                      <a:solidFill>
                        <a:srgbClr val="404040"/>
                      </a:solidFill>
                      <a:uFillTx/>
                      <a:latin typeface="Calibri"/>
                      <a:ea typeface="DejaVu Sans"/>
                    </a:defRPr>
                  </a:pPr>
                </a:p>
              </c:txPr>
              <c:dLblPos val="r"/>
              <c:showLegendKey val="0"/>
              <c:showVal val="1"/>
              <c:showCatName val="0"/>
              <c:showSerName val="0"/>
              <c:showPercent val="0"/>
              <c:separator>; </c:separator>
            </c:dLbl>
            <c:dLbl>
              <c:idx val="8"/>
              <c:layout>
                <c:manualLayout>
                  <c:x val="-9.46531153226171E-017"/>
                  <c:y val="-0.102941176470588"/>
                </c:manualLayout>
              </c:layout>
              <c:numFmt formatCode="_(* #,##0_);_(* \(#,##0\);_(* \-??_);_(@_)" sourceLinked="1"/>
              <c:txPr>
                <a:bodyPr wrap="square"/>
                <a:lstStyle/>
                <a:p>
                  <a:pPr>
                    <a:defRPr sz="900" b="0" u="none" strike="noStrike">
                      <a:solidFill>
                        <a:srgbClr val="404040"/>
                      </a:solidFill>
                      <a:uFillTx/>
                      <a:latin typeface="Calibri"/>
                      <a:ea typeface="DejaVu Sans"/>
                    </a:defRPr>
                  </a:pPr>
                </a:p>
              </c:txPr>
              <c:dLblPos val="r"/>
              <c:showLegendKey val="0"/>
              <c:showVal val="1"/>
              <c:showCatName val="0"/>
              <c:showSerName val="0"/>
              <c:showPercent val="0"/>
              <c:separator>; </c:separator>
            </c:dLbl>
            <c:dLbl>
              <c:idx val="9"/>
              <c:layout>
                <c:manualLayout>
                  <c:x val="0.0116166528937"/>
                  <c:y val="-0.0833333333333333"/>
                </c:manualLayout>
              </c:layout>
              <c:numFmt formatCode="_(* #,##0_);_(* \(#,##0\);_(* \-??_);_(@_)" sourceLinked="1"/>
              <c:txPr>
                <a:bodyPr wrap="square"/>
                <a:lstStyle/>
                <a:p>
                  <a:pPr>
                    <a:defRPr sz="900" b="0" u="none" strike="noStrike">
                      <a:solidFill>
                        <a:srgbClr val="404040"/>
                      </a:solidFill>
                      <a:uFillTx/>
                      <a:latin typeface="Calibri"/>
                      <a:ea typeface="DejaVu Sans"/>
                    </a:defRPr>
                  </a:pPr>
                </a:p>
              </c:txPr>
              <c:dLblPos val="r"/>
              <c:showLegendKey val="0"/>
              <c:showVal val="1"/>
              <c:showCatName val="0"/>
              <c:showSerName val="0"/>
              <c:showPercent val="0"/>
              <c:separator>; </c:separator>
            </c:dLbl>
            <c:numFmt formatCode="_(* #,##0_);_(* \(#,##0\);_(* \-??_);_(@_)" sourceLinked="1"/>
            <c:txPr>
              <a:bodyPr wrap="square"/>
              <a:lstStyle/>
              <a:p>
                <a:pPr>
                  <a:defRPr sz="900" b="0" u="none" strike="noStrike">
                    <a:solidFill>
                      <a:srgbClr val="404040"/>
                    </a:solidFill>
                    <a:uFillTx/>
                    <a:latin typeface="Calibri"/>
                    <a:ea typeface="DejaVu Sans"/>
                  </a:defRPr>
                </a:pPr>
              </a:p>
            </c:txPr>
            <c:dLblPos val="r"/>
            <c:showLegendKey val="0"/>
            <c:showVal val="1"/>
            <c:showCatName val="0"/>
            <c:showSerName val="0"/>
            <c:showPercent val="0"/>
            <c:separator>; </c:separator>
            <c:showLeaderLines val="0"/>
            <c:extLst>
              <c:ext xmlns:c15="http://schemas.microsoft.com/office/drawing/2012/chart" uri="{CE6537A1-D6FC-4f65-9D91-7224C49458BB}">
                <c15:showLeaderLines val="0"/>
              </c:ext>
            </c:extLst>
          </c:dLbls>
          <c:val>
            <c:numRef>
              <c:f>'Tong hop (TH)'!$E$5:$E$16</c:f>
              <c:numCache>
                <c:formatCode>_(* #,##0_);_(* \(#,##0\);_(* \-??_);_(@_)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2"/>
          <c:order val="2"/>
          <c:tx>
            <c:strRef>
              <c:f>"Doanh thu"</c:f>
              <c:strCache>
                <c:ptCount val="1"/>
                <c:pt idx="0">
                  <c:v>Doanh thu</c:v>
                </c:pt>
              </c:strCache>
            </c:strRef>
          </c:tx>
          <c:spPr>
            <a:solidFill>
              <a:srgbClr val="002060"/>
            </a:solidFill>
            <a:ln cap="rnd" w="28440">
              <a:solidFill>
                <a:srgbClr val="002060"/>
              </a:solidFill>
              <a:round/>
            </a:ln>
          </c:spPr>
          <c:marker>
            <c:symbol val="square"/>
            <c:size val="5"/>
            <c:spPr>
              <a:solidFill>
                <a:srgbClr val="002060"/>
              </a:solidFill>
            </c:spPr>
          </c:marker>
          <c:dLbls>
            <c:txPr>
              <a:bodyPr wrap="square"/>
              <a:lstStyle/>
              <a:p>
                <a:pPr>
                  <a:defRPr sz="1000" b="0" u="none" strike="noStrike">
                    <a:solidFill>
                      <a:srgbClr val="000000"/>
                    </a:solidFill>
                    <a:uFillTx/>
                    <a:latin typeface="Calibri"/>
                    <a:ea typeface="DejaVu Sans"/>
                  </a:defRPr>
                </a:pPr>
              </a:p>
            </c:txPr>
            <c:dLblPos val="r"/>
            <c:showLegendKey val="0"/>
            <c:showVal val="0"/>
            <c:showCatName val="0"/>
            <c:showSerName val="0"/>
            <c:showPercent val="0"/>
            <c:separator>; </c:separator>
            <c:showLeaderLines val="1"/>
            <c:leaderLines>
              <c:spPr>
                <a:ln cap="rnd" w="28440">
                  <a:solidFill>
                    <a:srgbClr val="000000"/>
                  </a:solidFill>
                </a:ln>
              </c:spPr>
            </c:leaderLines>
            <c:extLst>
              <c:ext xmlns:c15="http://schemas.microsoft.com/office/drawing/2012/chart" uri="{CE6537A1-D6FC-4f65-9D91-7224C49458BB}">
                <c15:showLeaderLines val="1"/>
              </c:ext>
            </c:extLst>
          </c:dLbls>
          <c:val>
            <c:numRef>
              <c:f>'Tong hop (TH)'!$E$37:$E$48</c:f>
              <c:numCache>
                <c:formatCode>_(* #,##0_);_(* \(#,##0\);_(* \-??_);_(@_)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hiLowLines>
          <c:spPr>
            <a:ln w="0">
              <a:noFill/>
            </a:ln>
          </c:spPr>
        </c:hiLowLines>
        <c:marker val="1"/>
        <c:axId val="70501528"/>
        <c:axId val="48512244"/>
      </c:lineChart>
      <c:catAx>
        <c:axId val="70501528"/>
        <c:scaling>
          <c:orientation val="minMax"/>
        </c:scaling>
        <c:delete val="0"/>
        <c:axPos val="b"/>
        <c:majorGridlines>
          <c:spPr>
            <a:ln w="9360">
              <a:solidFill>
                <a:srgbClr val="D9D9D9"/>
              </a:solidFill>
              <a:round/>
            </a:ln>
          </c:spPr>
        </c:majorGridlines>
        <c:numFmt formatCode="General" sourceLinked="0"/>
        <c:majorTickMark val="none"/>
        <c:minorTickMark val="none"/>
        <c:tickLblPos val="nextTo"/>
        <c:spPr>
          <a:ln w="9360">
            <a:solidFill>
              <a:srgbClr val="BFBFBF"/>
            </a:solidFill>
            <a:round/>
          </a:ln>
        </c:spPr>
        <c:txPr>
          <a:bodyPr/>
          <a:lstStyle/>
          <a:p>
            <a:pPr>
              <a:defRPr sz="900" b="0" u="none" strike="noStrike">
                <a:solidFill>
                  <a:srgbClr val="595959"/>
                </a:solidFill>
                <a:uFillTx/>
                <a:latin typeface="Calibri"/>
                <a:ea typeface="DejaVu Sans"/>
              </a:defRPr>
            </a:pPr>
          </a:p>
        </c:txPr>
        <c:crossAx val="48512244"/>
        <c:crosses val="autoZero"/>
        <c:auto val="1"/>
        <c:lblAlgn val="ctr"/>
        <c:lblOffset val="100"/>
        <c:noMultiLvlLbl val="0"/>
      </c:catAx>
      <c:valAx>
        <c:axId val="48512244"/>
        <c:scaling>
          <c:orientation val="minMax"/>
        </c:scaling>
        <c:delete val="0"/>
        <c:axPos val="l"/>
        <c:majorGridlines>
          <c:spPr>
            <a:ln w="9360">
              <a:solidFill>
                <a:srgbClr val="D9D9D9"/>
              </a:solidFill>
              <a:round/>
            </a:ln>
          </c:spPr>
        </c:majorGridlines>
        <c:numFmt formatCode="_(* #,##0_);_(* \(#,##0\);_(* \-??_);_(@_)" sourceLinked="0"/>
        <c:majorTickMark val="none"/>
        <c:minorTickMark val="none"/>
        <c:tickLblPos val="nextTo"/>
        <c:spPr>
          <a:ln w="9360">
            <a:solidFill>
              <a:srgbClr val="BFBFBF"/>
            </a:solidFill>
            <a:round/>
          </a:ln>
        </c:spPr>
        <c:txPr>
          <a:bodyPr/>
          <a:lstStyle/>
          <a:p>
            <a:pPr>
              <a:defRPr sz="900" b="0" u="none" strike="noStrike">
                <a:solidFill>
                  <a:srgbClr val="595959"/>
                </a:solidFill>
                <a:uFillTx/>
                <a:latin typeface="Calibri"/>
                <a:ea typeface="DejaVu Sans"/>
              </a:defRPr>
            </a:pPr>
          </a:p>
        </c:txPr>
        <c:crossAx val="70501528"/>
        <c:crosses val="autoZero"/>
        <c:crossBetween val="between"/>
      </c:valAx>
      <c:spPr>
        <a:noFill/>
        <a:ln w="25560">
          <a:noFill/>
        </a:ln>
      </c:spPr>
    </c:plotArea>
    <c:legend>
      <c:legendPos val="b"/>
      <c:overlay val="0"/>
      <c:spPr>
        <a:noFill/>
        <a:ln w="25560">
          <a:noFill/>
        </a:ln>
      </c:spPr>
      <c:txPr>
        <a:bodyPr/>
        <a:lstStyle/>
        <a:p>
          <a:pPr>
            <a:defRPr sz="900" b="0" u="none" strike="noStrike">
              <a:solidFill>
                <a:srgbClr val="595959"/>
              </a:solidFill>
              <a:uFillTx/>
              <a:latin typeface="Calibri"/>
              <a:ea typeface="DejaVu Sans"/>
            </a:defRPr>
          </a:pPr>
        </a:p>
      </c:txPr>
    </c:legend>
    <c:plotVisOnly val="1"/>
    <c:dispBlanksAs val="gap"/>
  </c:chart>
  <c:spPr>
    <a:solidFill>
      <a:srgbClr val="FFFFFF"/>
    </a:solidFill>
    <a:ln w="9360">
      <a:solidFill>
        <a:srgbClr val="D9D9D9"/>
      </a:solidFill>
      <a:round/>
    </a:ln>
  </c:spPr>
</c:chartSpace>
</file>

<file path=xl/charts/chart39.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pieChart>
        <c:varyColors val="1"/>
        <c:ser>
          <c:idx val="0"/>
          <c:order val="0"/>
          <c:spPr>
            <a:solidFill>
              <a:srgbClr val="F79646"/>
            </a:solidFill>
            <a:ln w="0">
              <a:noFill/>
            </a:ln>
          </c:spPr>
          <c:explosion val="0"/>
          <c:dPt>
            <c:idx val="0"/>
            <c:spPr>
              <a:solidFill>
                <a:srgbClr val="4F81BD"/>
              </a:solidFill>
              <a:ln w="19080">
                <a:noFill/>
              </a:ln>
            </c:spPr>
          </c:dPt>
          <c:dPt>
            <c:idx val="1"/>
            <c:spPr>
              <a:solidFill>
                <a:srgbClr val="9BBB59"/>
              </a:solidFill>
              <a:ln w="19080">
                <a:solidFill>
                  <a:srgbClr val="FFFFFF"/>
                </a:solidFill>
                <a:round/>
              </a:ln>
            </c:spPr>
          </c:dPt>
          <c:dPt>
            <c:idx val="2"/>
            <c:spPr>
              <a:solidFill>
                <a:srgbClr val="4BACC6"/>
              </a:solidFill>
              <a:ln w="19080">
                <a:solidFill>
                  <a:srgbClr val="FFFFFF"/>
                </a:solidFill>
                <a:round/>
              </a:ln>
            </c:spPr>
          </c:dPt>
          <c:dLbls>
            <c:dLbl>
              <c:idx val="0"/>
              <c:layout>
                <c:manualLayout>
                  <c:x val="0.0391130298440828"/>
                  <c:y val="-0.0212238075511862"/>
                </c:manualLayout>
              </c:layout>
              <c:numFmt formatCode="0.0%" sourceLinked="1"/>
              <c:txPr>
                <a:bodyPr wrap="square"/>
                <a:lstStyle/>
                <a:p>
                  <a:pPr>
                    <a:defRPr sz="1200" b="0" u="none" strike="noStrike">
                      <a:solidFill>
                        <a:srgbClr val="404040"/>
                      </a:solidFill>
                      <a:uFillTx/>
                      <a:latin typeface="Calibri"/>
                      <a:ea typeface="DejaVu Sans"/>
                    </a:defRPr>
                  </a:pPr>
                </a:p>
              </c:txPr>
              <c:dLblPos val="outEnd"/>
              <c:showLegendKey val="1"/>
              <c:showVal val="1"/>
              <c:showCatName val="1"/>
              <c:showSerName val="0"/>
              <c:showPercent val="0"/>
              <c:separator>; </c:separator>
            </c:dLbl>
            <c:dLbl>
              <c:idx val="1"/>
              <c:layout>
                <c:manualLayout>
                  <c:x val="-0.0654860812067843"/>
                  <c:y val="-0.063596123097618"/>
                </c:manualLayout>
              </c:layout>
              <c:numFmt formatCode="0.0%" sourceLinked="1"/>
              <c:txPr>
                <a:bodyPr wrap="square"/>
                <a:lstStyle/>
                <a:p>
                  <a:pPr>
                    <a:defRPr sz="1200" b="0" u="none" strike="noStrike">
                      <a:solidFill>
                        <a:srgbClr val="404040"/>
                      </a:solidFill>
                      <a:uFillTx/>
                      <a:latin typeface="Calibri"/>
                      <a:ea typeface="DejaVu Sans"/>
                    </a:defRPr>
                  </a:pPr>
                </a:p>
              </c:txPr>
              <c:dLblPos val="outEnd"/>
              <c:showLegendKey val="1"/>
              <c:showVal val="1"/>
              <c:showCatName val="1"/>
              <c:showSerName val="0"/>
              <c:showPercent val="0"/>
              <c:separator>; </c:separator>
            </c:dLbl>
            <c:dLbl>
              <c:idx val="2"/>
              <c:layout>
                <c:manualLayout>
                  <c:x val="0.292151162169725"/>
                  <c:y val="0.0536680718488358"/>
                </c:manualLayout>
              </c:layout>
              <c:numFmt formatCode="0.0%" sourceLinked="1"/>
              <c:txPr>
                <a:bodyPr wrap="square"/>
                <a:lstStyle/>
                <a:p>
                  <a:pPr>
                    <a:defRPr sz="1200" b="0" u="none" strike="noStrike">
                      <a:solidFill>
                        <a:srgbClr val="404040"/>
                      </a:solidFill>
                      <a:uFillTx/>
                      <a:latin typeface="Calibri"/>
                      <a:ea typeface="DejaVu Sans"/>
                    </a:defRPr>
                  </a:pPr>
                </a:p>
              </c:txPr>
              <c:dLblPos val="outEnd"/>
              <c:showLegendKey val="1"/>
              <c:showVal val="1"/>
              <c:showCatName val="1"/>
              <c:showSerName val="0"/>
              <c:showPercent val="0"/>
              <c:separator>; </c:separator>
            </c:dLbl>
            <c:numFmt formatCode="0.0%" sourceLinked="1"/>
            <c:txPr>
              <a:bodyPr wrap="square"/>
              <a:lstStyle/>
              <a:p>
                <a:pPr>
                  <a:defRPr sz="1200" b="0" u="none" strike="noStrike">
                    <a:solidFill>
                      <a:srgbClr val="404040"/>
                    </a:solidFill>
                    <a:uFillTx/>
                    <a:latin typeface="Calibri"/>
                    <a:ea typeface="DejaVu Sans"/>
                  </a:defRPr>
                </a:pPr>
              </a:p>
            </c:txPr>
            <c:dLblPos val="bestFit"/>
            <c:showLegendKey val="1"/>
            <c:showVal val="1"/>
            <c:showCatName val="1"/>
            <c:showSerName val="0"/>
            <c:showPercent val="0"/>
            <c:separator>; </c:separator>
            <c:showLeaderLines val="1"/>
            <c:leaderLines>
              <c:spPr>
                <a:ln w="0">
                  <a:solidFill>
                    <a:srgbClr val="A6A6A6"/>
                  </a:solidFill>
                </a:ln>
              </c:spPr>
            </c:leaderLines>
          </c:dLbls>
          <c:cat>
            <c:strRef>
              <c:f>BaoCaoQuy!$A$37:$A$39</c:f>
              <c:strCache>
                <c:ptCount val="3"/>
                <c:pt idx="0">
                  <c:v>ITO</c:v>
                </c:pt>
                <c:pt idx="1">
                  <c:v>UNI</c:v>
                </c:pt>
                <c:pt idx="2">
                  <c:v>G2B</c:v>
                </c:pt>
              </c:strCache>
            </c:strRef>
          </c:cat>
          <c:val>
            <c:numRef>
              <c:f>BaoCaoQuy!$G$37:$G$39</c:f>
              <c:numCache>
                <c:formatCode>0.0%</c:formatCode>
                <c:ptCount val="3"/>
                <c:pt idx="0">
                  <c:v>0</c:v>
                </c:pt>
                <c:pt idx="1">
                  <c:v>0</c:v>
                </c:pt>
                <c:pt idx="2">
                  <c:v>0</c:v>
                </c:pt>
              </c:numCache>
            </c:numRef>
          </c:val>
        </c:ser>
        <c:firstSliceAng val="0"/>
      </c:pieChart>
      <c:spPr>
        <a:noFill/>
        <a:ln w="0">
          <a:noFill/>
        </a:ln>
      </c:spPr>
    </c:plotArea>
    <c:legend>
      <c:legendPos val="r"/>
      <c:overlay val="0"/>
      <c:spPr>
        <a:noFill/>
        <a:ln w="0">
          <a:noFill/>
        </a:ln>
      </c:spPr>
      <c:txPr>
        <a:bodyPr/>
        <a:lstStyle/>
        <a:p>
          <a:pPr>
            <a:defRPr sz="900" b="0" u="none" strike="noStrike">
              <a:solidFill>
                <a:srgbClr val="595959"/>
              </a:solidFill>
              <a:uFillTx/>
              <a:latin typeface="Calibri"/>
              <a:ea typeface="DejaVu Sans"/>
            </a:defRPr>
          </a:pPr>
        </a:p>
      </c:txPr>
    </c:legend>
    <c:plotVisOnly val="1"/>
    <c:dispBlanksAs val="zero"/>
  </c:chart>
  <c:spPr>
    <a:solidFill>
      <a:srgbClr val="FFFFFF"/>
    </a:solidFill>
    <a:ln w="9360">
      <a:solidFill>
        <a:srgbClr val="D9D9D9"/>
      </a:solidFill>
      <a:round/>
    </a:ln>
  </c:spPr>
</c:chartSpace>
</file>

<file path=xl/charts/chart40.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pieChart>
        <c:varyColors val="1"/>
        <c:ser>
          <c:idx val="0"/>
          <c:order val="0"/>
          <c:spPr>
            <a:solidFill>
              <a:srgbClr val="F8B590"/>
            </a:solidFill>
            <a:ln w="0">
              <a:noFill/>
            </a:ln>
          </c:spPr>
          <c:explosion val="0"/>
          <c:dPt>
            <c:idx val="0"/>
            <c:spPr>
              <a:solidFill>
                <a:srgbClr val="F79646"/>
              </a:solidFill>
              <a:ln w="19080">
                <a:solidFill>
                  <a:srgbClr val="FFFFFF"/>
                </a:solidFill>
                <a:round/>
              </a:ln>
            </c:spPr>
          </c:dPt>
          <c:dPt>
            <c:idx val="1"/>
            <c:spPr>
              <a:solidFill>
                <a:srgbClr val="4BACC6"/>
              </a:solidFill>
              <a:ln w="19080">
                <a:solidFill>
                  <a:srgbClr val="FFFFFF"/>
                </a:solidFill>
                <a:round/>
              </a:ln>
            </c:spPr>
          </c:dPt>
          <c:dPt>
            <c:idx val="2"/>
            <c:spPr>
              <a:solidFill>
                <a:srgbClr val="8064A2"/>
              </a:solidFill>
              <a:ln w="19080">
                <a:solidFill>
                  <a:srgbClr val="FFFFFF"/>
                </a:solidFill>
                <a:round/>
              </a:ln>
            </c:spPr>
          </c:dPt>
          <c:dLbls>
            <c:dLbl>
              <c:idx val="0"/>
              <c:layout>
                <c:manualLayout>
                  <c:x val="0.0389911581535743"/>
                  <c:y val="-0.252473484907305"/>
                </c:manualLayout>
              </c:layout>
              <c:numFmt formatCode="0.0%" sourceLinked="1"/>
              <c:txPr>
                <a:bodyPr wrap="square"/>
                <a:lstStyle/>
                <a:p>
                  <a:pPr>
                    <a:defRPr sz="1400" b="0" u="none" strike="noStrike">
                      <a:solidFill>
                        <a:srgbClr val="404040"/>
                      </a:solidFill>
                      <a:uFillTx/>
                      <a:latin typeface="Calibri"/>
                      <a:ea typeface="DejaVu Sans"/>
                    </a:defRPr>
                  </a:pPr>
                </a:p>
              </c:txPr>
              <c:dLblPos val="outEnd"/>
              <c:showLegendKey val="1"/>
              <c:showVal val="1"/>
              <c:showCatName val="1"/>
              <c:showSerName val="0"/>
              <c:showPercent val="0"/>
              <c:separator>; </c:separator>
            </c:dLbl>
            <c:dLbl>
              <c:idx val="1"/>
              <c:layout>
                <c:manualLayout>
                  <c:x val="-0.0422035551684032"/>
                  <c:y val="0.0192981716470488"/>
                </c:manualLayout>
              </c:layout>
              <c:numFmt formatCode="0.0%" sourceLinked="1"/>
              <c:txPr>
                <a:bodyPr wrap="square"/>
                <a:lstStyle/>
                <a:p>
                  <a:pPr>
                    <a:defRPr sz="1400" b="0" u="none" strike="noStrike">
                      <a:solidFill>
                        <a:srgbClr val="404040"/>
                      </a:solidFill>
                      <a:uFillTx/>
                      <a:latin typeface="Calibri"/>
                      <a:ea typeface="DejaVu Sans"/>
                    </a:defRPr>
                  </a:pPr>
                </a:p>
              </c:txPr>
              <c:dLblPos val="outEnd"/>
              <c:showLegendKey val="1"/>
              <c:showVal val="1"/>
              <c:showCatName val="1"/>
              <c:showSerName val="0"/>
              <c:showPercent val="0"/>
              <c:separator>; </c:separator>
            </c:dLbl>
            <c:dLbl>
              <c:idx val="2"/>
              <c:layout>
                <c:manualLayout>
                  <c:x val="0.221437065258352"/>
                  <c:y val="0.0229733207803415"/>
                </c:manualLayout>
              </c:layout>
              <c:numFmt formatCode="0.0%" sourceLinked="1"/>
              <c:txPr>
                <a:bodyPr wrap="square"/>
                <a:lstStyle/>
                <a:p>
                  <a:pPr>
                    <a:defRPr sz="1400" b="0" u="none" strike="noStrike">
                      <a:solidFill>
                        <a:srgbClr val="404040"/>
                      </a:solidFill>
                      <a:uFillTx/>
                      <a:latin typeface="Calibri"/>
                      <a:ea typeface="DejaVu Sans"/>
                    </a:defRPr>
                  </a:pPr>
                </a:p>
              </c:txPr>
              <c:dLblPos val="outEnd"/>
              <c:showLegendKey val="1"/>
              <c:showVal val="1"/>
              <c:showCatName val="1"/>
              <c:showSerName val="0"/>
              <c:showPercent val="0"/>
              <c:separator>; </c:separator>
            </c:dLbl>
            <c:numFmt formatCode="0.0%" sourceLinked="1"/>
            <c:txPr>
              <a:bodyPr wrap="square"/>
              <a:lstStyle/>
              <a:p>
                <a:pPr>
                  <a:defRPr sz="1400" b="0" u="none" strike="noStrike">
                    <a:solidFill>
                      <a:srgbClr val="404040"/>
                    </a:solidFill>
                    <a:uFillTx/>
                    <a:latin typeface="Calibri"/>
                    <a:ea typeface="DejaVu Sans"/>
                  </a:defRPr>
                </a:pPr>
              </a:p>
            </c:txPr>
            <c:dLblPos val="bestFit"/>
            <c:showLegendKey val="1"/>
            <c:showVal val="1"/>
            <c:showCatName val="1"/>
            <c:showSerName val="0"/>
            <c:showPercent val="0"/>
            <c:separator>; </c:separator>
            <c:showLeaderLines val="1"/>
            <c:leaderLines>
              <c:spPr>
                <a:ln w="0">
                  <a:solidFill>
                    <a:srgbClr val="A6A6A6"/>
                  </a:solidFill>
                </a:ln>
              </c:spPr>
            </c:leaderLines>
          </c:dLbls>
          <c:cat>
            <c:strRef>
              <c:f>BaoCaoQuy!$A$37:$A$39</c:f>
              <c:strCache>
                <c:ptCount val="3"/>
                <c:pt idx="0">
                  <c:v>ITO</c:v>
                </c:pt>
                <c:pt idx="1">
                  <c:v>UNI</c:v>
                </c:pt>
                <c:pt idx="2">
                  <c:v>G2B</c:v>
                </c:pt>
              </c:strCache>
            </c:strRef>
          </c:cat>
          <c:val>
            <c:numRef>
              <c:f>BaoCaoQuy!$M$37:$M$39</c:f>
              <c:numCache>
                <c:formatCode>0.0%</c:formatCode>
                <c:ptCount val="3"/>
                <c:pt idx="0">
                  <c:v>0</c:v>
                </c:pt>
                <c:pt idx="1">
                  <c:v>0</c:v>
                </c:pt>
                <c:pt idx="2">
                  <c:v>0</c:v>
                </c:pt>
              </c:numCache>
            </c:numRef>
          </c:val>
        </c:ser>
        <c:firstSliceAng val="0"/>
      </c:pieChart>
      <c:spPr>
        <a:noFill/>
        <a:ln w="0">
          <a:noFill/>
        </a:ln>
      </c:spPr>
    </c:plotArea>
    <c:legend>
      <c:legendPos val="r"/>
      <c:overlay val="0"/>
      <c:spPr>
        <a:noFill/>
        <a:ln w="0">
          <a:noFill/>
        </a:ln>
      </c:spPr>
      <c:txPr>
        <a:bodyPr/>
        <a:lstStyle/>
        <a:p>
          <a:pPr>
            <a:defRPr sz="900" b="0" u="none" strike="noStrike">
              <a:solidFill>
                <a:srgbClr val="595959"/>
              </a:solidFill>
              <a:uFillTx/>
              <a:latin typeface="Calibri"/>
              <a:ea typeface="DejaVu Sans"/>
            </a:defRPr>
          </a:pPr>
        </a:p>
      </c:txPr>
    </c:legend>
    <c:plotVisOnly val="1"/>
    <c:dispBlanksAs val="zero"/>
  </c:chart>
  <c:spPr>
    <a:solidFill>
      <a:srgbClr val="FFFFFF"/>
    </a:solidFill>
    <a:ln w="9360">
      <a:solidFill>
        <a:srgbClr val="D9D9D9"/>
      </a:solidFill>
      <a:round/>
    </a:ln>
  </c:spPr>
</c:chartSpace>
</file>

<file path=xl/charts/chart4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lang="en-US" sz="1400" b="1" u="none" strike="noStrike">
                <a:solidFill>
                  <a:schemeClr val="tx1">
                    <a:lumMod val="65000"/>
                    <a:lumOff val="35000"/>
                  </a:schemeClr>
                </a:solidFill>
                <a:uFillTx/>
                <a:latin typeface="Calibri"/>
                <a:ea typeface="DejaVu Sans"/>
              </a:rPr>
              <a:t>TỔNG</a:t>
            </a:r>
            <a:r>
              <a:rPr lang="en-US" sz="1400" b="1" u="none" strike="noStrike">
                <a:solidFill>
                  <a:schemeClr val="tx1">
                    <a:lumMod val="65000"/>
                    <a:lumOff val="35000"/>
                  </a:schemeClr>
                </a:solidFill>
                <a:uFillTx/>
                <a:latin typeface="Calibri"/>
                <a:ea typeface="DejaVu Sans"/>
              </a:rPr>
              <a:t> HỢP HỢP ĐỒNG</a:t>
            </a:r>
          </a:p>
        </c:rich>
      </c:tx>
      <c:overlay val="0"/>
      <c:spPr>
        <a:noFill/>
        <a:ln w="25560">
          <a:noFill/>
        </a:ln>
      </c:spPr>
    </c:title>
    <c:autoTitleDeleted val="0"/>
    <c:plotArea>
      <c:barChart>
        <c:barDir val="col"/>
        <c:grouping val="stacked"/>
        <c:varyColors val="0"/>
        <c:ser>
          <c:idx val="0"/>
          <c:order val="0"/>
          <c:tx>
            <c:strRef>
              <c:f>'KH hieu chinh'!$B$21</c:f>
              <c:strCache>
                <c:ptCount val="1"/>
                <c:pt idx="0">
                  <c:v>KH năm</c:v>
                </c:pt>
              </c:strCache>
            </c:strRef>
          </c:tx>
          <c:spPr>
            <a:solidFill>
              <a:srgbClr val="F79646"/>
            </a:solidFill>
            <a:ln w="12600">
              <a:noFill/>
            </a:ln>
          </c:spPr>
          <c:invertIfNegative val="0"/>
          <c:dLbls>
            <c:numFmt formatCode="#,##0" sourceLinked="1"/>
            <c:txPr>
              <a:bodyPr wrap="square"/>
              <a:lstStyle/>
              <a:p>
                <a:pPr>
                  <a:defRPr sz="900" b="0" u="none" strike="noStrike">
                    <a:solidFill>
                      <a:srgbClr val="FFFFFF"/>
                    </a:solidFill>
                    <a:uFillTx/>
                    <a:latin typeface="Calibri"/>
                    <a:ea typeface="DejaVu Sans"/>
                  </a:defRPr>
                </a:pPr>
              </a:p>
            </c:txPr>
            <c:dLblPos val="ctr"/>
            <c:showLegendKey val="0"/>
            <c:showVal val="1"/>
            <c:showCatName val="0"/>
            <c:showSerName val="0"/>
            <c:showPercent val="0"/>
            <c:separator>; </c:separator>
            <c:showLeaderLines val="0"/>
            <c:extLst>
              <c:ext xmlns:c15="http://schemas.microsoft.com/office/drawing/2012/chart" uri="{CE6537A1-D6FC-4f65-9D91-7224C49458BB}">
                <c15:showLeaderLines val="0"/>
              </c:ext>
            </c:extLst>
          </c:dLbls>
          <c:val>
            <c:numRef>
              <c:f>'KH hieu chinh'!$C$21:$E$21</c:f>
              <c:numCache>
                <c:formatCode>#,##0</c:formatCode>
                <c:ptCount val="3"/>
                <c:pt idx="0">
                  <c:v>0</c:v>
                </c:pt>
              </c:numCache>
            </c:numRef>
          </c:val>
        </c:ser>
        <c:ser>
          <c:idx val="1"/>
          <c:order val="1"/>
          <c:tx>
            <c:strRef>
              <c:f>'KH hieu chinh'!$B$22</c:f>
              <c:strCache>
                <c:ptCount val="1"/>
                <c:pt idx="0">
                  <c:v>KH còn lại</c:v>
                </c:pt>
              </c:strCache>
            </c:strRef>
          </c:tx>
          <c:spPr>
            <a:solidFill>
              <a:srgbClr val="4BACC6"/>
            </a:solidFill>
            <a:ln w="12600">
              <a:noFill/>
            </a:ln>
          </c:spPr>
          <c:invertIfNegative val="0"/>
          <c:dLbls>
            <c:numFmt formatCode="#,##0" sourceLinked="1"/>
            <c:txPr>
              <a:bodyPr wrap="square"/>
              <a:lstStyle/>
              <a:p>
                <a:pPr>
                  <a:defRPr sz="900" b="0" u="none" strike="noStrike">
                    <a:solidFill>
                      <a:srgbClr val="FFFFFF"/>
                    </a:solidFill>
                    <a:uFillTx/>
                    <a:latin typeface="Calibri"/>
                    <a:ea typeface="DejaVu Sans"/>
                  </a:defRPr>
                </a:pPr>
              </a:p>
            </c:txPr>
            <c:dLblPos val="ctr"/>
            <c:showLegendKey val="0"/>
            <c:showVal val="1"/>
            <c:showCatName val="0"/>
            <c:showSerName val="0"/>
            <c:showPercent val="0"/>
            <c:separator>; </c:separator>
            <c:showLeaderLines val="0"/>
            <c:extLst>
              <c:ext xmlns:c15="http://schemas.microsoft.com/office/drawing/2012/chart" uri="{CE6537A1-D6FC-4f65-9D91-7224C49458BB}">
                <c15:showLeaderLines val="0"/>
              </c:ext>
            </c:extLst>
          </c:dLbls>
          <c:val>
            <c:numRef>
              <c:f>'KH hieu chinh'!$C$22:$E$22</c:f>
              <c:numCache>
                <c:formatCode>#,##0</c:formatCode>
                <c:ptCount val="3"/>
                <c:pt idx="1">
                  <c:v>0</c:v>
                </c:pt>
              </c:numCache>
            </c:numRef>
          </c:val>
        </c:ser>
        <c:ser>
          <c:idx val="2"/>
          <c:order val="2"/>
          <c:tx>
            <c:strRef>
              <c:f>'KH hieu chinh'!$B$23</c:f>
              <c:strCache>
                <c:ptCount val="1"/>
                <c:pt idx="0">
                  <c:v>Thực tế (đạt)</c:v>
                </c:pt>
              </c:strCache>
            </c:strRef>
          </c:tx>
          <c:spPr>
            <a:solidFill>
              <a:srgbClr val="8064A2"/>
            </a:solidFill>
            <a:ln w="12600">
              <a:noFill/>
            </a:ln>
          </c:spPr>
          <c:invertIfNegative val="0"/>
          <c:dPt>
            <c:idx val="2"/>
            <c:invertIfNegative val="0"/>
            <c:spPr>
              <a:solidFill>
                <a:srgbClr val="8064A2"/>
              </a:solidFill>
              <a:ln w="12600">
                <a:noFill/>
              </a:ln>
            </c:spPr>
          </c:dPt>
          <c:dLbls>
            <c:dLbl>
              <c:idx val="2"/>
              <c:layout>
                <c:manualLayout>
                  <c:x val="0"/>
                  <c:y val="-0.0214608230141135"/>
                </c:manualLayout>
              </c:layout>
              <c:numFmt formatCode="#,##0" sourceLinked="1"/>
              <c:txPr>
                <a:bodyPr wrap="square"/>
                <a:lstStyle/>
                <a:p>
                  <a:pPr>
                    <a:defRPr sz="1200" b="0" u="none" strike="noStrike">
                      <a:solidFill>
                        <a:srgbClr val="FFFFFF"/>
                      </a:solidFill>
                      <a:uFillTx/>
                      <a:latin typeface="Calibri"/>
                      <a:ea typeface="DejaVu Sans"/>
                    </a:defRPr>
                  </a:pPr>
                </a:p>
              </c:txPr>
              <c:dLblPos val="ctr"/>
              <c:showLegendKey val="0"/>
              <c:showVal val="1"/>
              <c:showCatName val="0"/>
              <c:showSerName val="0"/>
              <c:showPercent val="0"/>
              <c:separator>; </c:separator>
            </c:dLbl>
            <c:numFmt formatCode="#,##0" sourceLinked="1"/>
            <c:txPr>
              <a:bodyPr wrap="square"/>
              <a:lstStyle/>
              <a:p>
                <a:pPr>
                  <a:defRPr sz="1200" b="0" u="none" strike="noStrike">
                    <a:solidFill>
                      <a:srgbClr val="FFFFFF"/>
                    </a:solidFill>
                    <a:uFillTx/>
                    <a:latin typeface="Calibri"/>
                    <a:ea typeface="DejaVu Sans"/>
                  </a:defRPr>
                </a:pPr>
              </a:p>
            </c:txPr>
            <c:dLblPos val="ctr"/>
            <c:showLegendKey val="0"/>
            <c:showVal val="1"/>
            <c:showCatName val="0"/>
            <c:showSerName val="0"/>
            <c:showPercent val="0"/>
            <c:separator>; </c:separator>
            <c:showLeaderLines val="0"/>
            <c:extLst>
              <c:ext xmlns:c15="http://schemas.microsoft.com/office/drawing/2012/chart" uri="{CE6537A1-D6FC-4f65-9D91-7224C49458BB}">
                <c15:showLeaderLines val="0"/>
              </c:ext>
            </c:extLst>
          </c:dLbls>
          <c:val>
            <c:numRef>
              <c:f>'KH hieu chinh'!$C$23:$E$23</c:f>
              <c:numCache>
                <c:formatCode>#,##0</c:formatCode>
                <c:ptCount val="3"/>
                <c:pt idx="2">
                  <c:v>0</c:v>
                </c:pt>
              </c:numCache>
            </c:numRef>
          </c:val>
        </c:ser>
        <c:ser>
          <c:idx val="3"/>
          <c:order val="3"/>
          <c:tx>
            <c:strRef>
              <c:f>'KH hieu chinh'!$B$24</c:f>
              <c:strCache>
                <c:ptCount val="1"/>
                <c:pt idx="0">
                  <c:v>Nguồn HĐ dự kiến</c:v>
                </c:pt>
              </c:strCache>
            </c:strRef>
          </c:tx>
          <c:spPr>
            <a:solidFill>
              <a:srgbClr val="B65708"/>
            </a:solidFill>
            <a:ln w="12600">
              <a:noFill/>
            </a:ln>
          </c:spPr>
          <c:invertIfNegative val="0"/>
          <c:dLbls>
            <c:numFmt formatCode="#,##0" sourceLinked="1"/>
            <c:txPr>
              <a:bodyPr wrap="square"/>
              <a:lstStyle/>
              <a:p>
                <a:pPr>
                  <a:defRPr sz="900" b="0" u="none" strike="noStrike">
                    <a:solidFill>
                      <a:srgbClr val="FFFFFF"/>
                    </a:solidFill>
                    <a:uFillTx/>
                    <a:latin typeface="Calibri"/>
                    <a:ea typeface="DejaVu Sans"/>
                  </a:defRPr>
                </a:pPr>
              </a:p>
            </c:txPr>
            <c:dLblPos val="ctr"/>
            <c:showLegendKey val="0"/>
            <c:showVal val="1"/>
            <c:showCatName val="0"/>
            <c:showSerName val="0"/>
            <c:showPercent val="0"/>
            <c:separator>; </c:separator>
            <c:showLeaderLines val="0"/>
            <c:extLst>
              <c:ext xmlns:c15="http://schemas.microsoft.com/office/drawing/2012/chart" uri="{CE6537A1-D6FC-4f65-9D91-7224C49458BB}">
                <c15:showLeaderLines val="0"/>
              </c:ext>
            </c:extLst>
          </c:dLbls>
          <c:val>
            <c:numRef>
              <c:f>'KH hieu chinh'!$C$24:$E$24</c:f>
              <c:numCache>
                <c:formatCode>#,##0</c:formatCode>
                <c:ptCount val="3"/>
                <c:pt idx="2">
                  <c:v>0</c:v>
                </c:pt>
              </c:numCache>
            </c:numRef>
          </c:val>
        </c:ser>
        <c:gapWidth val="100"/>
        <c:overlap val="100"/>
        <c:axId val="86622398"/>
        <c:axId val="99168733"/>
      </c:barChart>
      <c:catAx>
        <c:axId val="86622398"/>
        <c:scaling>
          <c:orientation val="minMax"/>
        </c:scaling>
        <c:delete val="1"/>
        <c:axPos val="b"/>
        <c:numFmt formatCode="General" sourceLinked="1"/>
        <c:majorTickMark val="out"/>
        <c:minorTickMark val="none"/>
        <c:tickLblPos val="none"/>
        <c:spPr>
          <a:ln w="9360">
            <a:solidFill>
              <a:srgbClr val="878787"/>
            </a:solidFill>
            <a:round/>
          </a:ln>
        </c:spPr>
        <c:txPr>
          <a:bodyPr/>
          <a:lstStyle/>
          <a:p>
            <a:pPr>
              <a:defRPr sz="1000" b="0" u="none" strike="noStrike">
                <a:solidFill>
                  <a:srgbClr val="000000"/>
                </a:solidFill>
                <a:uFillTx/>
                <a:latin typeface="Calibri"/>
                <a:ea typeface="DejaVu Sans"/>
              </a:defRPr>
            </a:pPr>
          </a:p>
        </c:txPr>
        <c:crossAx val="99168733"/>
        <c:auto val="1"/>
        <c:lblAlgn val="ctr"/>
        <c:lblOffset val="100"/>
        <c:noMultiLvlLbl val="0"/>
      </c:catAx>
      <c:valAx>
        <c:axId val="99168733"/>
        <c:scaling>
          <c:orientation val="minMax"/>
        </c:scaling>
        <c:delete val="0"/>
        <c:axPos val="l"/>
        <c:majorGridlines>
          <c:spPr>
            <a:ln w="9360">
              <a:solidFill>
                <a:srgbClr val="D9D9D9"/>
              </a:solidFill>
              <a:round/>
            </a:ln>
          </c:spPr>
        </c:majorGridlines>
        <c:numFmt formatCode="#,##0" sourceLinked="0"/>
        <c:majorTickMark val="none"/>
        <c:minorTickMark val="none"/>
        <c:tickLblPos val="nextTo"/>
        <c:spPr>
          <a:ln w="9360">
            <a:noFill/>
          </a:ln>
        </c:spPr>
        <c:txPr>
          <a:bodyPr/>
          <a:lstStyle/>
          <a:p>
            <a:pPr>
              <a:defRPr sz="900" b="0" u="none" strike="noStrike">
                <a:solidFill>
                  <a:srgbClr val="595959"/>
                </a:solidFill>
                <a:uFillTx/>
                <a:latin typeface="Calibri"/>
                <a:ea typeface="DejaVu Sans"/>
              </a:defRPr>
            </a:pPr>
          </a:p>
        </c:txPr>
        <c:crossAx val="86622398"/>
        <c:crosses val="autoZero"/>
        <c:crossBetween val="between"/>
      </c:valAx>
      <c:spPr>
        <a:noFill/>
        <a:ln w="25560">
          <a:noFill/>
        </a:ln>
      </c:spPr>
    </c:plotArea>
    <c:legend>
      <c:legendPos val="b"/>
      <c:overlay val="0"/>
      <c:spPr>
        <a:noFill/>
        <a:ln w="25560">
          <a:noFill/>
        </a:ln>
      </c:spPr>
      <c:txPr>
        <a:bodyPr/>
        <a:lstStyle/>
        <a:p>
          <a:pPr>
            <a:defRPr sz="900" b="0" u="none" strike="noStrike">
              <a:solidFill>
                <a:srgbClr val="595959"/>
              </a:solidFill>
              <a:uFillTx/>
              <a:latin typeface="Calibri"/>
              <a:ea typeface="DejaVu Sans"/>
            </a:defRPr>
          </a:pPr>
        </a:p>
      </c:txPr>
    </c:legend>
    <c:plotVisOnly val="1"/>
    <c:dispBlanksAs val="gap"/>
  </c:chart>
  <c:spPr>
    <a:solidFill>
      <a:srgbClr val="FFFFFF"/>
    </a:solidFill>
    <a:ln w="9360">
      <a:solidFill>
        <a:srgbClr val="D9D9D9"/>
      </a:solidFill>
      <a:round/>
    </a:ln>
  </c:spPr>
</c:chartSpace>
</file>

<file path=xl/charts/chart4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lang="en-US" sz="1400" b="1" u="none" strike="noStrike">
                <a:solidFill>
                  <a:schemeClr val="tx1">
                    <a:lumMod val="65000"/>
                    <a:lumOff val="35000"/>
                  </a:schemeClr>
                </a:solidFill>
                <a:uFillTx/>
                <a:latin typeface="Calibri"/>
                <a:ea typeface="DejaVu Sans"/>
              </a:rPr>
              <a:t>TỔNG</a:t>
            </a:r>
            <a:r>
              <a:rPr lang="en-US" sz="1400" b="1" u="none" strike="noStrike">
                <a:solidFill>
                  <a:schemeClr val="tx1">
                    <a:lumMod val="65000"/>
                    <a:lumOff val="35000"/>
                  </a:schemeClr>
                </a:solidFill>
                <a:uFillTx/>
                <a:latin typeface="Calibri"/>
                <a:ea typeface="DejaVu Sans"/>
              </a:rPr>
              <a:t> HỢP DOANH THU</a:t>
            </a:r>
          </a:p>
        </c:rich>
      </c:tx>
      <c:overlay val="0"/>
      <c:spPr>
        <a:noFill/>
        <a:ln w="25560">
          <a:noFill/>
        </a:ln>
      </c:spPr>
    </c:title>
    <c:autoTitleDeleted val="0"/>
    <c:plotArea>
      <c:barChart>
        <c:barDir val="col"/>
        <c:grouping val="stacked"/>
        <c:varyColors val="0"/>
        <c:ser>
          <c:idx val="0"/>
          <c:order val="0"/>
          <c:tx>
            <c:strRef>
              <c:f>'KH hieu chinh'!$B$46</c:f>
              <c:strCache>
                <c:ptCount val="1"/>
                <c:pt idx="0">
                  <c:v>KH năm</c:v>
                </c:pt>
              </c:strCache>
            </c:strRef>
          </c:tx>
          <c:spPr>
            <a:solidFill>
              <a:srgbClr val="8064A2"/>
            </a:solidFill>
            <a:ln w="12600">
              <a:noFill/>
            </a:ln>
          </c:spPr>
          <c:invertIfNegative val="0"/>
          <c:dLbls>
            <c:numFmt formatCode="#,##0" sourceLinked="1"/>
            <c:txPr>
              <a:bodyPr wrap="square"/>
              <a:lstStyle/>
              <a:p>
                <a:pPr>
                  <a:defRPr sz="900" b="0" u="none" strike="noStrike">
                    <a:solidFill>
                      <a:srgbClr val="FFFFFF"/>
                    </a:solidFill>
                    <a:uFillTx/>
                    <a:latin typeface="Calibri"/>
                    <a:ea typeface="DejaVu Sans"/>
                  </a:defRPr>
                </a:pPr>
              </a:p>
            </c:txPr>
            <c:dLblPos val="ctr"/>
            <c:showLegendKey val="0"/>
            <c:showVal val="1"/>
            <c:showCatName val="0"/>
            <c:showSerName val="0"/>
            <c:showPercent val="0"/>
            <c:separator>; </c:separator>
            <c:showLeaderLines val="0"/>
            <c:extLst>
              <c:ext xmlns:c15="http://schemas.microsoft.com/office/drawing/2012/chart" uri="{CE6537A1-D6FC-4f65-9D91-7224C49458BB}">
                <c15:showLeaderLines val="0"/>
              </c:ext>
            </c:extLst>
          </c:dLbls>
          <c:val>
            <c:numRef>
              <c:f>'KH hieu chinh'!$C$46:$E$46</c:f>
              <c:numCache>
                <c:formatCode>#,##0</c:formatCode>
                <c:ptCount val="3"/>
                <c:pt idx="0">
                  <c:v>10000000000</c:v>
                </c:pt>
              </c:numCache>
            </c:numRef>
          </c:val>
        </c:ser>
        <c:ser>
          <c:idx val="1"/>
          <c:order val="1"/>
          <c:tx>
            <c:strRef>
              <c:f>'KH hieu chinh'!$B$47</c:f>
              <c:strCache>
                <c:ptCount val="1"/>
                <c:pt idx="0">
                  <c:v>KH còn lại</c:v>
                </c:pt>
              </c:strCache>
            </c:strRef>
          </c:tx>
          <c:spPr>
            <a:solidFill>
              <a:srgbClr val="4BACC6"/>
            </a:solidFill>
            <a:ln w="12600">
              <a:noFill/>
            </a:ln>
          </c:spPr>
          <c:invertIfNegative val="0"/>
          <c:dLbls>
            <c:numFmt formatCode="#,##0" sourceLinked="1"/>
            <c:txPr>
              <a:bodyPr wrap="square"/>
              <a:lstStyle/>
              <a:p>
                <a:pPr>
                  <a:defRPr sz="900" b="0" u="none" strike="noStrike">
                    <a:solidFill>
                      <a:srgbClr val="FFFFFF"/>
                    </a:solidFill>
                    <a:uFillTx/>
                    <a:latin typeface="Calibri"/>
                    <a:ea typeface="DejaVu Sans"/>
                  </a:defRPr>
                </a:pPr>
              </a:p>
            </c:txPr>
            <c:dLblPos val="ctr"/>
            <c:showLegendKey val="0"/>
            <c:showVal val="1"/>
            <c:showCatName val="0"/>
            <c:showSerName val="0"/>
            <c:showPercent val="0"/>
            <c:separator>; </c:separator>
            <c:showLeaderLines val="0"/>
            <c:extLst>
              <c:ext xmlns:c15="http://schemas.microsoft.com/office/drawing/2012/chart" uri="{CE6537A1-D6FC-4f65-9D91-7224C49458BB}">
                <c15:showLeaderLines val="0"/>
              </c:ext>
            </c:extLst>
          </c:dLbls>
          <c:val>
            <c:numRef>
              <c:f>'KH hieu chinh'!$C$47:$E$47</c:f>
              <c:numCache>
                <c:formatCode>#,##0</c:formatCode>
                <c:ptCount val="3"/>
                <c:pt idx="1">
                  <c:v>10000000000</c:v>
                </c:pt>
              </c:numCache>
            </c:numRef>
          </c:val>
        </c:ser>
        <c:ser>
          <c:idx val="2"/>
          <c:order val="2"/>
          <c:tx>
            <c:strRef>
              <c:f>'KH hieu chinh'!$B$48</c:f>
              <c:strCache>
                <c:ptCount val="1"/>
                <c:pt idx="0">
                  <c:v>Thực tế (đạt)</c:v>
                </c:pt>
              </c:strCache>
            </c:strRef>
          </c:tx>
          <c:spPr>
            <a:solidFill>
              <a:srgbClr val="F79646"/>
            </a:solidFill>
            <a:ln w="12600">
              <a:noFill/>
            </a:ln>
          </c:spPr>
          <c:invertIfNegative val="0"/>
          <c:dPt>
            <c:idx val="2"/>
            <c:invertIfNegative val="0"/>
            <c:spPr>
              <a:solidFill>
                <a:srgbClr val="F79646"/>
              </a:solidFill>
              <a:ln w="12600">
                <a:noFill/>
              </a:ln>
            </c:spPr>
          </c:dPt>
          <c:dLbls>
            <c:dLbl>
              <c:idx val="2"/>
              <c:layout>
                <c:manualLayout>
                  <c:x val="0"/>
                  <c:y val="0.0108672911223217"/>
                </c:manualLayout>
              </c:layout>
              <c:numFmt formatCode="#,##0" sourceLinked="1"/>
              <c:txPr>
                <a:bodyPr wrap="square"/>
                <a:lstStyle/>
                <a:p>
                  <a:pPr>
                    <a:defRPr sz="1200" b="0" u="none" strike="noStrike">
                      <a:solidFill>
                        <a:srgbClr val="000000"/>
                      </a:solidFill>
                      <a:uFillTx/>
                      <a:latin typeface="Calibri"/>
                      <a:ea typeface="DejaVu Sans"/>
                    </a:defRPr>
                  </a:pPr>
                </a:p>
              </c:txPr>
              <c:dLblPos val="ctr"/>
              <c:showLegendKey val="0"/>
              <c:showVal val="1"/>
              <c:showCatName val="0"/>
              <c:showSerName val="0"/>
              <c:showPercent val="0"/>
              <c:separator>; </c:separator>
            </c:dLbl>
            <c:numFmt formatCode="#,##0" sourceLinked="1"/>
            <c:txPr>
              <a:bodyPr wrap="square"/>
              <a:lstStyle/>
              <a:p>
                <a:pPr>
                  <a:defRPr sz="1200" b="0" u="none" strike="noStrike">
                    <a:solidFill>
                      <a:srgbClr val="000000"/>
                    </a:solidFill>
                    <a:uFillTx/>
                    <a:latin typeface="Calibri"/>
                    <a:ea typeface="DejaVu Sans"/>
                  </a:defRPr>
                </a:pPr>
              </a:p>
            </c:txPr>
            <c:dLblPos val="ctr"/>
            <c:showLegendKey val="0"/>
            <c:showVal val="1"/>
            <c:showCatName val="0"/>
            <c:showSerName val="0"/>
            <c:showPercent val="0"/>
            <c:separator>; </c:separator>
            <c:showLeaderLines val="0"/>
            <c:extLst>
              <c:ext xmlns:c15="http://schemas.microsoft.com/office/drawing/2012/chart" uri="{CE6537A1-D6FC-4f65-9D91-7224C49458BB}">
                <c15:showLeaderLines val="0"/>
              </c:ext>
            </c:extLst>
          </c:dLbls>
          <c:val>
            <c:numRef>
              <c:f>'KH hieu chinh'!$C$48:$E$48</c:f>
              <c:numCache>
                <c:formatCode>#,##0</c:formatCode>
                <c:ptCount val="3"/>
                <c:pt idx="2">
                  <c:v>0</c:v>
                </c:pt>
              </c:numCache>
            </c:numRef>
          </c:val>
        </c:ser>
        <c:ser>
          <c:idx val="3"/>
          <c:order val="3"/>
          <c:tx>
            <c:strRef>
              <c:f>'KH hieu chinh'!$B$49</c:f>
              <c:strCache>
                <c:ptCount val="1"/>
                <c:pt idx="0">
                  <c:v>Nguồn thu (HĐ đã ký)</c:v>
                </c:pt>
              </c:strCache>
            </c:strRef>
          </c:tx>
          <c:spPr>
            <a:solidFill>
              <a:srgbClr val="4F81BD"/>
            </a:solidFill>
            <a:ln w="12600">
              <a:noFill/>
            </a:ln>
          </c:spPr>
          <c:invertIfNegative val="0"/>
          <c:dLbls>
            <c:numFmt formatCode="#,##0" sourceLinked="1"/>
            <c:txPr>
              <a:bodyPr wrap="square"/>
              <a:lstStyle/>
              <a:p>
                <a:pPr>
                  <a:defRPr sz="1000" b="0" u="none" strike="noStrike">
                    <a:solidFill>
                      <a:srgbClr val="FFFFFF"/>
                    </a:solidFill>
                    <a:uFillTx/>
                    <a:latin typeface="Calibri"/>
                    <a:ea typeface="DejaVu Sans"/>
                  </a:defRPr>
                </a:pPr>
              </a:p>
            </c:txPr>
            <c:dLblPos val="ctr"/>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val>
            <c:numRef>
              <c:f>'KH hieu chinh'!$C$49:$E$49</c:f>
              <c:numCache>
                <c:formatCode>#,##0</c:formatCode>
                <c:ptCount val="3"/>
                <c:pt idx="2">
                  <c:v>0</c:v>
                </c:pt>
              </c:numCache>
            </c:numRef>
          </c:val>
        </c:ser>
        <c:ser>
          <c:idx val="4"/>
          <c:order val="4"/>
          <c:tx>
            <c:strRef>
              <c:f>'KH hieu chinh'!$B$50</c:f>
              <c:strCache>
                <c:ptCount val="1"/>
                <c:pt idx="0">
                  <c:v>Nguồn DT dự kiến</c:v>
                </c:pt>
              </c:strCache>
            </c:strRef>
          </c:tx>
          <c:spPr>
            <a:solidFill>
              <a:srgbClr val="C0504D"/>
            </a:solidFill>
            <a:ln w="12600">
              <a:noFill/>
            </a:ln>
          </c:spPr>
          <c:invertIfNegative val="0"/>
          <c:dPt>
            <c:idx val="2"/>
            <c:invertIfNegative val="0"/>
            <c:spPr>
              <a:solidFill>
                <a:srgbClr val="C0504D"/>
              </a:solidFill>
              <a:ln w="12600">
                <a:noFill/>
              </a:ln>
            </c:spPr>
          </c:dPt>
          <c:dLbls>
            <c:dLbl>
              <c:idx val="2"/>
              <c:numFmt formatCode="#,##0" sourceLinked="1"/>
              <c:txPr>
                <a:bodyPr wrap="square"/>
                <a:lstStyle/>
                <a:p>
                  <a:pPr>
                    <a:defRPr sz="1000" b="0" u="none" strike="noStrike">
                      <a:solidFill>
                        <a:srgbClr val="FFFFFF"/>
                      </a:solidFill>
                      <a:uFillTx/>
                      <a:latin typeface="Calibri"/>
                      <a:ea typeface="DejaVu Sans"/>
                    </a:defRPr>
                  </a:pPr>
                </a:p>
              </c:txPr>
              <c:dLblPos val="ctr"/>
              <c:showLegendKey val="0"/>
              <c:showVal val="1"/>
              <c:showCatName val="0"/>
              <c:showSerName val="0"/>
              <c:showPercent val="0"/>
              <c:separator>; </c:separator>
            </c:dLbl>
            <c:txPr>
              <a:bodyPr wrap="square"/>
              <a:lstStyle/>
              <a:p>
                <a:pPr>
                  <a:defRPr sz="1000" b="0" u="none" strike="noStrike">
                    <a:solidFill>
                      <a:srgbClr val="FFFFFF"/>
                    </a:solidFill>
                    <a:uFillTx/>
                    <a:latin typeface="Calibri"/>
                    <a:ea typeface="DejaVu Sans"/>
                  </a:defRPr>
                </a:pPr>
              </a:p>
            </c:txPr>
            <c:dLblPos val="ct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val>
            <c:numRef>
              <c:f>'KH hieu chinh'!$C$50:$E$50</c:f>
              <c:numCache>
                <c:formatCode>#,##0</c:formatCode>
                <c:ptCount val="3"/>
                <c:pt idx="2">
                  <c:v>0</c:v>
                </c:pt>
              </c:numCache>
            </c:numRef>
          </c:val>
        </c:ser>
        <c:gapWidth val="100"/>
        <c:overlap val="100"/>
        <c:axId val="63732684"/>
        <c:axId val="99463539"/>
      </c:barChart>
      <c:catAx>
        <c:axId val="63732684"/>
        <c:scaling>
          <c:orientation val="minMax"/>
        </c:scaling>
        <c:delete val="1"/>
        <c:axPos val="b"/>
        <c:numFmt formatCode="General" sourceLinked="1"/>
        <c:majorTickMark val="out"/>
        <c:minorTickMark val="none"/>
        <c:tickLblPos val="none"/>
        <c:spPr>
          <a:ln w="9360">
            <a:solidFill>
              <a:srgbClr val="878787"/>
            </a:solidFill>
            <a:round/>
          </a:ln>
        </c:spPr>
        <c:txPr>
          <a:bodyPr/>
          <a:lstStyle/>
          <a:p>
            <a:pPr>
              <a:defRPr sz="1000" b="0" u="none" strike="noStrike">
                <a:solidFill>
                  <a:srgbClr val="000000"/>
                </a:solidFill>
                <a:uFillTx/>
                <a:latin typeface="Calibri"/>
                <a:ea typeface="DejaVu Sans"/>
              </a:defRPr>
            </a:pPr>
          </a:p>
        </c:txPr>
        <c:crossAx val="99463539"/>
        <c:auto val="1"/>
        <c:lblAlgn val="ctr"/>
        <c:lblOffset val="100"/>
        <c:noMultiLvlLbl val="0"/>
      </c:catAx>
      <c:valAx>
        <c:axId val="99463539"/>
        <c:scaling>
          <c:orientation val="minMax"/>
        </c:scaling>
        <c:delete val="0"/>
        <c:axPos val="l"/>
        <c:majorGridlines>
          <c:spPr>
            <a:ln w="9360">
              <a:solidFill>
                <a:srgbClr val="D9D9D9"/>
              </a:solidFill>
              <a:round/>
            </a:ln>
          </c:spPr>
        </c:majorGridlines>
        <c:numFmt formatCode="#,##0" sourceLinked="0"/>
        <c:majorTickMark val="none"/>
        <c:minorTickMark val="none"/>
        <c:tickLblPos val="nextTo"/>
        <c:spPr>
          <a:ln w="9360">
            <a:noFill/>
          </a:ln>
        </c:spPr>
        <c:txPr>
          <a:bodyPr/>
          <a:lstStyle/>
          <a:p>
            <a:pPr>
              <a:defRPr sz="900" b="0" u="none" strike="noStrike">
                <a:solidFill>
                  <a:srgbClr val="595959"/>
                </a:solidFill>
                <a:uFillTx/>
                <a:latin typeface="Calibri"/>
                <a:ea typeface="DejaVu Sans"/>
              </a:defRPr>
            </a:pPr>
          </a:p>
        </c:txPr>
        <c:crossAx val="63732684"/>
        <c:crosses val="autoZero"/>
        <c:crossBetween val="between"/>
      </c:valAx>
      <c:spPr>
        <a:noFill/>
        <a:ln w="25560">
          <a:noFill/>
        </a:ln>
      </c:spPr>
    </c:plotArea>
    <c:legend>
      <c:legendPos val="b"/>
      <c:overlay val="0"/>
      <c:spPr>
        <a:noFill/>
        <a:ln w="25560">
          <a:noFill/>
        </a:ln>
      </c:spPr>
      <c:txPr>
        <a:bodyPr/>
        <a:lstStyle/>
        <a:p>
          <a:pPr>
            <a:defRPr sz="900" b="0" u="none" strike="noStrike">
              <a:solidFill>
                <a:srgbClr val="595959"/>
              </a:solidFill>
              <a:uFillTx/>
              <a:latin typeface="Calibri"/>
              <a:ea typeface="DejaVu Sans"/>
            </a:defRPr>
          </a:pPr>
        </a:p>
      </c:txPr>
    </c:legend>
    <c:plotVisOnly val="1"/>
    <c:dispBlanksAs val="gap"/>
  </c:chart>
  <c:spPr>
    <a:solidFill>
      <a:srgbClr val="FFFFFF"/>
    </a:solidFill>
    <a:ln w="9360">
      <a:solidFill>
        <a:srgbClr val="D9D9D9"/>
      </a:solidFill>
      <a:round/>
    </a:ln>
  </c:spPr>
</c:chartSpace>
</file>

<file path=xl/charts/chart4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lang="en-US" sz="1400" b="1" u="none" strike="noStrike">
                <a:solidFill>
                  <a:schemeClr val="tx1">
                    <a:lumMod val="65000"/>
                    <a:lumOff val="35000"/>
                  </a:schemeClr>
                </a:solidFill>
                <a:uFillTx/>
                <a:latin typeface="Calibri"/>
                <a:ea typeface="DejaVu Sans"/>
              </a:rPr>
              <a:t>TỔNG</a:t>
            </a:r>
            <a:r>
              <a:rPr lang="en-US" sz="1400" b="1" u="none" strike="noStrike">
                <a:solidFill>
                  <a:schemeClr val="tx1">
                    <a:lumMod val="65000"/>
                    <a:lumOff val="35000"/>
                  </a:schemeClr>
                </a:solidFill>
                <a:uFillTx/>
                <a:latin typeface="Calibri"/>
                <a:ea typeface="DejaVu Sans"/>
              </a:rPr>
              <a:t> HỢP HỢP ĐỒNG</a:t>
            </a:r>
          </a:p>
        </c:rich>
      </c:tx>
      <c:overlay val="0"/>
      <c:spPr>
        <a:noFill/>
        <a:ln w="0">
          <a:noFill/>
        </a:ln>
      </c:spPr>
    </c:title>
    <c:autoTitleDeleted val="0"/>
    <c:plotArea>
      <c:barChart>
        <c:barDir val="col"/>
        <c:grouping val="stacked"/>
        <c:varyColors val="0"/>
        <c:ser>
          <c:idx val="0"/>
          <c:order val="0"/>
          <c:tx>
            <c:strRef>
              <c:f>'KH hieu chinh'!$B$21</c:f>
              <c:strCache>
                <c:ptCount val="1"/>
                <c:pt idx="0">
                  <c:v>KH năm</c:v>
                </c:pt>
              </c:strCache>
            </c:strRef>
          </c:tx>
          <c:spPr>
            <a:solidFill>
              <a:srgbClr val="F79646"/>
            </a:solidFill>
            <a:ln w="12600">
              <a:noFill/>
            </a:ln>
          </c:spPr>
          <c:invertIfNegative val="0"/>
          <c:dLbls>
            <c:numFmt formatCode="#,##0" sourceLinked="1"/>
            <c:txPr>
              <a:bodyPr wrap="square"/>
              <a:lstStyle/>
              <a:p>
                <a:pPr>
                  <a:defRPr sz="900" b="0" u="none" strike="noStrike">
                    <a:solidFill>
                      <a:srgbClr val="FFFFFF"/>
                    </a:solidFill>
                    <a:uFillTx/>
                    <a:latin typeface="Calibri"/>
                    <a:ea typeface="DejaVu Sans"/>
                  </a:defRPr>
                </a:pPr>
              </a:p>
            </c:txPr>
            <c:dLblPos val="ctr"/>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val>
            <c:numRef>
              <c:f>'KH hieu chinh'!$F$21:$H$21</c:f>
              <c:numCache>
                <c:formatCode>#,##0</c:formatCode>
                <c:ptCount val="3"/>
                <c:pt idx="0">
                  <c:v>0</c:v>
                </c:pt>
              </c:numCache>
            </c:numRef>
          </c:val>
        </c:ser>
        <c:ser>
          <c:idx val="1"/>
          <c:order val="1"/>
          <c:tx>
            <c:strRef>
              <c:f>'KH hieu chinh'!$B$22</c:f>
              <c:strCache>
                <c:ptCount val="1"/>
                <c:pt idx="0">
                  <c:v>KH còn lại</c:v>
                </c:pt>
              </c:strCache>
            </c:strRef>
          </c:tx>
          <c:spPr>
            <a:solidFill>
              <a:srgbClr val="4BACC6"/>
            </a:solidFill>
            <a:ln w="12600">
              <a:noFill/>
            </a:ln>
          </c:spPr>
          <c:invertIfNegative val="0"/>
          <c:dLbls>
            <c:numFmt formatCode="#,##0" sourceLinked="1"/>
            <c:txPr>
              <a:bodyPr wrap="square"/>
              <a:lstStyle/>
              <a:p>
                <a:pPr>
                  <a:defRPr sz="900" b="0" u="none" strike="noStrike">
                    <a:solidFill>
                      <a:srgbClr val="FFFFFF"/>
                    </a:solidFill>
                    <a:uFillTx/>
                    <a:latin typeface="Calibri"/>
                    <a:ea typeface="DejaVu Sans"/>
                  </a:defRPr>
                </a:pPr>
              </a:p>
            </c:txPr>
            <c:dLblPos val="ctr"/>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val>
            <c:numRef>
              <c:f>'KH hieu chinh'!$F$22:$H$22</c:f>
              <c:numCache>
                <c:formatCode>#,##0</c:formatCode>
                <c:ptCount val="3"/>
                <c:pt idx="1">
                  <c:v>0</c:v>
                </c:pt>
              </c:numCache>
            </c:numRef>
          </c:val>
        </c:ser>
        <c:ser>
          <c:idx val="2"/>
          <c:order val="2"/>
          <c:tx>
            <c:strRef>
              <c:f>'KH hieu chinh'!$B$23</c:f>
              <c:strCache>
                <c:ptCount val="1"/>
                <c:pt idx="0">
                  <c:v>Thực tế (đạt)</c:v>
                </c:pt>
              </c:strCache>
            </c:strRef>
          </c:tx>
          <c:spPr>
            <a:solidFill>
              <a:srgbClr val="8064A2"/>
            </a:solidFill>
            <a:ln w="12600">
              <a:noFill/>
            </a:ln>
          </c:spPr>
          <c:invertIfNegative val="0"/>
          <c:dLbls>
            <c:numFmt formatCode="#,##0" sourceLinked="1"/>
            <c:txPr>
              <a:bodyPr wrap="square"/>
              <a:lstStyle/>
              <a:p>
                <a:pPr>
                  <a:defRPr sz="1200" b="0" u="none" strike="noStrike">
                    <a:solidFill>
                      <a:srgbClr val="000000"/>
                    </a:solidFill>
                    <a:uFillTx/>
                    <a:latin typeface="Calibri"/>
                    <a:ea typeface="DejaVu Sans"/>
                  </a:defRPr>
                </a:pPr>
              </a:p>
            </c:txPr>
            <c:dLblPos val="ctr"/>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val>
            <c:numRef>
              <c:f>'KH hieu chinh'!$F$23:$H$23</c:f>
              <c:numCache>
                <c:formatCode>#,##0</c:formatCode>
                <c:ptCount val="3"/>
                <c:pt idx="2">
                  <c:v>0</c:v>
                </c:pt>
              </c:numCache>
            </c:numRef>
          </c:val>
        </c:ser>
        <c:ser>
          <c:idx val="3"/>
          <c:order val="3"/>
          <c:tx>
            <c:strRef>
              <c:f>'KH hieu chinh'!$B$24</c:f>
              <c:strCache>
                <c:ptCount val="1"/>
                <c:pt idx="0">
                  <c:v>Nguồn HĐ dự kiến</c:v>
                </c:pt>
              </c:strCache>
            </c:strRef>
          </c:tx>
          <c:spPr>
            <a:solidFill>
              <a:srgbClr val="B65708"/>
            </a:solidFill>
            <a:ln w="12600">
              <a:noFill/>
            </a:ln>
          </c:spPr>
          <c:invertIfNegative val="0"/>
          <c:dLbls>
            <c:numFmt formatCode="#,##0" sourceLinked="1"/>
            <c:txPr>
              <a:bodyPr wrap="square"/>
              <a:lstStyle/>
              <a:p>
                <a:pPr>
                  <a:defRPr sz="900" b="0" u="none" strike="noStrike">
                    <a:solidFill>
                      <a:srgbClr val="FFFFFF"/>
                    </a:solidFill>
                    <a:uFillTx/>
                    <a:latin typeface="Calibri"/>
                    <a:ea typeface="DejaVu Sans"/>
                  </a:defRPr>
                </a:pPr>
              </a:p>
            </c:txPr>
            <c:dLblPos val="ctr"/>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val>
            <c:numRef>
              <c:f>'KH hieu chinh'!$F$24:$H$24</c:f>
              <c:numCache>
                <c:formatCode>#,##0</c:formatCode>
                <c:ptCount val="3"/>
                <c:pt idx="2">
                  <c:v>854990000</c:v>
                </c:pt>
              </c:numCache>
            </c:numRef>
          </c:val>
        </c:ser>
        <c:gapWidth val="100"/>
        <c:overlap val="100"/>
        <c:axId val="93610284"/>
        <c:axId val="27209663"/>
      </c:barChart>
      <c:catAx>
        <c:axId val="93610284"/>
        <c:scaling>
          <c:orientation val="minMax"/>
        </c:scaling>
        <c:delete val="1"/>
        <c:axPos val="b"/>
        <c:numFmt formatCode="General" sourceLinked="1"/>
        <c:majorTickMark val="none"/>
        <c:minorTickMark val="none"/>
        <c:tickLblPos val="none"/>
        <c:spPr>
          <a:ln w="9360">
            <a:solidFill>
              <a:srgbClr val="878787"/>
            </a:solidFill>
            <a:round/>
          </a:ln>
        </c:spPr>
        <c:txPr>
          <a:bodyPr/>
          <a:lstStyle/>
          <a:p>
            <a:pPr>
              <a:defRPr sz="1000" b="0" u="none" strike="noStrike">
                <a:solidFill>
                  <a:srgbClr val="000000"/>
                </a:solidFill>
                <a:uFillTx/>
                <a:latin typeface="Calibri"/>
                <a:ea typeface="DejaVu Sans"/>
              </a:defRPr>
            </a:pPr>
          </a:p>
        </c:txPr>
        <c:crossAx val="27209663"/>
        <c:auto val="1"/>
        <c:lblAlgn val="ctr"/>
        <c:lblOffset val="100"/>
        <c:noMultiLvlLbl val="0"/>
      </c:catAx>
      <c:valAx>
        <c:axId val="27209663"/>
        <c:scaling>
          <c:orientation val="minMax"/>
        </c:scaling>
        <c:delete val="0"/>
        <c:axPos val="l"/>
        <c:majorGridlines>
          <c:spPr>
            <a:ln w="9360">
              <a:solidFill>
                <a:srgbClr val="D9D9D9"/>
              </a:solidFill>
              <a:round/>
            </a:ln>
          </c:spPr>
        </c:majorGridlines>
        <c:numFmt formatCode="#,##0" sourceLinked="0"/>
        <c:majorTickMark val="none"/>
        <c:minorTickMark val="none"/>
        <c:tickLblPos val="nextTo"/>
        <c:spPr>
          <a:ln w="9360">
            <a:noFill/>
          </a:ln>
        </c:spPr>
        <c:txPr>
          <a:bodyPr/>
          <a:lstStyle/>
          <a:p>
            <a:pPr>
              <a:defRPr sz="900" b="0" u="none" strike="noStrike">
                <a:solidFill>
                  <a:srgbClr val="595959"/>
                </a:solidFill>
                <a:uFillTx/>
                <a:latin typeface="Calibri"/>
                <a:ea typeface="DejaVu Sans"/>
              </a:defRPr>
            </a:pPr>
          </a:p>
        </c:txPr>
        <c:crossAx val="93610284"/>
        <c:crosses val="autoZero"/>
        <c:crossBetween val="between"/>
      </c:valAx>
      <c:spPr>
        <a:noFill/>
        <a:ln w="0">
          <a:noFill/>
        </a:ln>
      </c:spPr>
    </c:plotArea>
    <c:legend>
      <c:legendPos val="b"/>
      <c:overlay val="0"/>
      <c:spPr>
        <a:noFill/>
        <a:ln w="0">
          <a:noFill/>
        </a:ln>
      </c:spPr>
      <c:txPr>
        <a:bodyPr/>
        <a:lstStyle/>
        <a:p>
          <a:pPr>
            <a:defRPr sz="900" b="0" u="none" strike="noStrike">
              <a:solidFill>
                <a:srgbClr val="595959"/>
              </a:solidFill>
              <a:uFillTx/>
              <a:latin typeface="Calibri"/>
              <a:ea typeface="DejaVu Sans"/>
            </a:defRPr>
          </a:pPr>
        </a:p>
      </c:txPr>
    </c:legend>
    <c:plotVisOnly val="1"/>
    <c:dispBlanksAs val="gap"/>
  </c:chart>
  <c:spPr>
    <a:solidFill>
      <a:srgbClr val="FFFFFF"/>
    </a:solidFill>
    <a:ln w="9360">
      <a:solidFill>
        <a:srgbClr val="D9D9D9"/>
      </a:solidFill>
      <a:round/>
    </a:ln>
  </c:spPr>
</c:chartSpace>
</file>

<file path=xl/charts/chart4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lang="en-US" sz="1400" b="1" u="none" strike="noStrike">
                <a:solidFill>
                  <a:schemeClr val="tx1">
                    <a:lumMod val="65000"/>
                    <a:lumOff val="35000"/>
                  </a:schemeClr>
                </a:solidFill>
                <a:uFillTx/>
                <a:latin typeface="Calibri"/>
                <a:ea typeface="DejaVu Sans"/>
              </a:rPr>
              <a:t>TỔNG</a:t>
            </a:r>
            <a:r>
              <a:rPr lang="en-US" sz="1400" b="1" u="none" strike="noStrike">
                <a:solidFill>
                  <a:schemeClr val="tx1">
                    <a:lumMod val="65000"/>
                    <a:lumOff val="35000"/>
                  </a:schemeClr>
                </a:solidFill>
                <a:uFillTx/>
                <a:latin typeface="Calibri"/>
                <a:ea typeface="DejaVu Sans"/>
              </a:rPr>
              <a:t> HỢP DOANH THU</a:t>
            </a:r>
          </a:p>
        </c:rich>
      </c:tx>
      <c:overlay val="0"/>
      <c:spPr>
        <a:noFill/>
        <a:ln w="0">
          <a:noFill/>
        </a:ln>
      </c:spPr>
    </c:title>
    <c:autoTitleDeleted val="0"/>
    <c:plotArea>
      <c:barChart>
        <c:barDir val="col"/>
        <c:grouping val="stacked"/>
        <c:varyColors val="0"/>
        <c:ser>
          <c:idx val="0"/>
          <c:order val="0"/>
          <c:tx>
            <c:strRef>
              <c:f>'KH hieu chinh'!$B$46</c:f>
              <c:strCache>
                <c:ptCount val="1"/>
                <c:pt idx="0">
                  <c:v>KH năm</c:v>
                </c:pt>
              </c:strCache>
            </c:strRef>
          </c:tx>
          <c:spPr>
            <a:solidFill>
              <a:srgbClr val="8064A2"/>
            </a:solidFill>
            <a:ln w="12600">
              <a:noFill/>
            </a:ln>
          </c:spPr>
          <c:invertIfNegative val="0"/>
          <c:dLbls>
            <c:numFmt formatCode="#,##0" sourceLinked="1"/>
            <c:txPr>
              <a:bodyPr wrap="square"/>
              <a:lstStyle/>
              <a:p>
                <a:pPr>
                  <a:defRPr sz="900" b="0" u="none" strike="noStrike">
                    <a:solidFill>
                      <a:srgbClr val="FFFFFF"/>
                    </a:solidFill>
                    <a:uFillTx/>
                    <a:latin typeface="Calibri"/>
                    <a:ea typeface="DejaVu Sans"/>
                  </a:defRPr>
                </a:pPr>
              </a:p>
            </c:txPr>
            <c:dLblPos val="ctr"/>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val>
            <c:numRef>
              <c:f>'KH hieu chinh'!$F$46:$H$46</c:f>
              <c:numCache>
                <c:formatCode>#,##0</c:formatCode>
                <c:ptCount val="3"/>
                <c:pt idx="0">
                  <c:v>9000000000</c:v>
                </c:pt>
              </c:numCache>
            </c:numRef>
          </c:val>
        </c:ser>
        <c:ser>
          <c:idx val="1"/>
          <c:order val="1"/>
          <c:tx>
            <c:strRef>
              <c:f>'KH hieu chinh'!$B$47</c:f>
              <c:strCache>
                <c:ptCount val="1"/>
                <c:pt idx="0">
                  <c:v>KH còn lại</c:v>
                </c:pt>
              </c:strCache>
            </c:strRef>
          </c:tx>
          <c:spPr>
            <a:solidFill>
              <a:srgbClr val="4BACC6"/>
            </a:solidFill>
            <a:ln w="12600">
              <a:noFill/>
            </a:ln>
          </c:spPr>
          <c:invertIfNegative val="0"/>
          <c:dLbls>
            <c:numFmt formatCode="#,##0" sourceLinked="1"/>
            <c:txPr>
              <a:bodyPr wrap="square"/>
              <a:lstStyle/>
              <a:p>
                <a:pPr>
                  <a:defRPr sz="900" b="0" u="none" strike="noStrike">
                    <a:solidFill>
                      <a:srgbClr val="FFFFFF"/>
                    </a:solidFill>
                    <a:uFillTx/>
                    <a:latin typeface="Calibri"/>
                    <a:ea typeface="DejaVu Sans"/>
                  </a:defRPr>
                </a:pPr>
              </a:p>
            </c:txPr>
            <c:dLblPos val="ctr"/>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val>
            <c:numRef>
              <c:f>'KH hieu chinh'!$F$47:$H$47</c:f>
              <c:numCache>
                <c:formatCode>#,##0</c:formatCode>
                <c:ptCount val="3"/>
                <c:pt idx="1">
                  <c:v>9000000000</c:v>
                </c:pt>
              </c:numCache>
            </c:numRef>
          </c:val>
        </c:ser>
        <c:ser>
          <c:idx val="2"/>
          <c:order val="2"/>
          <c:tx>
            <c:strRef>
              <c:f>'KH hieu chinh'!$B$48</c:f>
              <c:strCache>
                <c:ptCount val="1"/>
                <c:pt idx="0">
                  <c:v>Thực tế (đạt)</c:v>
                </c:pt>
              </c:strCache>
            </c:strRef>
          </c:tx>
          <c:spPr>
            <a:solidFill>
              <a:srgbClr val="F79646"/>
            </a:solidFill>
            <a:ln w="12600">
              <a:noFill/>
            </a:ln>
          </c:spPr>
          <c:invertIfNegative val="0"/>
          <c:dLbls>
            <c:numFmt formatCode="#,##0" sourceLinked="1"/>
            <c:txPr>
              <a:bodyPr wrap="square"/>
              <a:lstStyle/>
              <a:p>
                <a:pPr>
                  <a:defRPr sz="1200" b="0" u="none" strike="noStrike">
                    <a:solidFill>
                      <a:srgbClr val="000000"/>
                    </a:solidFill>
                    <a:uFillTx/>
                    <a:latin typeface="Calibri"/>
                    <a:ea typeface="DejaVu Sans"/>
                  </a:defRPr>
                </a:pPr>
              </a:p>
            </c:txPr>
            <c:dLblPos val="ctr"/>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val>
            <c:numRef>
              <c:f>'KH hieu chinh'!$F$48:$H$48</c:f>
              <c:numCache>
                <c:formatCode>#,##0</c:formatCode>
                <c:ptCount val="3"/>
                <c:pt idx="2">
                  <c:v>0</c:v>
                </c:pt>
              </c:numCache>
            </c:numRef>
          </c:val>
        </c:ser>
        <c:ser>
          <c:idx val="3"/>
          <c:order val="3"/>
          <c:tx>
            <c:strRef>
              <c:f>'KH hieu chinh'!$B$49</c:f>
              <c:strCache>
                <c:ptCount val="1"/>
                <c:pt idx="0">
                  <c:v>Nguồn thu (HĐ đã ký)</c:v>
                </c:pt>
              </c:strCache>
            </c:strRef>
          </c:tx>
          <c:spPr>
            <a:solidFill>
              <a:srgbClr val="C0504D"/>
            </a:solidFill>
            <a:ln w="12600">
              <a:noFill/>
            </a:ln>
          </c:spPr>
          <c:invertIfNegative val="0"/>
          <c:dLbls>
            <c:numFmt formatCode="#,##0" sourceLinked="1"/>
            <c:txPr>
              <a:bodyPr wrap="square"/>
              <a:lstStyle/>
              <a:p>
                <a:pPr>
                  <a:defRPr sz="900" b="0" u="none" strike="noStrike">
                    <a:solidFill>
                      <a:srgbClr val="FFFFFF"/>
                    </a:solidFill>
                    <a:uFillTx/>
                    <a:latin typeface="Calibri"/>
                    <a:ea typeface="DejaVu Sans"/>
                  </a:defRPr>
                </a:pPr>
              </a:p>
            </c:txPr>
            <c:dLblPos val="ctr"/>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val>
            <c:numRef>
              <c:f>'KH hieu chinh'!$F$49:$H$49</c:f>
              <c:numCache>
                <c:formatCode>#,##0</c:formatCode>
                <c:ptCount val="3"/>
                <c:pt idx="2">
                  <c:v>0</c:v>
                </c:pt>
              </c:numCache>
            </c:numRef>
          </c:val>
        </c:ser>
        <c:ser>
          <c:idx val="4"/>
          <c:order val="4"/>
          <c:tx>
            <c:strRef>
              <c:f>'KH hieu chinh'!$B$50</c:f>
              <c:strCache>
                <c:ptCount val="1"/>
                <c:pt idx="0">
                  <c:v>Nguồn DT dự kiến</c:v>
                </c:pt>
              </c:strCache>
            </c:strRef>
          </c:tx>
          <c:spPr>
            <a:solidFill>
              <a:srgbClr val="4F81BD"/>
            </a:solidFill>
            <a:ln w="12600">
              <a:noFill/>
            </a:ln>
          </c:spPr>
          <c:invertIfNegative val="0"/>
          <c:dLbls>
            <c:numFmt formatCode="#,##0" sourceLinked="1"/>
            <c:txPr>
              <a:bodyPr wrap="square"/>
              <a:lstStyle/>
              <a:p>
                <a:pPr>
                  <a:defRPr sz="900" b="0" u="none" strike="noStrike">
                    <a:solidFill>
                      <a:srgbClr val="FFFFFF"/>
                    </a:solidFill>
                    <a:uFillTx/>
                    <a:latin typeface="Calibri"/>
                    <a:ea typeface="DejaVu Sans"/>
                  </a:defRPr>
                </a:pPr>
              </a:p>
            </c:txPr>
            <c:dLblPos val="ctr"/>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val>
            <c:numRef>
              <c:f>'KH hieu chinh'!$F$50:$H$50</c:f>
              <c:numCache>
                <c:formatCode>#,##0</c:formatCode>
                <c:ptCount val="3"/>
                <c:pt idx="2">
                  <c:v>854990000</c:v>
                </c:pt>
              </c:numCache>
            </c:numRef>
          </c:val>
        </c:ser>
        <c:gapWidth val="100"/>
        <c:overlap val="100"/>
        <c:axId val="31497066"/>
        <c:axId val="86074669"/>
      </c:barChart>
      <c:catAx>
        <c:axId val="31497066"/>
        <c:scaling>
          <c:orientation val="minMax"/>
        </c:scaling>
        <c:delete val="1"/>
        <c:axPos val="b"/>
        <c:numFmt formatCode="General" sourceLinked="1"/>
        <c:majorTickMark val="none"/>
        <c:minorTickMark val="none"/>
        <c:tickLblPos val="none"/>
        <c:spPr>
          <a:ln w="9360">
            <a:solidFill>
              <a:srgbClr val="878787"/>
            </a:solidFill>
            <a:round/>
          </a:ln>
        </c:spPr>
        <c:txPr>
          <a:bodyPr/>
          <a:lstStyle/>
          <a:p>
            <a:pPr>
              <a:defRPr sz="1000" b="0" u="none" strike="noStrike">
                <a:solidFill>
                  <a:srgbClr val="000000"/>
                </a:solidFill>
                <a:uFillTx/>
                <a:latin typeface="Calibri"/>
                <a:ea typeface="DejaVu Sans"/>
              </a:defRPr>
            </a:pPr>
          </a:p>
        </c:txPr>
        <c:crossAx val="86074669"/>
        <c:auto val="1"/>
        <c:lblAlgn val="ctr"/>
        <c:lblOffset val="100"/>
        <c:noMultiLvlLbl val="0"/>
      </c:catAx>
      <c:valAx>
        <c:axId val="86074669"/>
        <c:scaling>
          <c:orientation val="minMax"/>
        </c:scaling>
        <c:delete val="0"/>
        <c:axPos val="l"/>
        <c:majorGridlines>
          <c:spPr>
            <a:ln w="9360">
              <a:solidFill>
                <a:srgbClr val="D9D9D9"/>
              </a:solidFill>
              <a:round/>
            </a:ln>
          </c:spPr>
        </c:majorGridlines>
        <c:numFmt formatCode="#,##0" sourceLinked="0"/>
        <c:majorTickMark val="none"/>
        <c:minorTickMark val="none"/>
        <c:tickLblPos val="nextTo"/>
        <c:spPr>
          <a:ln w="9360">
            <a:noFill/>
          </a:ln>
        </c:spPr>
        <c:txPr>
          <a:bodyPr/>
          <a:lstStyle/>
          <a:p>
            <a:pPr>
              <a:defRPr sz="900" b="0" u="none" strike="noStrike">
                <a:solidFill>
                  <a:srgbClr val="595959"/>
                </a:solidFill>
                <a:uFillTx/>
                <a:latin typeface="Calibri"/>
                <a:ea typeface="DejaVu Sans"/>
              </a:defRPr>
            </a:pPr>
          </a:p>
        </c:txPr>
        <c:crossAx val="31497066"/>
        <c:crosses val="autoZero"/>
        <c:crossBetween val="between"/>
      </c:valAx>
      <c:spPr>
        <a:noFill/>
        <a:ln w="0">
          <a:noFill/>
        </a:ln>
      </c:spPr>
    </c:plotArea>
    <c:legend>
      <c:legendPos val="b"/>
      <c:overlay val="0"/>
      <c:spPr>
        <a:noFill/>
        <a:ln w="0">
          <a:noFill/>
        </a:ln>
      </c:spPr>
      <c:txPr>
        <a:bodyPr/>
        <a:lstStyle/>
        <a:p>
          <a:pPr>
            <a:defRPr sz="900" b="0" u="none" strike="noStrike">
              <a:solidFill>
                <a:srgbClr val="595959"/>
              </a:solidFill>
              <a:uFillTx/>
              <a:latin typeface="Calibri"/>
              <a:ea typeface="DejaVu Sans"/>
            </a:defRPr>
          </a:pPr>
        </a:p>
      </c:txPr>
    </c:legend>
    <c:plotVisOnly val="1"/>
    <c:dispBlanksAs val="gap"/>
  </c:chart>
  <c:spPr>
    <a:solidFill>
      <a:srgbClr val="FFFFFF"/>
    </a:solidFill>
    <a:ln w="9360">
      <a:solidFill>
        <a:srgbClr val="D9D9D9"/>
      </a:solidFill>
      <a:round/>
    </a:ln>
  </c:spPr>
</c:chartSpace>
</file>

<file path=xl/charts/chart4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lang="en-US" sz="1600" b="1" u="none" strike="noStrike">
                <a:solidFill>
                  <a:schemeClr val="tx2"/>
                </a:solidFill>
                <a:uFillTx/>
                <a:latin typeface="Calibri"/>
                <a:ea typeface="DejaVu Sans"/>
              </a:rPr>
              <a:t>HỢP ĐỒNG</a:t>
            </a:r>
          </a:p>
        </c:rich>
      </c:tx>
      <c:overlay val="0"/>
      <c:spPr>
        <a:noFill/>
        <a:ln w="0">
          <a:noFill/>
        </a:ln>
      </c:spPr>
    </c:title>
    <c:autoTitleDeleted val="0"/>
    <c:plotArea>
      <c:barChart>
        <c:barDir val="col"/>
        <c:grouping val="clustered"/>
        <c:varyColors val="0"/>
        <c:ser>
          <c:idx val="0"/>
          <c:order val="0"/>
          <c:tx>
            <c:strRef>
              <c:f>"Kế hoạch"</c:f>
              <c:strCache>
                <c:ptCount val="1"/>
                <c:pt idx="0">
                  <c:v>Kế hoạch</c:v>
                </c:pt>
              </c:strCache>
            </c:strRef>
          </c:tx>
          <c:spPr>
            <a:gradFill>
              <a:gsLst>
                <a:gs pos="0">
                  <a:srgbClr val="3E7FCC"/>
                </a:gs>
                <a:gs pos="100000">
                  <a:srgbClr val="A4C1FF"/>
                </a:gs>
              </a:gsLst>
              <a:lin ang="16200000"/>
            </a:gradFill>
            <a:ln w="12600">
              <a:noFill/>
            </a:ln>
          </c:spPr>
          <c:invertIfNegative val="0"/>
          <c:dPt>
            <c:idx val="0"/>
            <c:invertIfNegative val="0"/>
            <c:spPr>
              <a:gradFill>
                <a:gsLst>
                  <a:gs pos="0">
                    <a:srgbClr val="3E7FCC"/>
                  </a:gs>
                  <a:gs pos="100000">
                    <a:srgbClr val="A4C1FF"/>
                  </a:gs>
                </a:gsLst>
                <a:lin ang="16200000"/>
              </a:gradFill>
              <a:ln w="12600">
                <a:noFill/>
              </a:ln>
            </c:spPr>
          </c:dPt>
          <c:dPt>
            <c:idx val="1"/>
            <c:invertIfNegative val="0"/>
            <c:spPr>
              <a:gradFill>
                <a:gsLst>
                  <a:gs pos="0">
                    <a:srgbClr val="3E7FCC"/>
                  </a:gs>
                  <a:gs pos="100000">
                    <a:srgbClr val="A4C1FF"/>
                  </a:gs>
                </a:gsLst>
                <a:lin ang="16200000"/>
              </a:gradFill>
              <a:ln w="12600">
                <a:noFill/>
              </a:ln>
            </c:spPr>
          </c:dPt>
          <c:dLbls>
            <c:dLbl>
              <c:idx val="0"/>
              <c:layout>
                <c:manualLayout>
                  <c:x val="-2.45813012073521E-017"/>
                  <c:y val="-0.0235221448491828"/>
                </c:manualLayout>
              </c:layout>
              <c:numFmt formatCode="#,##0" sourceLinked="1"/>
              <c:txPr>
                <a:bodyPr wrap="square"/>
                <a:lstStyle/>
                <a:p>
                  <a:pPr>
                    <a:defRPr sz="900" b="0" u="none" strike="noStrike">
                      <a:solidFill>
                        <a:srgbClr val="1F497D"/>
                      </a:solidFill>
                      <a:uFillTx/>
                      <a:latin typeface="Calibri"/>
                      <a:ea typeface="DejaVu Sans"/>
                    </a:defRPr>
                  </a:pPr>
                </a:p>
              </c:txPr>
              <c:dLblPos val="outEnd"/>
              <c:showLegendKey val="0"/>
              <c:showVal val="1"/>
              <c:showCatName val="0"/>
              <c:showSerName val="0"/>
              <c:showPercent val="0"/>
              <c:separator>; </c:separator>
            </c:dLbl>
            <c:dLbl>
              <c:idx val="1"/>
              <c:layout>
                <c:manualLayout>
                  <c:x val="0.0268162747337904"/>
                  <c:y val="0"/>
                </c:manualLayout>
              </c:layout>
              <c:numFmt formatCode="#,##0" sourceLinked="1"/>
              <c:txPr>
                <a:bodyPr wrap="square"/>
                <a:lstStyle/>
                <a:p>
                  <a:pPr>
                    <a:defRPr sz="900" b="0" u="none" strike="noStrike">
                      <a:solidFill>
                        <a:srgbClr val="1F497D"/>
                      </a:solidFill>
                      <a:uFillTx/>
                      <a:latin typeface="Calibri"/>
                      <a:ea typeface="DejaVu Sans"/>
                    </a:defRPr>
                  </a:pPr>
                </a:p>
              </c:txPr>
              <c:dLblPos val="outEnd"/>
              <c:showLegendKey val="0"/>
              <c:showVal val="1"/>
              <c:showCatName val="0"/>
              <c:showSerName val="0"/>
              <c:showPercent val="0"/>
              <c:separator>; </c:separator>
            </c:dLbl>
            <c:numFmt formatCode="#,##0" sourceLinked="1"/>
            <c:txPr>
              <a:bodyPr wrap="square"/>
              <a:lstStyle/>
              <a:p>
                <a:pPr>
                  <a:defRPr sz="900" b="0" u="none" strike="noStrike">
                    <a:solidFill>
                      <a:srgbClr val="1F497D"/>
                    </a:solidFill>
                    <a:uFillTx/>
                    <a:latin typeface="Calibri"/>
                    <a:ea typeface="DejaVu Sans"/>
                  </a:defRPr>
                </a:pPr>
              </a:p>
            </c:txPr>
            <c:dLblPos val="outEnd"/>
            <c:showLegendKey val="0"/>
            <c:showVal val="1"/>
            <c:showCatName val="0"/>
            <c:showSerName val="0"/>
            <c:showPercent val="0"/>
            <c:separator>; </c:separator>
            <c:showLeaderLines val="0"/>
            <c:extLst>
              <c:ext xmlns:c15="http://schemas.microsoft.com/office/drawing/2012/chart" uri="{CE6537A1-D6FC-4f65-9D91-7224C49458BB}">
                <c15:showLeaderLines val="0"/>
              </c:ext>
            </c:extLst>
          </c:dLbls>
          <c:cat>
            <c:strRef>
              <c:f>BaoCaoQuy!$A$37:$A$39</c:f>
              <c:strCache>
                <c:ptCount val="3"/>
                <c:pt idx="0">
                  <c:v>ITO</c:v>
                </c:pt>
                <c:pt idx="1">
                  <c:v>UNI</c:v>
                </c:pt>
                <c:pt idx="2">
                  <c:v>G2B</c:v>
                </c:pt>
              </c:strCache>
            </c:strRef>
          </c:cat>
          <c:val>
            <c:numRef>
              <c:f>BaoCaoQuy!$B$37:$B$39</c:f>
              <c:numCache>
                <c:formatCode>#,##0</c:formatCode>
                <c:ptCount val="3"/>
                <c:pt idx="0">
                  <c:v>11400000000</c:v>
                </c:pt>
                <c:pt idx="1">
                  <c:v>10100000000</c:v>
                </c:pt>
                <c:pt idx="2">
                  <c:v>10000000000</c:v>
                </c:pt>
              </c:numCache>
            </c:numRef>
          </c:val>
        </c:ser>
        <c:ser>
          <c:idx val="1"/>
          <c:order val="1"/>
          <c:tx>
            <c:strRef>
              <c:f>"Thực tế"</c:f>
              <c:strCache>
                <c:ptCount val="1"/>
                <c:pt idx="0">
                  <c:v>Thực tế</c:v>
                </c:pt>
              </c:strCache>
            </c:strRef>
          </c:tx>
          <c:spPr>
            <a:gradFill>
              <a:gsLst>
                <a:gs pos="0">
                  <a:srgbClr val="7E5AAA"/>
                </a:gs>
                <a:gs pos="100000">
                  <a:srgbClr val="C7AEED"/>
                </a:gs>
              </a:gsLst>
              <a:lin ang="16200000"/>
            </a:gradFill>
            <a:ln w="12600">
              <a:noFill/>
            </a:ln>
          </c:spPr>
          <c:invertIfNegative val="0"/>
          <c:dPt>
            <c:idx val="0"/>
            <c:invertIfNegative val="0"/>
            <c:spPr>
              <a:gradFill>
                <a:gsLst>
                  <a:gs pos="0">
                    <a:srgbClr val="7E5AAA"/>
                  </a:gs>
                  <a:gs pos="100000">
                    <a:srgbClr val="C7AEED"/>
                  </a:gs>
                </a:gsLst>
                <a:lin ang="16200000"/>
              </a:gradFill>
              <a:ln w="12600">
                <a:noFill/>
              </a:ln>
            </c:spPr>
          </c:dPt>
          <c:dPt>
            <c:idx val="1"/>
            <c:invertIfNegative val="0"/>
            <c:spPr>
              <a:gradFill>
                <a:gsLst>
                  <a:gs pos="0">
                    <a:srgbClr val="7E5AAA"/>
                  </a:gs>
                  <a:gs pos="100000">
                    <a:srgbClr val="C7AEED"/>
                  </a:gs>
                </a:gsLst>
                <a:lin ang="16200000"/>
              </a:gradFill>
              <a:ln w="12600">
                <a:noFill/>
              </a:ln>
            </c:spPr>
          </c:dPt>
          <c:dPt>
            <c:idx val="2"/>
            <c:invertIfNegative val="0"/>
            <c:spPr>
              <a:gradFill>
                <a:gsLst>
                  <a:gs pos="0">
                    <a:srgbClr val="7E5AAA"/>
                  </a:gs>
                  <a:gs pos="100000">
                    <a:srgbClr val="C7AEED"/>
                  </a:gs>
                </a:gsLst>
                <a:lin ang="16200000"/>
              </a:gradFill>
              <a:ln w="12600">
                <a:noFill/>
              </a:ln>
            </c:spPr>
          </c:dPt>
          <c:dLbls>
            <c:dLbl>
              <c:idx val="0"/>
              <c:layout>
                <c:manualLayout>
                  <c:x val="0.0151597448951124"/>
                  <c:y val="0"/>
                </c:manualLayout>
              </c:layout>
              <c:numFmt formatCode="_(* #,##0_);_(* \(#,##0\);_(* \-??_);_(@_)" sourceLinked="1"/>
              <c:txPr>
                <a:bodyPr wrap="square"/>
                <a:lstStyle/>
                <a:p>
                  <a:pPr>
                    <a:defRPr sz="900" b="0" u="none" strike="noStrike">
                      <a:solidFill>
                        <a:srgbClr val="FF0000"/>
                      </a:solidFill>
                      <a:uFillTx/>
                      <a:latin typeface="Calibri"/>
                      <a:ea typeface="DejaVu Sans"/>
                    </a:defRPr>
                  </a:pPr>
                </a:p>
              </c:txPr>
              <c:dLblPos val="outEnd"/>
              <c:showLegendKey val="0"/>
              <c:showVal val="1"/>
              <c:showCatName val="0"/>
              <c:showSerName val="0"/>
              <c:showPercent val="0"/>
              <c:separator>; </c:separator>
            </c:dLbl>
            <c:dLbl>
              <c:idx val="1"/>
              <c:layout>
                <c:manualLayout>
                  <c:x val="0.00960849143535387"/>
                  <c:y val="0"/>
                </c:manualLayout>
              </c:layout>
              <c:numFmt formatCode="_(* #,##0_);_(* \(#,##0\);_(* \-??_);_(@_)" sourceLinked="1"/>
              <c:txPr>
                <a:bodyPr wrap="square"/>
                <a:lstStyle/>
                <a:p>
                  <a:pPr>
                    <a:defRPr sz="900" b="0" u="none" strike="noStrike">
                      <a:solidFill>
                        <a:srgbClr val="FF0000"/>
                      </a:solidFill>
                      <a:uFillTx/>
                      <a:latin typeface="Calibri"/>
                      <a:ea typeface="DejaVu Sans"/>
                    </a:defRPr>
                  </a:pPr>
                </a:p>
              </c:txPr>
              <c:dLblPos val="outEnd"/>
              <c:showLegendKey val="0"/>
              <c:showVal val="1"/>
              <c:showCatName val="0"/>
              <c:showSerName val="0"/>
              <c:showPercent val="0"/>
              <c:separator>; </c:separator>
            </c:dLbl>
            <c:dLbl>
              <c:idx val="2"/>
              <c:layout>
                <c:manualLayout>
                  <c:x val="0.01424439886853"/>
                  <c:y val="0"/>
                </c:manualLayout>
              </c:layout>
              <c:numFmt formatCode="_(* #,##0_);_(* \(#,##0\);_(* \-??_);_(@_)" sourceLinked="1"/>
              <c:txPr>
                <a:bodyPr wrap="square"/>
                <a:lstStyle/>
                <a:p>
                  <a:pPr>
                    <a:defRPr sz="900" b="0" u="none" strike="noStrike">
                      <a:solidFill>
                        <a:srgbClr val="FF0000"/>
                      </a:solidFill>
                      <a:uFillTx/>
                      <a:latin typeface="Calibri"/>
                      <a:ea typeface="DejaVu Sans"/>
                    </a:defRPr>
                  </a:pPr>
                </a:p>
              </c:txPr>
              <c:dLblPos val="outEnd"/>
              <c:showLegendKey val="0"/>
              <c:showVal val="1"/>
              <c:showCatName val="0"/>
              <c:showSerName val="0"/>
              <c:showPercent val="0"/>
              <c:separator>; </c:separator>
            </c:dLbl>
            <c:numFmt formatCode="_(* #,##0_);_(* \(#,##0\);_(* \-??_);_(@_)" sourceLinked="1"/>
            <c:txPr>
              <a:bodyPr wrap="square"/>
              <a:lstStyle/>
              <a:p>
                <a:pPr>
                  <a:defRPr sz="900" b="0" u="none" strike="noStrike">
                    <a:solidFill>
                      <a:srgbClr val="FF0000"/>
                    </a:solidFill>
                    <a:uFillTx/>
                    <a:latin typeface="Calibri"/>
                    <a:ea typeface="DejaVu Sans"/>
                  </a:defRPr>
                </a:pPr>
              </a:p>
            </c:txPr>
            <c:dLblPos val="outEnd"/>
            <c:showLegendKey val="0"/>
            <c:showVal val="1"/>
            <c:showCatName val="0"/>
            <c:showSerName val="0"/>
            <c:showPercent val="0"/>
            <c:separator>; </c:separator>
            <c:showLeaderLines val="0"/>
            <c:extLst>
              <c:ext xmlns:c15="http://schemas.microsoft.com/office/drawing/2012/chart" uri="{CE6537A1-D6FC-4f65-9D91-7224C49458BB}">
                <c15:showLeaderLines val="0"/>
              </c:ext>
            </c:extLst>
          </c:dLbls>
          <c:cat>
            <c:strRef>
              <c:f>BaoCaoQuy!$A$37:$A$39</c:f>
              <c:strCache>
                <c:ptCount val="3"/>
                <c:pt idx="0">
                  <c:v>ITO</c:v>
                </c:pt>
                <c:pt idx="1">
                  <c:v>UNI</c:v>
                </c:pt>
                <c:pt idx="2">
                  <c:v>G2B</c:v>
                </c:pt>
              </c:strCache>
            </c:strRef>
          </c:cat>
          <c:val>
            <c:numRef>
              <c:f>BaoCaoQuy!$E$37:$E$39</c:f>
              <c:numCache>
                <c:formatCode>_(* #,##0_);_(* \(#,##0\);_(* \-??_);_(@_)</c:formatCode>
                <c:ptCount val="3"/>
                <c:pt idx="0">
                  <c:v>0</c:v>
                </c:pt>
                <c:pt idx="1">
                  <c:v>0</c:v>
                </c:pt>
                <c:pt idx="2">
                  <c:v>0</c:v>
                </c:pt>
              </c:numCache>
            </c:numRef>
          </c:val>
        </c:ser>
        <c:gapWidth val="100"/>
        <c:overlap val="-24"/>
        <c:axId val="82985515"/>
        <c:axId val="40107504"/>
      </c:barChart>
      <c:catAx>
        <c:axId val="82985515"/>
        <c:scaling>
          <c:orientation val="minMax"/>
        </c:scaling>
        <c:delete val="0"/>
        <c:axPos val="b"/>
        <c:numFmt formatCode="General" sourceLinked="0"/>
        <c:majorTickMark val="none"/>
        <c:minorTickMark val="none"/>
        <c:tickLblPos val="nextTo"/>
        <c:spPr>
          <a:ln w="9360">
            <a:solidFill>
              <a:srgbClr val="D4E3F4"/>
            </a:solidFill>
            <a:round/>
          </a:ln>
        </c:spPr>
        <c:txPr>
          <a:bodyPr/>
          <a:lstStyle/>
          <a:p>
            <a:pPr>
              <a:defRPr sz="900" b="0" u="none" strike="noStrike">
                <a:solidFill>
                  <a:srgbClr val="1F497D"/>
                </a:solidFill>
                <a:uFillTx/>
                <a:latin typeface="Calibri"/>
                <a:ea typeface="DejaVu Sans"/>
              </a:defRPr>
            </a:pPr>
          </a:p>
        </c:txPr>
        <c:crossAx val="40107504"/>
        <c:crosses val="autoZero"/>
        <c:auto val="1"/>
        <c:lblAlgn val="ctr"/>
        <c:lblOffset val="100"/>
        <c:noMultiLvlLbl val="0"/>
      </c:catAx>
      <c:valAx>
        <c:axId val="40107504"/>
        <c:scaling>
          <c:orientation val="minMax"/>
        </c:scaling>
        <c:delete val="0"/>
        <c:axPos val="l"/>
        <c:majorGridlines>
          <c:spPr>
            <a:ln w="9360">
              <a:solidFill>
                <a:srgbClr val="D4E3F4"/>
              </a:solidFill>
              <a:round/>
            </a:ln>
          </c:spPr>
        </c:majorGridlines>
        <c:numFmt formatCode="#,##0" sourceLinked="0"/>
        <c:majorTickMark val="none"/>
        <c:minorTickMark val="none"/>
        <c:tickLblPos val="nextTo"/>
        <c:spPr>
          <a:ln w="9360">
            <a:noFill/>
          </a:ln>
        </c:spPr>
        <c:txPr>
          <a:bodyPr/>
          <a:lstStyle/>
          <a:p>
            <a:pPr>
              <a:defRPr sz="900" b="0" u="none" strike="noStrike">
                <a:solidFill>
                  <a:srgbClr val="1F497D"/>
                </a:solidFill>
                <a:uFillTx/>
                <a:latin typeface="Calibri"/>
                <a:ea typeface="DejaVu Sans"/>
              </a:defRPr>
            </a:pPr>
          </a:p>
        </c:txPr>
        <c:crossAx val="82985515"/>
        <c:crosses val="autoZero"/>
        <c:crossBetween val="between"/>
      </c:valAx>
      <c:spPr>
        <a:noFill/>
        <a:ln w="0">
          <a:noFill/>
        </a:ln>
      </c:spPr>
    </c:plotArea>
    <c:legend>
      <c:legendPos val="b"/>
      <c:overlay val="0"/>
      <c:spPr>
        <a:noFill/>
        <a:ln w="0">
          <a:noFill/>
        </a:ln>
      </c:spPr>
      <c:txPr>
        <a:bodyPr/>
        <a:lstStyle/>
        <a:p>
          <a:pPr>
            <a:defRPr sz="900" b="0" u="none" strike="noStrike">
              <a:solidFill>
                <a:srgbClr val="1F497D"/>
              </a:solidFill>
              <a:uFillTx/>
              <a:latin typeface="Calibri"/>
              <a:ea typeface="DejaVu Sans"/>
            </a:defRPr>
          </a:pPr>
        </a:p>
      </c:txPr>
    </c:legend>
    <c:plotVisOnly val="1"/>
    <c:dispBlanksAs val="gap"/>
  </c:chart>
  <c:spPr>
    <a:solidFill>
      <a:srgbClr val="FFFFFF"/>
    </a:solidFill>
    <a:ln w="9360">
      <a:solidFill>
        <a:srgbClr val="D4E3F4"/>
      </a:solidFill>
      <a:round/>
    </a:ln>
  </c:spPr>
</c:chartSpace>
</file>

<file path=xl/charts/chart4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lang="en-US" sz="1600" b="1" u="none" strike="noStrike">
                <a:solidFill>
                  <a:schemeClr val="tx2"/>
                </a:solidFill>
                <a:uFillTx/>
                <a:latin typeface="Calibri"/>
                <a:ea typeface="DejaVu Sans"/>
              </a:rPr>
              <a:t>DOANH THU</a:t>
            </a:r>
          </a:p>
        </c:rich>
      </c:tx>
      <c:overlay val="0"/>
      <c:spPr>
        <a:noFill/>
        <a:ln w="0">
          <a:noFill/>
        </a:ln>
      </c:spPr>
    </c:title>
    <c:autoTitleDeleted val="0"/>
    <c:plotArea>
      <c:barChart>
        <c:barDir val="col"/>
        <c:grouping val="clustered"/>
        <c:varyColors val="0"/>
        <c:ser>
          <c:idx val="0"/>
          <c:order val="0"/>
          <c:tx>
            <c:strRef>
              <c:f>"Kế hoạch"</c:f>
              <c:strCache>
                <c:ptCount val="1"/>
                <c:pt idx="0">
                  <c:v>Kế hoạch</c:v>
                </c:pt>
              </c:strCache>
            </c:strRef>
          </c:tx>
          <c:spPr>
            <a:gradFill>
              <a:gsLst>
                <a:gs pos="0">
                  <a:srgbClr val="FFA963"/>
                </a:gs>
                <a:gs pos="100000">
                  <a:srgbClr val="FFD9C4"/>
                </a:gs>
              </a:gsLst>
              <a:lin ang="16200000"/>
            </a:gradFill>
            <a:ln w="12600">
              <a:noFill/>
            </a:ln>
          </c:spPr>
          <c:invertIfNegative val="0"/>
          <c:dPt>
            <c:idx val="0"/>
            <c:invertIfNegative val="0"/>
            <c:spPr>
              <a:gradFill>
                <a:gsLst>
                  <a:gs pos="0">
                    <a:srgbClr val="FFA963"/>
                  </a:gs>
                  <a:gs pos="100000">
                    <a:srgbClr val="FFD9C4"/>
                  </a:gs>
                </a:gsLst>
                <a:lin ang="16200000"/>
              </a:gradFill>
              <a:ln w="12600">
                <a:noFill/>
              </a:ln>
            </c:spPr>
          </c:dPt>
          <c:dPt>
            <c:idx val="1"/>
            <c:invertIfNegative val="0"/>
            <c:spPr>
              <a:gradFill>
                <a:gsLst>
                  <a:gs pos="0">
                    <a:srgbClr val="FFA963"/>
                  </a:gs>
                  <a:gs pos="100000">
                    <a:srgbClr val="FFD9C4"/>
                  </a:gs>
                </a:gsLst>
                <a:lin ang="16200000"/>
              </a:gradFill>
              <a:ln w="12600">
                <a:noFill/>
              </a:ln>
            </c:spPr>
          </c:dPt>
          <c:dPt>
            <c:idx val="2"/>
            <c:invertIfNegative val="0"/>
            <c:spPr>
              <a:gradFill>
                <a:gsLst>
                  <a:gs pos="0">
                    <a:srgbClr val="FFA963"/>
                  </a:gs>
                  <a:gs pos="100000">
                    <a:srgbClr val="FFD9C4"/>
                  </a:gs>
                </a:gsLst>
                <a:lin ang="16200000"/>
              </a:gradFill>
              <a:ln w="12600">
                <a:noFill/>
              </a:ln>
            </c:spPr>
          </c:dPt>
          <c:dLbls>
            <c:dLbl>
              <c:idx val="0"/>
              <c:layout>
                <c:manualLayout>
                  <c:x val="0.00257553256233651"/>
                  <c:y val="-0.00593343960435149"/>
                </c:manualLayout>
              </c:layout>
              <c:numFmt formatCode="#,##0" sourceLinked="1"/>
              <c:txPr>
                <a:bodyPr wrap="square"/>
                <a:lstStyle/>
                <a:p>
                  <a:pPr>
                    <a:defRPr sz="900" b="0" u="none" strike="noStrike">
                      <a:solidFill>
                        <a:srgbClr val="1F497D"/>
                      </a:solidFill>
                      <a:uFillTx/>
                      <a:latin typeface="Calibri"/>
                      <a:ea typeface="DejaVu Sans"/>
                    </a:defRPr>
                  </a:pPr>
                </a:p>
              </c:txPr>
              <c:dLblPos val="outEnd"/>
              <c:showLegendKey val="0"/>
              <c:showVal val="1"/>
              <c:showCatName val="0"/>
              <c:showSerName val="0"/>
              <c:showPercent val="0"/>
              <c:separator>; </c:separator>
            </c:dLbl>
            <c:dLbl>
              <c:idx val="1"/>
              <c:layout>
                <c:manualLayout>
                  <c:x val="-0.00257553256233651"/>
                  <c:y val="0.00575852051593761"/>
                </c:manualLayout>
              </c:layout>
              <c:numFmt formatCode="#,##0" sourceLinked="1"/>
              <c:txPr>
                <a:bodyPr wrap="square"/>
                <a:lstStyle/>
                <a:p>
                  <a:pPr>
                    <a:defRPr sz="900" b="0" u="none" strike="noStrike">
                      <a:solidFill>
                        <a:srgbClr val="1F497D"/>
                      </a:solidFill>
                      <a:uFillTx/>
                      <a:latin typeface="Calibri"/>
                      <a:ea typeface="DejaVu Sans"/>
                    </a:defRPr>
                  </a:pPr>
                </a:p>
              </c:txPr>
              <c:dLblPos val="outEnd"/>
              <c:showLegendKey val="0"/>
              <c:showVal val="1"/>
              <c:showCatName val="0"/>
              <c:showSerName val="0"/>
              <c:showPercent val="0"/>
              <c:separator>; </c:separator>
            </c:dLbl>
            <c:dLbl>
              <c:idx val="2"/>
              <c:layout>
                <c:manualLayout>
                  <c:x val="-0.00257553256233651"/>
                  <c:y val="-8.74595442069137E-005"/>
                </c:manualLayout>
              </c:layout>
              <c:numFmt formatCode="#,##0" sourceLinked="1"/>
              <c:txPr>
                <a:bodyPr wrap="square"/>
                <a:lstStyle/>
                <a:p>
                  <a:pPr>
                    <a:defRPr sz="900" b="0" u="none" strike="noStrike">
                      <a:solidFill>
                        <a:srgbClr val="1F497D"/>
                      </a:solidFill>
                      <a:uFillTx/>
                      <a:latin typeface="Calibri"/>
                      <a:ea typeface="DejaVu Sans"/>
                    </a:defRPr>
                  </a:pPr>
                </a:p>
              </c:txPr>
              <c:dLblPos val="outEnd"/>
              <c:showLegendKey val="0"/>
              <c:showVal val="1"/>
              <c:showCatName val="0"/>
              <c:showSerName val="0"/>
              <c:showPercent val="0"/>
              <c:separator>; </c:separator>
            </c:dLbl>
            <c:numFmt formatCode="#,##0" sourceLinked="1"/>
            <c:txPr>
              <a:bodyPr wrap="square"/>
              <a:lstStyle/>
              <a:p>
                <a:pPr>
                  <a:defRPr sz="900" b="0" u="none" strike="noStrike">
                    <a:solidFill>
                      <a:srgbClr val="1F497D"/>
                    </a:solidFill>
                    <a:uFillTx/>
                    <a:latin typeface="Calibri"/>
                    <a:ea typeface="DejaVu Sans"/>
                  </a:defRPr>
                </a:pPr>
              </a:p>
            </c:txPr>
            <c:dLblPos val="inEnd"/>
            <c:showLegendKey val="0"/>
            <c:showVal val="1"/>
            <c:showCatName val="0"/>
            <c:showSerName val="0"/>
            <c:showPercent val="0"/>
            <c:separator>; </c:separator>
            <c:showLeaderLines val="0"/>
            <c:extLst>
              <c:ext xmlns:c15="http://schemas.microsoft.com/office/drawing/2012/chart" uri="{CE6537A1-D6FC-4f65-9D91-7224C49458BB}">
                <c15:showLeaderLines val="0"/>
              </c:ext>
            </c:extLst>
          </c:dLbls>
          <c:cat>
            <c:strRef>
              <c:f>BaoCaoQuy!$A$37:$A$39</c:f>
              <c:strCache>
                <c:ptCount val="3"/>
                <c:pt idx="0">
                  <c:v>ITO</c:v>
                </c:pt>
                <c:pt idx="1">
                  <c:v>UNI</c:v>
                </c:pt>
                <c:pt idx="2">
                  <c:v>G2B</c:v>
                </c:pt>
              </c:strCache>
            </c:strRef>
          </c:cat>
          <c:val>
            <c:numRef>
              <c:f>BaoCaoQuy!$H$37:$H$39</c:f>
              <c:numCache>
                <c:formatCode>#,##0</c:formatCode>
                <c:ptCount val="3"/>
                <c:pt idx="0">
                  <c:v>11400000000</c:v>
                </c:pt>
                <c:pt idx="1">
                  <c:v>9300000000</c:v>
                </c:pt>
                <c:pt idx="2">
                  <c:v>9300000000</c:v>
                </c:pt>
              </c:numCache>
            </c:numRef>
          </c:val>
        </c:ser>
        <c:ser>
          <c:idx val="1"/>
          <c:order val="1"/>
          <c:tx>
            <c:strRef>
              <c:f>"Thực tế"</c:f>
              <c:strCache>
                <c:ptCount val="1"/>
                <c:pt idx="0">
                  <c:v>Thực tế</c:v>
                </c:pt>
              </c:strCache>
            </c:strRef>
          </c:tx>
          <c:spPr>
            <a:gradFill>
              <a:gsLst>
                <a:gs pos="0">
                  <a:srgbClr val="FC7200"/>
                </a:gs>
                <a:gs pos="100000">
                  <a:srgbClr val="FFC6B6"/>
                </a:gs>
              </a:gsLst>
              <a:lin ang="16200000"/>
            </a:gradFill>
            <a:ln w="12600">
              <a:noFill/>
            </a:ln>
          </c:spPr>
          <c:invertIfNegative val="0"/>
          <c:dPt>
            <c:idx val="0"/>
            <c:invertIfNegative val="0"/>
            <c:spPr>
              <a:gradFill>
                <a:gsLst>
                  <a:gs pos="0">
                    <a:srgbClr val="FC7200"/>
                  </a:gs>
                  <a:gs pos="100000">
                    <a:srgbClr val="FFC6B6"/>
                  </a:gs>
                </a:gsLst>
                <a:lin ang="16200000"/>
              </a:gradFill>
              <a:ln w="12600">
                <a:noFill/>
              </a:ln>
            </c:spPr>
          </c:dPt>
          <c:dLbls>
            <c:dLbl>
              <c:idx val="0"/>
              <c:layout>
                <c:manualLayout>
                  <c:x val="0.0307993134887535"/>
                  <c:y val="-0.0126268566165218"/>
                </c:manualLayout>
              </c:layout>
              <c:numFmt formatCode="_(* #,##0_);_(* \(#,##0\);_(* \-??_);_(@_)" sourceLinked="1"/>
              <c:txPr>
                <a:bodyPr wrap="square"/>
                <a:lstStyle/>
                <a:p>
                  <a:pPr>
                    <a:defRPr sz="900" b="0" u="none" strike="noStrike">
                      <a:solidFill>
                        <a:srgbClr val="FF0000"/>
                      </a:solidFill>
                      <a:uFillTx/>
                      <a:latin typeface="Calibri"/>
                      <a:ea typeface="DejaVu Sans"/>
                    </a:defRPr>
                  </a:pPr>
                </a:p>
              </c:txPr>
              <c:dLblPos val="outEnd"/>
              <c:showLegendKey val="0"/>
              <c:showVal val="1"/>
              <c:showCatName val="0"/>
              <c:showSerName val="0"/>
              <c:showPercent val="0"/>
              <c:separator>; </c:separator>
            </c:dLbl>
            <c:numFmt formatCode="_(* #,##0_);_(* \(#,##0\);_(* \-??_);_(@_)" sourceLinked="1"/>
            <c:txPr>
              <a:bodyPr wrap="square"/>
              <a:lstStyle/>
              <a:p>
                <a:pPr>
                  <a:defRPr sz="900" b="0" u="none" strike="noStrike">
                    <a:solidFill>
                      <a:srgbClr val="FF0000"/>
                    </a:solidFill>
                    <a:uFillTx/>
                    <a:latin typeface="Calibri"/>
                    <a:ea typeface="DejaVu Sans"/>
                  </a:defRPr>
                </a:pPr>
              </a:p>
            </c:txPr>
            <c:dLblPos val="inEnd"/>
            <c:showLegendKey val="0"/>
            <c:showVal val="1"/>
            <c:showCatName val="0"/>
            <c:showSerName val="0"/>
            <c:showPercent val="0"/>
            <c:separator>; </c:separator>
            <c:showLeaderLines val="0"/>
            <c:extLst>
              <c:ext xmlns:c15="http://schemas.microsoft.com/office/drawing/2012/chart" uri="{CE6537A1-D6FC-4f65-9D91-7224C49458BB}">
                <c15:showLeaderLines val="0"/>
              </c:ext>
            </c:extLst>
          </c:dLbls>
          <c:cat>
            <c:strRef>
              <c:f>BaoCaoQuy!$A$37:$A$39</c:f>
              <c:strCache>
                <c:ptCount val="3"/>
                <c:pt idx="0">
                  <c:v>ITO</c:v>
                </c:pt>
                <c:pt idx="1">
                  <c:v>UNI</c:v>
                </c:pt>
                <c:pt idx="2">
                  <c:v>G2B</c:v>
                </c:pt>
              </c:strCache>
            </c:strRef>
          </c:cat>
          <c:val>
            <c:numRef>
              <c:f>BaoCaoQuy!$K$37:$K$39</c:f>
              <c:numCache>
                <c:formatCode>_(* #,##0_);_(* \(#,##0\);_(* \-??_);_(@_)</c:formatCode>
                <c:ptCount val="3"/>
                <c:pt idx="0">
                  <c:v>0</c:v>
                </c:pt>
                <c:pt idx="1">
                  <c:v>0</c:v>
                </c:pt>
                <c:pt idx="2">
                  <c:v>0</c:v>
                </c:pt>
              </c:numCache>
            </c:numRef>
          </c:val>
        </c:ser>
        <c:gapWidth val="100"/>
        <c:overlap val="-24"/>
        <c:axId val="75309597"/>
        <c:axId val="84130649"/>
      </c:barChart>
      <c:catAx>
        <c:axId val="75309597"/>
        <c:scaling>
          <c:orientation val="minMax"/>
        </c:scaling>
        <c:delete val="0"/>
        <c:axPos val="b"/>
        <c:numFmt formatCode="General" sourceLinked="0"/>
        <c:majorTickMark val="none"/>
        <c:minorTickMark val="none"/>
        <c:tickLblPos val="nextTo"/>
        <c:spPr>
          <a:ln w="9360">
            <a:solidFill>
              <a:srgbClr val="D4E3F4"/>
            </a:solidFill>
            <a:round/>
          </a:ln>
        </c:spPr>
        <c:txPr>
          <a:bodyPr/>
          <a:lstStyle/>
          <a:p>
            <a:pPr>
              <a:defRPr sz="900" b="0" u="none" strike="noStrike">
                <a:solidFill>
                  <a:srgbClr val="1F497D"/>
                </a:solidFill>
                <a:uFillTx/>
                <a:latin typeface="Calibri"/>
                <a:ea typeface="DejaVu Sans"/>
              </a:defRPr>
            </a:pPr>
          </a:p>
        </c:txPr>
        <c:crossAx val="84130649"/>
        <c:crosses val="autoZero"/>
        <c:auto val="1"/>
        <c:lblAlgn val="ctr"/>
        <c:lblOffset val="100"/>
        <c:noMultiLvlLbl val="0"/>
      </c:catAx>
      <c:valAx>
        <c:axId val="84130649"/>
        <c:scaling>
          <c:orientation val="minMax"/>
        </c:scaling>
        <c:delete val="0"/>
        <c:axPos val="l"/>
        <c:majorGridlines>
          <c:spPr>
            <a:ln w="9360">
              <a:solidFill>
                <a:srgbClr val="D4E3F4"/>
              </a:solidFill>
              <a:round/>
            </a:ln>
          </c:spPr>
        </c:majorGridlines>
        <c:numFmt formatCode="#,##0" sourceLinked="0"/>
        <c:majorTickMark val="none"/>
        <c:minorTickMark val="none"/>
        <c:tickLblPos val="nextTo"/>
        <c:spPr>
          <a:ln w="9360">
            <a:noFill/>
          </a:ln>
        </c:spPr>
        <c:txPr>
          <a:bodyPr/>
          <a:lstStyle/>
          <a:p>
            <a:pPr>
              <a:defRPr sz="900" b="0" u="none" strike="noStrike">
                <a:solidFill>
                  <a:srgbClr val="1F497D"/>
                </a:solidFill>
                <a:uFillTx/>
                <a:latin typeface="Calibri"/>
                <a:ea typeface="DejaVu Sans"/>
              </a:defRPr>
            </a:pPr>
          </a:p>
        </c:txPr>
        <c:crossAx val="75309597"/>
        <c:crosses val="autoZero"/>
        <c:crossBetween val="between"/>
      </c:valAx>
      <c:spPr>
        <a:noFill/>
        <a:ln w="0">
          <a:noFill/>
        </a:ln>
      </c:spPr>
    </c:plotArea>
    <c:legend>
      <c:legendPos val="b"/>
      <c:overlay val="0"/>
      <c:spPr>
        <a:noFill/>
        <a:ln w="0">
          <a:noFill/>
        </a:ln>
      </c:spPr>
      <c:txPr>
        <a:bodyPr/>
        <a:lstStyle/>
        <a:p>
          <a:pPr>
            <a:defRPr sz="900" b="0" u="none" strike="noStrike">
              <a:solidFill>
                <a:srgbClr val="1F497D"/>
              </a:solidFill>
              <a:uFillTx/>
              <a:latin typeface="Calibri"/>
              <a:ea typeface="DejaVu Sans"/>
            </a:defRPr>
          </a:pPr>
        </a:p>
      </c:txPr>
    </c:legend>
    <c:plotVisOnly val="1"/>
    <c:dispBlanksAs val="gap"/>
  </c:chart>
  <c:spPr>
    <a:solidFill>
      <a:srgbClr val="FFFFFF"/>
    </a:solidFill>
    <a:ln w="9360">
      <a:solidFill>
        <a:srgbClr val="D4E3F4"/>
      </a:solidFill>
      <a:round/>
    </a:ln>
  </c:spPr>
</c:chartSpace>
</file>

<file path=xl/charts/chart47.xml><?xml version="1.0" encoding="utf-8"?>
<c:chartSpace xmlns:c="http://schemas.openxmlformats.org/drawingml/2006/chart" xmlns:a="http://schemas.openxmlformats.org/drawingml/2006/main" xmlns:r="http://schemas.openxmlformats.org/officeDocument/2006/relationships">
  <c:date1904 val="0"/>
  <c:lang val="en-US"/>
  <c:roundedCorners val="0"/>
  <c:chart>
    <c:title>
      <c:tx>
        <c:rich>
          <a:bodyPr rot="0"/>
          <a:lstStyle/>
          <a:p>
            <a:pPr>
              <a:defRPr sz="1300" b="0" u="none" strike="noStrike">
                <a:uFillTx/>
                <a:latin typeface="Arial"/>
              </a:defRPr>
            </a:pPr>
            <a:r>
              <a:rPr lang="en-US" sz="1400" b="1" u="none" strike="noStrike">
                <a:solidFill>
                  <a:schemeClr val="tx1">
                    <a:lumMod val="65000"/>
                    <a:lumOff val="35000"/>
                  </a:schemeClr>
                </a:solidFill>
                <a:uFillTx/>
                <a:latin typeface="Calibri"/>
                <a:ea typeface="DejaVu Sans"/>
              </a:rPr>
              <a:t>HỢP</a:t>
            </a:r>
            <a:r>
              <a:rPr lang="en-US" sz="1400" b="1" u="none" strike="noStrike">
                <a:solidFill>
                  <a:schemeClr val="tx1">
                    <a:lumMod val="65000"/>
                    <a:lumOff val="35000"/>
                  </a:schemeClr>
                </a:solidFill>
                <a:uFillTx/>
                <a:latin typeface="Calibri"/>
                <a:ea typeface="DejaVu Sans"/>
              </a:rPr>
              <a:t> ĐỒNG - DOANH THU</a:t>
            </a:r>
          </a:p>
        </c:rich>
      </c:tx>
      <c:overlay val="0"/>
      <c:spPr>
        <a:noFill/>
        <a:ln w="25560">
          <a:noFill/>
        </a:ln>
      </c:spPr>
    </c:title>
    <c:autoTitleDeleted val="0"/>
    <c:plotArea>
      <c:barChart>
        <c:barDir val="col"/>
        <c:grouping val="clustered"/>
        <c:varyColors val="0"/>
        <c:ser>
          <c:idx val="0"/>
          <c:order val="0"/>
          <c:tx>
            <c:strRef>
              <c:f>label 0</c:f>
              <c:strCache>
                <c:ptCount val="1"/>
                <c:pt idx="0">
                  <c:v>Kế hoạch</c:v>
                </c:pt>
              </c:strCache>
            </c:strRef>
          </c:tx>
          <c:spPr>
            <a:solidFill>
              <a:srgbClr val="F79646"/>
            </a:solidFill>
            <a:ln w="12600">
              <a:noFill/>
            </a:ln>
          </c:spPr>
          <c:invertIfNegative val="0"/>
          <c:dLbls>
            <c:txPr>
              <a:bodyPr wrap="square"/>
              <a:lstStyle/>
              <a:p>
                <a:pPr>
                  <a:defRPr sz="1000" b="0" u="none" strike="noStrike">
                    <a:solidFill>
                      <a:srgbClr val="000000"/>
                    </a:solidFill>
                    <a:uFillTx/>
                    <a:latin typeface="Calibri"/>
                    <a:ea typeface="DejaVu Sans"/>
                  </a:defRPr>
                </a:pPr>
              </a:p>
            </c:txPr>
            <c:dLblPos val="outEnd"/>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categories</c:f>
              <c:strCache>
                <c:ptCount val="1"/>
                <c:pt idx="0">
                  <c:v>1</c:v>
                </c:pt>
              </c:strCache>
            </c:strRef>
          </c:cat>
          <c:val>
            <c:numRef>
              <c:f>0</c:f>
              <c:numCache>
                <c:formatCode>General</c:formatCode>
                <c:ptCount val="1"/>
                <c:pt idx="0">
                  <c:v>1</c:v>
                </c:pt>
              </c:numCache>
            </c:numRef>
          </c:val>
        </c:ser>
        <c:gapWidth val="150"/>
        <c:overlap val="0"/>
        <c:axId val="85916277"/>
        <c:axId val="11913506"/>
      </c:barChart>
      <c:lineChart>
        <c:grouping val="standard"/>
        <c:varyColors val="0"/>
        <c:ser>
          <c:idx val="1"/>
          <c:order val="1"/>
          <c:tx>
            <c:strRef>
              <c:f>label 1</c:f>
              <c:strCache>
                <c:ptCount val="1"/>
                <c:pt idx="0">
                  <c:v>Hợp đồng</c:v>
                </c:pt>
              </c:strCache>
            </c:strRef>
          </c:tx>
          <c:spPr>
            <a:solidFill>
              <a:srgbClr val="4BACC6"/>
            </a:solidFill>
            <a:ln cap="rnd" w="28440">
              <a:solidFill>
                <a:srgbClr val="4BACC6"/>
              </a:solidFill>
              <a:round/>
            </a:ln>
          </c:spPr>
          <c:marker>
            <c:symbol val="circle"/>
            <c:size val="5"/>
            <c:spPr>
              <a:solidFill>
                <a:srgbClr val="4BACC6"/>
              </a:solidFill>
            </c:spPr>
          </c:marker>
          <c:dPt>
            <c:idx val="0"/>
            <c:marker>
              <c:symbol val="circle"/>
              <c:size val="5"/>
              <c:spPr>
                <a:solidFill>
                  <a:srgbClr val="4BACC6"/>
                </a:solidFill>
              </c:spPr>
            </c:marker>
          </c:dPt>
          <c:dLbls>
            <c:dLbl>
              <c:idx val="0"/>
              <c:layout>
                <c:manualLayout>
                  <c:x val="-0.040464969353134"/>
                  <c:y val="-0.0648148148148148"/>
                </c:manualLayout>
              </c:layout>
              <c:numFmt formatCode="General" sourceLinked="0"/>
              <c:txPr>
                <a:bodyPr wrap="square"/>
                <a:lstStyle/>
                <a:p>
                  <a:pPr>
                    <a:defRPr sz="900" b="0" u="none" strike="noStrike">
                      <a:solidFill>
                        <a:srgbClr val="404040"/>
                      </a:solidFill>
                      <a:uFillTx/>
                      <a:latin typeface="Calibri"/>
                      <a:ea typeface="DejaVu Sans"/>
                    </a:defRPr>
                  </a:pPr>
                </a:p>
              </c:txPr>
              <c:dLblPos val="r"/>
              <c:showLegendKey val="0"/>
              <c:showVal val="1"/>
              <c:showCatName val="0"/>
              <c:showSerName val="0"/>
              <c:showPercent val="0"/>
              <c:separator>; </c:separator>
            </c:dLbl>
            <c:numFmt formatCode="General" sourceLinked="0"/>
            <c:txPr>
              <a:bodyPr wrap="square"/>
              <a:lstStyle/>
              <a:p>
                <a:pPr>
                  <a:defRPr sz="900" b="0" u="none" strike="noStrike">
                    <a:solidFill>
                      <a:srgbClr val="404040"/>
                    </a:solidFill>
                    <a:uFillTx/>
                    <a:latin typeface="Calibri"/>
                    <a:ea typeface="DejaVu Sans"/>
                  </a:defRPr>
                </a:pPr>
              </a:p>
            </c:txPr>
            <c:dLblPos val="r"/>
            <c:showLegendKey val="0"/>
            <c:showVal val="1"/>
            <c:showCatName val="0"/>
            <c:showSerName val="0"/>
            <c:showPercent val="0"/>
            <c:separator>; </c:separator>
            <c:showLeaderLines val="0"/>
            <c:extLst>
              <c:ext xmlns:c15="http://schemas.microsoft.com/office/drawing/2012/chart" uri="{CE6537A1-D6FC-4f65-9D91-7224C49458BB}">
                <c15:showLeaderLines val="0"/>
              </c:ext>
            </c:extLst>
          </c:dLbls>
          <c:cat>
            <c:strRef>
              <c:f>categories</c:f>
              <c:strCache>
                <c:ptCount val="1"/>
                <c:pt idx="0">
                  <c:v>1</c:v>
                </c:pt>
              </c:strCache>
            </c:strRef>
          </c:cat>
          <c:val>
            <c:numRef>
              <c:f>1</c:f>
              <c:numCache>
                <c:formatCode>General</c:formatCode>
                <c:ptCount val="1"/>
                <c:pt idx="0">
                  <c:v>1</c:v>
                </c:pt>
              </c:numCache>
            </c:numRef>
          </c:val>
          <c:smooth val="0"/>
        </c:ser>
        <c:ser>
          <c:idx val="2"/>
          <c:order val="2"/>
          <c:tx>
            <c:strRef>
              <c:f>label 2</c:f>
              <c:strCache>
                <c:ptCount val="1"/>
                <c:pt idx="0">
                  <c:v>Doanh thu</c:v>
                </c:pt>
              </c:strCache>
            </c:strRef>
          </c:tx>
          <c:spPr>
            <a:solidFill>
              <a:srgbClr val="002060"/>
            </a:solidFill>
            <a:ln cap="rnd" w="28440">
              <a:solidFill>
                <a:srgbClr val="002060"/>
              </a:solidFill>
              <a:round/>
            </a:ln>
          </c:spPr>
          <c:marker>
            <c:symbol val="square"/>
            <c:size val="5"/>
            <c:spPr>
              <a:solidFill>
                <a:srgbClr val="002060"/>
              </a:solidFill>
            </c:spPr>
          </c:marker>
          <c:dLbls>
            <c:txPr>
              <a:bodyPr wrap="square"/>
              <a:lstStyle/>
              <a:p>
                <a:pPr>
                  <a:defRPr sz="1000" b="0" u="none" strike="noStrike">
                    <a:solidFill>
                      <a:srgbClr val="000000"/>
                    </a:solidFill>
                    <a:uFillTx/>
                    <a:latin typeface="Calibri"/>
                    <a:ea typeface="DejaVu Sans"/>
                  </a:defRPr>
                </a:pPr>
              </a:p>
            </c:txPr>
            <c:dLblPos val="r"/>
            <c:showLegendKey val="0"/>
            <c:showVal val="0"/>
            <c:showCatName val="0"/>
            <c:showSerName val="0"/>
            <c:showPercent val="0"/>
            <c:separator>; </c:separator>
            <c:showLeaderLines val="1"/>
            <c:leaderLines>
              <c:spPr>
                <a:ln cap="rnd" w="28440">
                  <a:solidFill>
                    <a:srgbClr val="000000"/>
                  </a:solidFill>
                </a:ln>
              </c:spPr>
            </c:leaderLines>
            <c:extLst>
              <c:ext xmlns:c15="http://schemas.microsoft.com/office/drawing/2012/chart" uri="{CE6537A1-D6FC-4f65-9D91-7224C49458BB}">
                <c15:showLeaderLines val="1"/>
              </c:ext>
            </c:extLst>
          </c:dLbls>
          <c:cat>
            <c:strRef>
              <c:f>categories</c:f>
              <c:strCache>
                <c:ptCount val="1"/>
                <c:pt idx="0">
                  <c:v>1</c:v>
                </c:pt>
              </c:strCache>
            </c:strRef>
          </c:cat>
          <c:val>
            <c:numRef>
              <c:f>2</c:f>
              <c:numCache>
                <c:formatCode>General</c:formatCode>
                <c:ptCount val="1"/>
                <c:pt idx="0">
                  <c:v>1</c:v>
                </c:pt>
              </c:numCache>
            </c:numRef>
          </c:val>
          <c:smooth val="0"/>
        </c:ser>
        <c:hiLowLines>
          <c:spPr>
            <a:ln w="0">
              <a:noFill/>
            </a:ln>
          </c:spPr>
        </c:hiLowLines>
        <c:marker val="1"/>
        <c:axId val="85916277"/>
        <c:axId val="11913506"/>
      </c:lineChart>
      <c:catAx>
        <c:axId val="85916277"/>
        <c:scaling>
          <c:orientation val="minMax"/>
        </c:scaling>
        <c:delete val="0"/>
        <c:axPos val="b"/>
        <c:majorGridlines>
          <c:spPr>
            <a:ln w="9360">
              <a:solidFill>
                <a:srgbClr val="D9D9D9"/>
              </a:solidFill>
              <a:round/>
            </a:ln>
          </c:spPr>
        </c:majorGridlines>
        <c:numFmt formatCode="General" sourceLinked="0"/>
        <c:majorTickMark val="none"/>
        <c:minorTickMark val="none"/>
        <c:tickLblPos val="nextTo"/>
        <c:spPr>
          <a:ln w="9360">
            <a:solidFill>
              <a:srgbClr val="BFBFBF"/>
            </a:solidFill>
            <a:round/>
          </a:ln>
        </c:spPr>
        <c:txPr>
          <a:bodyPr/>
          <a:lstStyle/>
          <a:p>
            <a:pPr>
              <a:defRPr sz="900" b="0" u="none" strike="noStrike">
                <a:solidFill>
                  <a:srgbClr val="595959"/>
                </a:solidFill>
                <a:uFillTx/>
                <a:latin typeface="Calibri"/>
                <a:ea typeface="DejaVu Sans"/>
              </a:defRPr>
            </a:pPr>
          </a:p>
        </c:txPr>
        <c:crossAx val="11913506"/>
        <c:crosses val="autoZero"/>
        <c:auto val="1"/>
        <c:lblAlgn val="ctr"/>
        <c:lblOffset val="100"/>
        <c:noMultiLvlLbl val="0"/>
      </c:catAx>
      <c:valAx>
        <c:axId val="11913506"/>
        <c:scaling>
          <c:orientation val="minMax"/>
        </c:scaling>
        <c:delete val="0"/>
        <c:axPos val="l"/>
        <c:majorGridlines>
          <c:spPr>
            <a:ln w="9360">
              <a:solidFill>
                <a:srgbClr val="D9D9D9"/>
              </a:solidFill>
              <a:round/>
            </a:ln>
          </c:spPr>
        </c:majorGridlines>
        <c:numFmt formatCode="General" sourceLinked="0"/>
        <c:majorTickMark val="none"/>
        <c:minorTickMark val="none"/>
        <c:tickLblPos val="nextTo"/>
        <c:spPr>
          <a:ln w="9360">
            <a:solidFill>
              <a:srgbClr val="BFBFBF"/>
            </a:solidFill>
            <a:round/>
          </a:ln>
        </c:spPr>
        <c:txPr>
          <a:bodyPr/>
          <a:lstStyle/>
          <a:p>
            <a:pPr>
              <a:defRPr sz="900" b="0" u="none" strike="noStrike">
                <a:solidFill>
                  <a:srgbClr val="595959"/>
                </a:solidFill>
                <a:uFillTx/>
                <a:latin typeface="Calibri"/>
                <a:ea typeface="DejaVu Sans"/>
              </a:defRPr>
            </a:pPr>
          </a:p>
        </c:txPr>
        <c:crossAx val="85916277"/>
        <c:crosses val="autoZero"/>
        <c:crossBetween val="between"/>
      </c:valAx>
      <c:spPr>
        <a:noFill/>
        <a:ln w="25560">
          <a:noFill/>
        </a:ln>
      </c:spPr>
    </c:plotArea>
    <c:legend>
      <c:legendPos val="b"/>
      <c:overlay val="0"/>
      <c:spPr>
        <a:noFill/>
        <a:ln w="25560">
          <a:noFill/>
        </a:ln>
      </c:spPr>
      <c:txPr>
        <a:bodyPr/>
        <a:lstStyle/>
        <a:p>
          <a:pPr>
            <a:defRPr sz="900" b="0" u="none" strike="noStrike">
              <a:solidFill>
                <a:srgbClr val="595959"/>
              </a:solidFill>
              <a:uFillTx/>
              <a:latin typeface="Calibri"/>
              <a:ea typeface="DejaVu Sans"/>
            </a:defRPr>
          </a:pPr>
        </a:p>
      </c:txPr>
    </c:legend>
    <c:plotVisOnly val="1"/>
    <c:dispBlanksAs val="gap"/>
  </c:chart>
  <c:spPr>
    <a:solidFill>
      <a:srgbClr val="FFFFFF"/>
    </a:solidFill>
    <a:ln w="9360">
      <a:solidFill>
        <a:srgbClr val="D9D9D9"/>
      </a:solidFill>
      <a:round/>
    </a:ln>
  </c:spPr>
</c:chartSpace>
</file>

<file path=xl/charts/chart48.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pieChart>
        <c:varyColors val="1"/>
        <c:ser>
          <c:idx val="0"/>
          <c:order val="0"/>
          <c:spPr>
            <a:solidFill>
              <a:srgbClr val="F79646"/>
            </a:solidFill>
            <a:ln w="0">
              <a:noFill/>
            </a:ln>
          </c:spPr>
          <c:explosion val="0"/>
          <c:dPt>
            <c:idx val="0"/>
            <c:spPr>
              <a:solidFill>
                <a:srgbClr val="4F81BD"/>
              </a:solidFill>
              <a:ln w="19080">
                <a:noFill/>
              </a:ln>
            </c:spPr>
          </c:dPt>
          <c:dPt>
            <c:idx val="1"/>
            <c:spPr>
              <a:solidFill>
                <a:srgbClr val="9BBB59"/>
              </a:solidFill>
              <a:ln w="19080">
                <a:solidFill>
                  <a:srgbClr val="FFFFFF"/>
                </a:solidFill>
                <a:round/>
              </a:ln>
            </c:spPr>
          </c:dPt>
          <c:dPt>
            <c:idx val="2"/>
            <c:spPr>
              <a:solidFill>
                <a:srgbClr val="4BACC6"/>
              </a:solidFill>
              <a:ln w="19080">
                <a:solidFill>
                  <a:srgbClr val="FFFFFF"/>
                </a:solidFill>
                <a:round/>
              </a:ln>
            </c:spPr>
          </c:dPt>
          <c:dLbls>
            <c:dLbl>
              <c:idx val="0"/>
              <c:layout>
                <c:manualLayout>
                  <c:x val="0.0201226793204578"/>
                  <c:y val="-0.127434845386237"/>
                </c:manualLayout>
              </c:layout>
              <c:numFmt formatCode="0.0%" sourceLinked="1"/>
              <c:txPr>
                <a:bodyPr wrap="square"/>
                <a:lstStyle/>
                <a:p>
                  <a:pPr>
                    <a:defRPr sz="1200" b="0" u="none" strike="noStrike">
                      <a:solidFill>
                        <a:srgbClr val="404040"/>
                      </a:solidFill>
                      <a:uFillTx/>
                      <a:latin typeface="Calibri"/>
                      <a:ea typeface="DejaVu Sans"/>
                    </a:defRPr>
                  </a:pPr>
                </a:p>
              </c:txPr>
              <c:dLblPos val="outEnd"/>
              <c:showLegendKey val="0"/>
              <c:showVal val="1"/>
              <c:showCatName val="1"/>
              <c:showSerName val="0"/>
              <c:showPercent val="0"/>
              <c:separator>; </c:separator>
            </c:dLbl>
            <c:dLbl>
              <c:idx val="1"/>
              <c:layout>
                <c:manualLayout>
                  <c:x val="-0.0654860812067843"/>
                  <c:y val="-0.063596123097618"/>
                </c:manualLayout>
              </c:layout>
              <c:numFmt formatCode="0.0%" sourceLinked="1"/>
              <c:txPr>
                <a:bodyPr wrap="square"/>
                <a:lstStyle/>
                <a:p>
                  <a:pPr>
                    <a:defRPr sz="1200" b="0" u="none" strike="noStrike">
                      <a:solidFill>
                        <a:srgbClr val="404040"/>
                      </a:solidFill>
                      <a:uFillTx/>
                      <a:latin typeface="Calibri"/>
                      <a:ea typeface="DejaVu Sans"/>
                    </a:defRPr>
                  </a:pPr>
                </a:p>
              </c:txPr>
              <c:dLblPos val="outEnd"/>
              <c:showLegendKey val="0"/>
              <c:showVal val="1"/>
              <c:showCatName val="1"/>
              <c:showSerName val="0"/>
              <c:showPercent val="0"/>
              <c:separator>; </c:separator>
            </c:dLbl>
            <c:dLbl>
              <c:idx val="2"/>
              <c:layout>
                <c:manualLayout>
                  <c:x val="0.270447945338523"/>
                  <c:y val="0.0253448999012317"/>
                </c:manualLayout>
              </c:layout>
              <c:numFmt formatCode="0.0%" sourceLinked="1"/>
              <c:txPr>
                <a:bodyPr wrap="square"/>
                <a:lstStyle/>
                <a:p>
                  <a:pPr>
                    <a:defRPr sz="1200" b="0" u="none" strike="noStrike">
                      <a:solidFill>
                        <a:srgbClr val="404040"/>
                      </a:solidFill>
                      <a:uFillTx/>
                      <a:latin typeface="Calibri"/>
                      <a:ea typeface="DejaVu Sans"/>
                    </a:defRPr>
                  </a:pPr>
                </a:p>
              </c:txPr>
              <c:dLblPos val="outEnd"/>
              <c:showLegendKey val="0"/>
              <c:showVal val="1"/>
              <c:showCatName val="1"/>
              <c:showSerName val="0"/>
              <c:showPercent val="0"/>
              <c:separator>; </c:separator>
            </c:dLbl>
            <c:numFmt formatCode="0.0%" sourceLinked="1"/>
            <c:txPr>
              <a:bodyPr wrap="square"/>
              <a:lstStyle/>
              <a:p>
                <a:pPr>
                  <a:defRPr sz="1200" b="0" u="none" strike="noStrike">
                    <a:solidFill>
                      <a:srgbClr val="404040"/>
                    </a:solidFill>
                    <a:uFillTx/>
                    <a:latin typeface="Calibri"/>
                    <a:ea typeface="DejaVu Sans"/>
                  </a:defRPr>
                </a:pPr>
              </a:p>
            </c:txPr>
            <c:dLblPos val="bestFit"/>
            <c:showLegendKey val="0"/>
            <c:showVal val="1"/>
            <c:showCatName val="0"/>
            <c:showSerName val="0"/>
            <c:showPercent val="0"/>
            <c:separator>; </c:separator>
            <c:showLeaderLines val="1"/>
            <c:leaderLines>
              <c:spPr>
                <a:ln w="0">
                  <a:solidFill>
                    <a:srgbClr val="A6A6A6"/>
                  </a:solidFill>
                </a:ln>
              </c:spPr>
            </c:leaderLines>
          </c:dLbls>
          <c:cat>
            <c:strRef>
              <c:f>BaoCaoQuy!$A$37:$A$39</c:f>
              <c:strCache>
                <c:ptCount val="3"/>
                <c:pt idx="0">
                  <c:v>ITO</c:v>
                </c:pt>
                <c:pt idx="1">
                  <c:v>UNI</c:v>
                </c:pt>
                <c:pt idx="2">
                  <c:v>G2B</c:v>
                </c:pt>
              </c:strCache>
            </c:strRef>
          </c:cat>
          <c:val>
            <c:numRef>
              <c:f>BaoCaoQuy!$G$37:$G$39</c:f>
              <c:numCache>
                <c:formatCode>0.0%</c:formatCode>
                <c:ptCount val="3"/>
                <c:pt idx="0">
                  <c:v>0</c:v>
                </c:pt>
                <c:pt idx="1">
                  <c:v>0</c:v>
                </c:pt>
                <c:pt idx="2">
                  <c:v>0</c:v>
                </c:pt>
              </c:numCache>
            </c:numRef>
          </c:val>
        </c:ser>
        <c:firstSliceAng val="0"/>
      </c:pieChart>
      <c:spPr>
        <a:noFill/>
        <a:ln w="0">
          <a:noFill/>
        </a:ln>
      </c:spPr>
    </c:plotArea>
    <c:legend>
      <c:legendPos val="r"/>
      <c:overlay val="0"/>
      <c:spPr>
        <a:noFill/>
        <a:ln w="0">
          <a:noFill/>
        </a:ln>
      </c:spPr>
      <c:txPr>
        <a:bodyPr/>
        <a:lstStyle/>
        <a:p>
          <a:pPr>
            <a:defRPr sz="900" b="0" u="none" strike="noStrike">
              <a:solidFill>
                <a:srgbClr val="595959"/>
              </a:solidFill>
              <a:uFillTx/>
              <a:latin typeface="Calibri"/>
              <a:ea typeface="DejaVu Sans"/>
            </a:defRPr>
          </a:pPr>
        </a:p>
      </c:txPr>
    </c:legend>
    <c:plotVisOnly val="1"/>
    <c:dispBlanksAs val="zero"/>
  </c:chart>
  <c:spPr>
    <a:solidFill>
      <a:srgbClr val="FFFFFF"/>
    </a:solidFill>
    <a:ln w="9360">
      <a:solidFill>
        <a:srgbClr val="D9D9D9"/>
      </a:solidFill>
      <a:round/>
    </a:ln>
  </c:spPr>
</c:chartSpace>
</file>

<file path=xl/charts/chart49.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pieChart>
        <c:varyColors val="1"/>
        <c:ser>
          <c:idx val="0"/>
          <c:order val="0"/>
          <c:spPr>
            <a:solidFill>
              <a:srgbClr val="F8B590"/>
            </a:solidFill>
            <a:ln w="0">
              <a:noFill/>
            </a:ln>
          </c:spPr>
          <c:explosion val="0"/>
          <c:dPt>
            <c:idx val="0"/>
            <c:spPr>
              <a:solidFill>
                <a:srgbClr val="F79646"/>
              </a:solidFill>
              <a:ln w="19080">
                <a:solidFill>
                  <a:srgbClr val="FFFFFF"/>
                </a:solidFill>
                <a:round/>
              </a:ln>
            </c:spPr>
          </c:dPt>
          <c:dPt>
            <c:idx val="1"/>
            <c:spPr>
              <a:solidFill>
                <a:srgbClr val="4BACC6"/>
              </a:solidFill>
              <a:ln w="19080">
                <a:solidFill>
                  <a:srgbClr val="FFFFFF"/>
                </a:solidFill>
                <a:round/>
              </a:ln>
            </c:spPr>
          </c:dPt>
          <c:dPt>
            <c:idx val="2"/>
            <c:spPr>
              <a:solidFill>
                <a:srgbClr val="8064A2"/>
              </a:solidFill>
              <a:ln w="19080">
                <a:solidFill>
                  <a:srgbClr val="FFFFFF"/>
                </a:solidFill>
                <a:round/>
              </a:ln>
            </c:spPr>
          </c:dPt>
          <c:dLbls>
            <c:dLbl>
              <c:idx val="0"/>
              <c:layout>
                <c:manualLayout>
                  <c:x val="0.0725095143249111"/>
                  <c:y val="-0.400383666758016"/>
                </c:manualLayout>
              </c:layout>
              <c:numFmt formatCode="0.0%" sourceLinked="1"/>
              <c:txPr>
                <a:bodyPr wrap="square"/>
                <a:lstStyle/>
                <a:p>
                  <a:pPr>
                    <a:defRPr sz="1400" b="0" u="none" strike="noStrike">
                      <a:solidFill>
                        <a:srgbClr val="404040"/>
                      </a:solidFill>
                      <a:uFillTx/>
                      <a:latin typeface="Calibri"/>
                      <a:ea typeface="DejaVu Sans"/>
                    </a:defRPr>
                  </a:pPr>
                </a:p>
              </c:txPr>
              <c:dLblPos val="outEnd"/>
              <c:showLegendKey val="0"/>
              <c:showVal val="1"/>
              <c:showCatName val="1"/>
              <c:showSerName val="0"/>
              <c:showPercent val="0"/>
              <c:separator>; </c:separator>
            </c:dLbl>
            <c:dLbl>
              <c:idx val="1"/>
              <c:layout>
                <c:manualLayout>
                  <c:x val="-0.0422035551684032"/>
                  <c:y val="0.0192981716470488"/>
                </c:manualLayout>
              </c:layout>
              <c:numFmt formatCode="0.0%" sourceLinked="1"/>
              <c:txPr>
                <a:bodyPr wrap="square"/>
                <a:lstStyle/>
                <a:p>
                  <a:pPr>
                    <a:defRPr sz="1400" b="0" u="none" strike="noStrike">
                      <a:solidFill>
                        <a:srgbClr val="404040"/>
                      </a:solidFill>
                      <a:uFillTx/>
                      <a:latin typeface="Calibri"/>
                      <a:ea typeface="DejaVu Sans"/>
                    </a:defRPr>
                  </a:pPr>
                </a:p>
              </c:txPr>
              <c:dLblPos val="outEnd"/>
              <c:showLegendKey val="0"/>
              <c:showVal val="1"/>
              <c:showCatName val="1"/>
              <c:showSerName val="0"/>
              <c:showPercent val="0"/>
              <c:separator>; </c:separator>
            </c:dLbl>
            <c:dLbl>
              <c:idx val="2"/>
              <c:layout>
                <c:manualLayout>
                  <c:x val="0.221437065258352"/>
                  <c:y val="0.0229733207803415"/>
                </c:manualLayout>
              </c:layout>
              <c:numFmt formatCode="0.0%" sourceLinked="1"/>
              <c:txPr>
                <a:bodyPr wrap="square"/>
                <a:lstStyle/>
                <a:p>
                  <a:pPr>
                    <a:defRPr sz="1400" b="0" u="none" strike="noStrike">
                      <a:solidFill>
                        <a:srgbClr val="404040"/>
                      </a:solidFill>
                      <a:uFillTx/>
                      <a:latin typeface="Calibri"/>
                      <a:ea typeface="DejaVu Sans"/>
                    </a:defRPr>
                  </a:pPr>
                </a:p>
              </c:txPr>
              <c:dLblPos val="outEnd"/>
              <c:showLegendKey val="0"/>
              <c:showVal val="1"/>
              <c:showCatName val="1"/>
              <c:showSerName val="0"/>
              <c:showPercent val="0"/>
              <c:separator>; </c:separator>
            </c:dLbl>
            <c:numFmt formatCode="0.0%" sourceLinked="1"/>
            <c:txPr>
              <a:bodyPr wrap="square"/>
              <a:lstStyle/>
              <a:p>
                <a:pPr>
                  <a:defRPr sz="1400" b="0" u="none" strike="noStrike">
                    <a:solidFill>
                      <a:srgbClr val="404040"/>
                    </a:solidFill>
                    <a:uFillTx/>
                    <a:latin typeface="Calibri"/>
                    <a:ea typeface="DejaVu Sans"/>
                  </a:defRPr>
                </a:pPr>
              </a:p>
            </c:txPr>
            <c:dLblPos val="bestFit"/>
            <c:showLegendKey val="0"/>
            <c:showVal val="1"/>
            <c:showCatName val="1"/>
            <c:showSerName val="0"/>
            <c:showPercent val="0"/>
            <c:separator>; </c:separator>
            <c:showLeaderLines val="1"/>
            <c:leaderLines>
              <c:spPr>
                <a:ln w="0">
                  <a:solidFill>
                    <a:srgbClr val="A6A6A6"/>
                  </a:solidFill>
                </a:ln>
              </c:spPr>
            </c:leaderLines>
          </c:dLbls>
          <c:cat>
            <c:strRef>
              <c:f>BaoCaoQuy!$A$37:$A$39</c:f>
              <c:strCache>
                <c:ptCount val="3"/>
                <c:pt idx="0">
                  <c:v>ITO</c:v>
                </c:pt>
                <c:pt idx="1">
                  <c:v>UNI</c:v>
                </c:pt>
                <c:pt idx="2">
                  <c:v>G2B</c:v>
                </c:pt>
              </c:strCache>
            </c:strRef>
          </c:cat>
          <c:val>
            <c:numRef>
              <c:f>BaoCaoQuy!$M$37:$M$39</c:f>
              <c:numCache>
                <c:formatCode>0.0%</c:formatCode>
                <c:ptCount val="3"/>
                <c:pt idx="0">
                  <c:v>0</c:v>
                </c:pt>
                <c:pt idx="1">
                  <c:v>0</c:v>
                </c:pt>
                <c:pt idx="2">
                  <c:v>0</c:v>
                </c:pt>
              </c:numCache>
            </c:numRef>
          </c:val>
        </c:ser>
        <c:firstSliceAng val="0"/>
      </c:pieChart>
      <c:spPr>
        <a:noFill/>
        <a:ln w="0">
          <a:noFill/>
        </a:ln>
      </c:spPr>
    </c:plotArea>
    <c:legend>
      <c:legendPos val="r"/>
      <c:overlay val="0"/>
      <c:spPr>
        <a:noFill/>
        <a:ln w="0">
          <a:noFill/>
        </a:ln>
      </c:spPr>
      <c:txPr>
        <a:bodyPr/>
        <a:lstStyle/>
        <a:p>
          <a:pPr>
            <a:defRPr sz="900" b="0" u="none" strike="noStrike">
              <a:solidFill>
                <a:srgbClr val="595959"/>
              </a:solidFill>
              <a:uFillTx/>
              <a:latin typeface="Calibri"/>
              <a:ea typeface="DejaVu Sans"/>
            </a:defRPr>
          </a:pPr>
        </a:p>
      </c:txPr>
    </c:legend>
    <c:plotVisOnly val="1"/>
    <c:dispBlanksAs val="zero"/>
  </c:chart>
  <c:spPr>
    <a:solidFill>
      <a:srgbClr val="FFFFFF"/>
    </a:solidFill>
    <a:ln w="9360">
      <a:solidFill>
        <a:srgbClr val="D9D9D9"/>
      </a:solidFill>
      <a:round/>
    </a:ln>
  </c:spPr>
</c:chartSpace>
</file>

<file path=xl/charts/chart50.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lang="en-US" sz="1400" b="0" u="none" strike="noStrike">
                <a:solidFill>
                  <a:schemeClr val="tx1"/>
                </a:solidFill>
                <a:uFillTx/>
                <a:latin typeface="Calibri"/>
                <a:ea typeface="DejaVu Sans"/>
              </a:rPr>
              <a:t>Hợp</a:t>
            </a:r>
            <a:r>
              <a:rPr lang="en-US" sz="1400" b="0" u="none" strike="noStrike">
                <a:solidFill>
                  <a:schemeClr val="tx1"/>
                </a:solidFill>
                <a:uFillTx/>
                <a:latin typeface="Calibri"/>
                <a:ea typeface="DejaVu Sans"/>
              </a:rPr>
              <a:t> đồng</a:t>
            </a:r>
          </a:p>
        </c:rich>
      </c:tx>
      <c:overlay val="0"/>
      <c:spPr>
        <a:noFill/>
        <a:ln w="0">
          <a:noFill/>
        </a:ln>
      </c:spPr>
    </c:title>
    <c:autoTitleDeleted val="0"/>
    <c:plotArea>
      <c:pieChart>
        <c:varyColors val="1"/>
        <c:ser>
          <c:idx val="0"/>
          <c:order val="0"/>
          <c:spPr>
            <a:solidFill>
              <a:srgbClr val="4F81BD"/>
            </a:solidFill>
            <a:ln w="0">
              <a:noFill/>
            </a:ln>
          </c:spPr>
          <c:explosion val="0"/>
          <c:dPt>
            <c:idx val="0"/>
            <c:spPr>
              <a:solidFill>
                <a:srgbClr val="F79646"/>
              </a:solidFill>
              <a:ln w="0">
                <a:noFill/>
              </a:ln>
            </c:spPr>
          </c:dPt>
          <c:dPt>
            <c:idx val="1"/>
            <c:spPr>
              <a:solidFill>
                <a:srgbClr val="4BACC6"/>
              </a:solidFill>
              <a:ln w="0">
                <a:noFill/>
              </a:ln>
            </c:spPr>
          </c:dPt>
          <c:dLbls>
            <c:dLbl>
              <c:idx val="0"/>
              <c:layout>
                <c:manualLayout>
                  <c:x val="0.0971522005147005"/>
                  <c:y val="0.0152033010650531"/>
                </c:manualLayout>
              </c:layout>
              <c:numFmt formatCode="General" sourceLinked="1"/>
              <c:txPr>
                <a:bodyPr wrap="square"/>
                <a:lstStyle/>
                <a:p>
                  <a:pPr>
                    <a:defRPr sz="1050" b="1" u="none" strike="noStrike">
                      <a:solidFill>
                        <a:srgbClr val="404040"/>
                      </a:solidFill>
                      <a:uFillTx/>
                      <a:latin typeface="Calibri"/>
                      <a:ea typeface="DejaVu Sans"/>
                    </a:defRPr>
                  </a:pPr>
                </a:p>
              </c:txPr>
              <c:dLblPos val="outEnd"/>
              <c:showLegendKey val="0"/>
              <c:showVal val="1"/>
              <c:showCatName val="0"/>
              <c:showSerName val="0"/>
              <c:showPercent val="0"/>
              <c:separator>; </c:separator>
            </c:dLbl>
            <c:dLbl>
              <c:idx val="1"/>
              <c:layout>
                <c:manualLayout>
                  <c:x val="0.00767697821492876"/>
                  <c:y val="-0.119716742750536"/>
                </c:manualLayout>
              </c:layout>
              <c:numFmt formatCode="General" sourceLinked="1"/>
              <c:txPr>
                <a:bodyPr wrap="square"/>
                <a:lstStyle/>
                <a:p>
                  <a:pPr>
                    <a:defRPr sz="1050" b="1" u="none" strike="noStrike">
                      <a:solidFill>
                        <a:srgbClr val="000000"/>
                      </a:solidFill>
                      <a:uFillTx/>
                      <a:latin typeface="Calibri"/>
                      <a:ea typeface="DejaVu Sans"/>
                    </a:defRPr>
                  </a:pPr>
                </a:p>
              </c:txPr>
              <c:dLblPos val="outEnd"/>
              <c:showLegendKey val="0"/>
              <c:showVal val="1"/>
              <c:showCatName val="0"/>
              <c:showSerName val="0"/>
              <c:showPercent val="0"/>
              <c:separator>; </c:separator>
            </c:dLbl>
            <c:numFmt formatCode="General" sourceLinked="1"/>
            <c:txPr>
              <a:bodyPr wrap="square"/>
              <a:lstStyle/>
              <a:p>
                <a:pPr>
                  <a:defRPr sz="1050" b="1" u="none" strike="noStrike">
                    <a:solidFill>
                      <a:srgbClr val="404040"/>
                    </a:solidFill>
                    <a:uFillTx/>
                    <a:latin typeface="Calibri"/>
                    <a:ea typeface="DejaVu Sans"/>
                  </a:defRPr>
                </a:pPr>
              </a:p>
            </c:txPr>
            <c:dLblPos val="bestFit"/>
            <c:showLegendKey val="0"/>
            <c:showVal val="1"/>
            <c:showCatName val="1"/>
            <c:showSerName val="0"/>
            <c:showPercent val="0"/>
            <c:separator>; </c:separator>
            <c:showLeaderLines val="1"/>
            <c:leaderLines>
              <c:spPr>
                <a:ln w="0">
                  <a:solidFill>
                    <a:srgbClr val="A6A6A6"/>
                  </a:solidFill>
                </a:ln>
              </c:spPr>
            </c:leaderLines>
          </c:dLbls>
          <c:cat>
            <c:strRef>
              <c:f>BaoCaoQuy!$N$36:$O$36</c:f>
              <c:strCache>
                <c:ptCount val="2"/>
                <c:pt idx="0">
                  <c:v/>
                </c:pt>
                <c:pt idx="1">
                  <c:v/>
                </c:pt>
              </c:strCache>
            </c:strRef>
          </c:cat>
          <c:val>
            <c:numRef>
              <c:f>BaoCaoQuy!$N$37:$O$37</c:f>
              <c:numCache>
                <c:formatCode>General</c:formatCode>
                <c:ptCount val="2"/>
              </c:numCache>
            </c:numRef>
          </c:val>
        </c:ser>
        <c:firstSliceAng val="0"/>
      </c:pieChart>
      <c:spPr>
        <a:noFill/>
        <a:ln w="25560">
          <a:noFill/>
        </a:ln>
      </c:spPr>
    </c:plotArea>
    <c:legend>
      <c:legendPos val="r"/>
      <c:overlay val="0"/>
      <c:spPr>
        <a:noFill/>
        <a:ln w="25560">
          <a:noFill/>
        </a:ln>
      </c:spPr>
      <c:txPr>
        <a:bodyPr/>
        <a:lstStyle/>
        <a:p>
          <a:pPr>
            <a:defRPr sz="900" b="0" u="none" strike="noStrike">
              <a:solidFill>
                <a:srgbClr val="595959"/>
              </a:solidFill>
              <a:uFillTx/>
              <a:latin typeface="Calibri"/>
              <a:ea typeface="DejaVu Sans"/>
            </a:defRPr>
          </a:pPr>
        </a:p>
      </c:txPr>
    </c:legend>
    <c:plotVisOnly val="1"/>
    <c:dispBlanksAs val="zero"/>
  </c:chart>
  <c:spPr>
    <a:solidFill>
      <a:srgbClr val="FFFFFF"/>
    </a:solidFill>
    <a:ln w="9360">
      <a:solidFill>
        <a:srgbClr val="D9D9D9"/>
      </a:solidFill>
      <a:round/>
    </a:ln>
  </c:spPr>
</c:chartSpace>
</file>

<file path=xl/charts/chart5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lang="en-US" sz="1400" b="1" u="none" strike="noStrike">
                <a:solidFill>
                  <a:schemeClr val="tx1">
                    <a:lumMod val="65000"/>
                    <a:lumOff val="35000"/>
                  </a:schemeClr>
                </a:solidFill>
                <a:uFillTx/>
                <a:latin typeface="Calibri"/>
                <a:ea typeface="DejaVu Sans"/>
              </a:rPr>
              <a:t>TỔNG</a:t>
            </a:r>
            <a:r>
              <a:rPr lang="en-US" sz="1400" b="1" u="none" strike="noStrike">
                <a:solidFill>
                  <a:schemeClr val="tx1">
                    <a:lumMod val="65000"/>
                    <a:lumOff val="35000"/>
                  </a:schemeClr>
                </a:solidFill>
                <a:uFillTx/>
                <a:latin typeface="Calibri"/>
                <a:ea typeface="DejaVu Sans"/>
              </a:rPr>
              <a:t> HỢP HỢP ĐỒNG</a:t>
            </a:r>
          </a:p>
        </c:rich>
      </c:tx>
      <c:overlay val="0"/>
      <c:spPr>
        <a:noFill/>
        <a:ln w="0">
          <a:noFill/>
        </a:ln>
      </c:spPr>
    </c:title>
    <c:autoTitleDeleted val="0"/>
    <c:plotArea>
      <c:barChart>
        <c:barDir val="col"/>
        <c:grouping val="stacked"/>
        <c:varyColors val="0"/>
        <c:ser>
          <c:idx val="0"/>
          <c:order val="0"/>
          <c:tx>
            <c:strRef>
              <c:f>'KH hieu chinh'!$B$46</c:f>
              <c:strCache>
                <c:ptCount val="1"/>
                <c:pt idx="0">
                  <c:v>KH năm</c:v>
                </c:pt>
              </c:strCache>
            </c:strRef>
          </c:tx>
          <c:spPr>
            <a:solidFill>
              <a:srgbClr val="F79646"/>
            </a:solidFill>
            <a:ln w="12600">
              <a:noFill/>
            </a:ln>
          </c:spPr>
          <c:invertIfNegative val="0"/>
          <c:dLbls>
            <c:numFmt formatCode="#,##0" sourceLinked="1"/>
            <c:txPr>
              <a:bodyPr wrap="square"/>
              <a:lstStyle/>
              <a:p>
                <a:pPr>
                  <a:defRPr sz="900" b="0" u="none" strike="noStrike">
                    <a:solidFill>
                      <a:srgbClr val="FFFFFF"/>
                    </a:solidFill>
                    <a:uFillTx/>
                    <a:latin typeface="Calibri"/>
                    <a:ea typeface="DejaVu Sans"/>
                  </a:defRPr>
                </a:pPr>
              </a:p>
            </c:txPr>
            <c:dLblPos val="ctr"/>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val>
            <c:numRef>
              <c:f>'KH hieu chinh'!$C$46:$E$46</c:f>
              <c:numCache>
                <c:formatCode>#,##0</c:formatCode>
                <c:ptCount val="3"/>
                <c:pt idx="0">
                  <c:v>10000000000</c:v>
                </c:pt>
              </c:numCache>
            </c:numRef>
          </c:val>
        </c:ser>
        <c:ser>
          <c:idx val="1"/>
          <c:order val="1"/>
          <c:tx>
            <c:strRef>
              <c:f>'KH hieu chinh'!$B$47</c:f>
              <c:strCache>
                <c:ptCount val="1"/>
                <c:pt idx="0">
                  <c:v>KH còn lại</c:v>
                </c:pt>
              </c:strCache>
            </c:strRef>
          </c:tx>
          <c:spPr>
            <a:solidFill>
              <a:srgbClr val="4BACC6"/>
            </a:solidFill>
            <a:ln w="12600">
              <a:noFill/>
            </a:ln>
          </c:spPr>
          <c:invertIfNegative val="0"/>
          <c:dLbls>
            <c:numFmt formatCode="#,##0" sourceLinked="1"/>
            <c:txPr>
              <a:bodyPr wrap="square"/>
              <a:lstStyle/>
              <a:p>
                <a:pPr>
                  <a:defRPr sz="900" b="0" u="none" strike="noStrike">
                    <a:solidFill>
                      <a:srgbClr val="FFFFFF"/>
                    </a:solidFill>
                    <a:uFillTx/>
                    <a:latin typeface="Calibri"/>
                    <a:ea typeface="DejaVu Sans"/>
                  </a:defRPr>
                </a:pPr>
              </a:p>
            </c:txPr>
            <c:dLblPos val="ctr"/>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val>
            <c:numRef>
              <c:f>'KH hieu chinh'!$C$47:$E$47</c:f>
              <c:numCache>
                <c:formatCode>#,##0</c:formatCode>
                <c:ptCount val="3"/>
                <c:pt idx="1">
                  <c:v>10000000000</c:v>
                </c:pt>
              </c:numCache>
            </c:numRef>
          </c:val>
        </c:ser>
        <c:ser>
          <c:idx val="2"/>
          <c:order val="2"/>
          <c:tx>
            <c:strRef>
              <c:f>'KH hieu chinh'!$B$48</c:f>
              <c:strCache>
                <c:ptCount val="1"/>
                <c:pt idx="0">
                  <c:v>Thực tế (đạt)</c:v>
                </c:pt>
              </c:strCache>
            </c:strRef>
          </c:tx>
          <c:spPr>
            <a:solidFill>
              <a:srgbClr val="8064A2"/>
            </a:solidFill>
            <a:ln w="12600">
              <a:noFill/>
            </a:ln>
          </c:spPr>
          <c:invertIfNegative val="0"/>
          <c:dLbls>
            <c:numFmt formatCode="#,##0" sourceLinked="1"/>
            <c:txPr>
              <a:bodyPr wrap="square"/>
              <a:lstStyle/>
              <a:p>
                <a:pPr>
                  <a:defRPr sz="1200" b="0" u="none" strike="noStrike">
                    <a:solidFill>
                      <a:srgbClr val="000000"/>
                    </a:solidFill>
                    <a:uFillTx/>
                    <a:latin typeface="Calibri"/>
                    <a:ea typeface="DejaVu Sans"/>
                  </a:defRPr>
                </a:pPr>
              </a:p>
            </c:txPr>
            <c:dLblPos val="ctr"/>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val>
            <c:numRef>
              <c:f>'KH hieu chinh'!$C$48:$E$48</c:f>
              <c:numCache>
                <c:formatCode>#,##0</c:formatCode>
                <c:ptCount val="3"/>
                <c:pt idx="2">
                  <c:v>0</c:v>
                </c:pt>
              </c:numCache>
            </c:numRef>
          </c:val>
        </c:ser>
        <c:ser>
          <c:idx val="3"/>
          <c:order val="3"/>
          <c:tx>
            <c:strRef>
              <c:f>'KH hieu chinh'!$B$50</c:f>
              <c:strCache>
                <c:ptCount val="1"/>
                <c:pt idx="0">
                  <c:v>Nguồn DT dự kiến</c:v>
                </c:pt>
              </c:strCache>
            </c:strRef>
          </c:tx>
          <c:spPr>
            <a:solidFill>
              <a:srgbClr val="B65708"/>
            </a:solidFill>
            <a:ln w="12600">
              <a:noFill/>
            </a:ln>
          </c:spPr>
          <c:invertIfNegative val="0"/>
          <c:dLbls>
            <c:numFmt formatCode="#,##0" sourceLinked="1"/>
            <c:txPr>
              <a:bodyPr wrap="square"/>
              <a:lstStyle/>
              <a:p>
                <a:pPr>
                  <a:defRPr sz="900" b="0" u="none" strike="noStrike">
                    <a:solidFill>
                      <a:srgbClr val="FFFFFF"/>
                    </a:solidFill>
                    <a:uFillTx/>
                    <a:latin typeface="Calibri"/>
                    <a:ea typeface="DejaVu Sans"/>
                  </a:defRPr>
                </a:pPr>
              </a:p>
            </c:txPr>
            <c:dLblPos val="ctr"/>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val>
            <c:numRef>
              <c:f>'KH hieu chinh'!$C$50:$E$50</c:f>
              <c:numCache>
                <c:formatCode>#,##0</c:formatCode>
                <c:ptCount val="3"/>
                <c:pt idx="2">
                  <c:v>0</c:v>
                </c:pt>
              </c:numCache>
            </c:numRef>
          </c:val>
        </c:ser>
        <c:gapWidth val="100"/>
        <c:overlap val="100"/>
        <c:axId val="51453952"/>
        <c:axId val="95811656"/>
      </c:barChart>
      <c:catAx>
        <c:axId val="51453952"/>
        <c:scaling>
          <c:orientation val="minMax"/>
        </c:scaling>
        <c:delete val="1"/>
        <c:axPos val="b"/>
        <c:numFmt formatCode="General" sourceLinked="1"/>
        <c:majorTickMark val="none"/>
        <c:minorTickMark val="none"/>
        <c:tickLblPos val="none"/>
        <c:spPr>
          <a:ln w="9360">
            <a:solidFill>
              <a:srgbClr val="878787"/>
            </a:solidFill>
            <a:round/>
          </a:ln>
        </c:spPr>
        <c:txPr>
          <a:bodyPr/>
          <a:lstStyle/>
          <a:p>
            <a:pPr>
              <a:defRPr sz="1000" b="0" u="none" strike="noStrike">
                <a:solidFill>
                  <a:srgbClr val="000000"/>
                </a:solidFill>
                <a:uFillTx/>
                <a:latin typeface="Calibri"/>
                <a:ea typeface="DejaVu Sans"/>
              </a:defRPr>
            </a:pPr>
          </a:p>
        </c:txPr>
        <c:crossAx val="95811656"/>
        <c:auto val="1"/>
        <c:lblAlgn val="ctr"/>
        <c:lblOffset val="100"/>
        <c:noMultiLvlLbl val="0"/>
      </c:catAx>
      <c:valAx>
        <c:axId val="95811656"/>
        <c:scaling>
          <c:orientation val="minMax"/>
        </c:scaling>
        <c:delete val="0"/>
        <c:axPos val="l"/>
        <c:majorGridlines>
          <c:spPr>
            <a:ln w="9360">
              <a:solidFill>
                <a:srgbClr val="D9D9D9"/>
              </a:solidFill>
              <a:round/>
            </a:ln>
          </c:spPr>
        </c:majorGridlines>
        <c:numFmt formatCode="#,##0" sourceLinked="0"/>
        <c:majorTickMark val="none"/>
        <c:minorTickMark val="none"/>
        <c:tickLblPos val="nextTo"/>
        <c:spPr>
          <a:ln w="9360">
            <a:noFill/>
          </a:ln>
        </c:spPr>
        <c:txPr>
          <a:bodyPr/>
          <a:lstStyle/>
          <a:p>
            <a:pPr>
              <a:defRPr sz="900" b="0" u="none" strike="noStrike">
                <a:solidFill>
                  <a:srgbClr val="595959"/>
                </a:solidFill>
                <a:uFillTx/>
                <a:latin typeface="Calibri"/>
                <a:ea typeface="DejaVu Sans"/>
              </a:defRPr>
            </a:pPr>
          </a:p>
        </c:txPr>
        <c:crossAx val="51453952"/>
        <c:crosses val="autoZero"/>
        <c:crossBetween val="between"/>
      </c:valAx>
      <c:spPr>
        <a:noFill/>
        <a:ln w="0">
          <a:noFill/>
        </a:ln>
      </c:spPr>
    </c:plotArea>
    <c:legend>
      <c:legendPos val="b"/>
      <c:overlay val="0"/>
      <c:spPr>
        <a:noFill/>
        <a:ln w="0">
          <a:noFill/>
        </a:ln>
      </c:spPr>
      <c:txPr>
        <a:bodyPr/>
        <a:lstStyle/>
        <a:p>
          <a:pPr>
            <a:defRPr sz="900" b="0" u="none" strike="noStrike">
              <a:solidFill>
                <a:srgbClr val="595959"/>
              </a:solidFill>
              <a:uFillTx/>
              <a:latin typeface="Calibri"/>
              <a:ea typeface="DejaVu Sans"/>
            </a:defRPr>
          </a:pPr>
        </a:p>
      </c:txPr>
    </c:legend>
    <c:plotVisOnly val="1"/>
    <c:dispBlanksAs val="gap"/>
  </c:chart>
  <c:spPr>
    <a:solidFill>
      <a:srgbClr val="FFFFFF"/>
    </a:solidFill>
    <a:ln w="9360">
      <a:solidFill>
        <a:srgbClr val="D9D9D9"/>
      </a:solidFill>
      <a:round/>
    </a:ln>
  </c:spPr>
</c:chartSpace>
</file>

<file path=xl/charts/chart5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lang="en-US" sz="1400" b="1" u="none" strike="noStrike">
                <a:solidFill>
                  <a:schemeClr val="tx1">
                    <a:lumMod val="65000"/>
                    <a:lumOff val="35000"/>
                  </a:schemeClr>
                </a:solidFill>
                <a:uFillTx/>
                <a:latin typeface="Calibri"/>
                <a:ea typeface="DejaVu Sans"/>
              </a:rPr>
              <a:t>TỔNG</a:t>
            </a:r>
            <a:r>
              <a:rPr lang="en-US" sz="1400" b="1" u="none" strike="noStrike">
                <a:solidFill>
                  <a:schemeClr val="tx1">
                    <a:lumMod val="65000"/>
                    <a:lumOff val="35000"/>
                  </a:schemeClr>
                </a:solidFill>
                <a:uFillTx/>
                <a:latin typeface="Calibri"/>
                <a:ea typeface="DejaVu Sans"/>
              </a:rPr>
              <a:t> HỢP DOANH THU</a:t>
            </a:r>
          </a:p>
        </c:rich>
      </c:tx>
      <c:overlay val="0"/>
      <c:spPr>
        <a:noFill/>
        <a:ln w="0">
          <a:noFill/>
        </a:ln>
      </c:spPr>
    </c:title>
    <c:autoTitleDeleted val="0"/>
    <c:plotArea>
      <c:barChart>
        <c:barDir val="col"/>
        <c:grouping val="stacked"/>
        <c:varyColors val="0"/>
        <c:ser>
          <c:idx val="0"/>
          <c:order val="0"/>
          <c:tx>
            <c:strRef>
              <c:f>'KH hieu chinh'!$B$46</c:f>
              <c:strCache>
                <c:ptCount val="1"/>
                <c:pt idx="0">
                  <c:v>KH năm</c:v>
                </c:pt>
              </c:strCache>
            </c:strRef>
          </c:tx>
          <c:spPr>
            <a:solidFill>
              <a:srgbClr val="8064A2"/>
            </a:solidFill>
            <a:ln w="12600">
              <a:noFill/>
            </a:ln>
          </c:spPr>
          <c:invertIfNegative val="0"/>
          <c:dLbls>
            <c:numFmt formatCode="#,##0" sourceLinked="1"/>
            <c:txPr>
              <a:bodyPr wrap="square"/>
              <a:lstStyle/>
              <a:p>
                <a:pPr>
                  <a:defRPr sz="900" b="0" u="none" strike="noStrike">
                    <a:solidFill>
                      <a:srgbClr val="FFFFFF"/>
                    </a:solidFill>
                    <a:uFillTx/>
                    <a:latin typeface="Calibri"/>
                    <a:ea typeface="DejaVu Sans"/>
                  </a:defRPr>
                </a:pPr>
              </a:p>
            </c:txPr>
            <c:dLblPos val="ctr"/>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val>
            <c:numRef>
              <c:f>'KH hieu chinh'!$F$46:$H$46</c:f>
              <c:numCache>
                <c:formatCode>#,##0</c:formatCode>
                <c:ptCount val="3"/>
                <c:pt idx="0">
                  <c:v>9000000000</c:v>
                </c:pt>
              </c:numCache>
            </c:numRef>
          </c:val>
        </c:ser>
        <c:ser>
          <c:idx val="1"/>
          <c:order val="1"/>
          <c:tx>
            <c:strRef>
              <c:f>'KH hieu chinh'!$B$47</c:f>
              <c:strCache>
                <c:ptCount val="1"/>
                <c:pt idx="0">
                  <c:v>KH còn lại</c:v>
                </c:pt>
              </c:strCache>
            </c:strRef>
          </c:tx>
          <c:spPr>
            <a:solidFill>
              <a:srgbClr val="4BACC6"/>
            </a:solidFill>
            <a:ln w="12600">
              <a:noFill/>
            </a:ln>
          </c:spPr>
          <c:invertIfNegative val="0"/>
          <c:dLbls>
            <c:numFmt formatCode="#,##0" sourceLinked="1"/>
            <c:txPr>
              <a:bodyPr wrap="square"/>
              <a:lstStyle/>
              <a:p>
                <a:pPr>
                  <a:defRPr sz="900" b="0" u="none" strike="noStrike">
                    <a:solidFill>
                      <a:srgbClr val="FFFFFF"/>
                    </a:solidFill>
                    <a:uFillTx/>
                    <a:latin typeface="Calibri"/>
                    <a:ea typeface="DejaVu Sans"/>
                  </a:defRPr>
                </a:pPr>
              </a:p>
            </c:txPr>
            <c:dLblPos val="ctr"/>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val>
            <c:numRef>
              <c:f>'KH hieu chinh'!$F$47:$H$47</c:f>
              <c:numCache>
                <c:formatCode>#,##0</c:formatCode>
                <c:ptCount val="3"/>
                <c:pt idx="1">
                  <c:v>9000000000</c:v>
                </c:pt>
              </c:numCache>
            </c:numRef>
          </c:val>
        </c:ser>
        <c:ser>
          <c:idx val="2"/>
          <c:order val="2"/>
          <c:tx>
            <c:strRef>
              <c:f>'KH hieu chinh'!$B$48</c:f>
              <c:strCache>
                <c:ptCount val="1"/>
                <c:pt idx="0">
                  <c:v>Thực tế (đạt)</c:v>
                </c:pt>
              </c:strCache>
            </c:strRef>
          </c:tx>
          <c:spPr>
            <a:solidFill>
              <a:srgbClr val="F79646"/>
            </a:solidFill>
            <a:ln w="12600">
              <a:noFill/>
            </a:ln>
          </c:spPr>
          <c:invertIfNegative val="0"/>
          <c:dLbls>
            <c:numFmt formatCode="#,##0" sourceLinked="1"/>
            <c:txPr>
              <a:bodyPr wrap="square"/>
              <a:lstStyle/>
              <a:p>
                <a:pPr>
                  <a:defRPr sz="1200" b="0" u="none" strike="noStrike">
                    <a:solidFill>
                      <a:srgbClr val="000000"/>
                    </a:solidFill>
                    <a:uFillTx/>
                    <a:latin typeface="Calibri"/>
                    <a:ea typeface="DejaVu Sans"/>
                  </a:defRPr>
                </a:pPr>
              </a:p>
            </c:txPr>
            <c:dLblPos val="ctr"/>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val>
            <c:numRef>
              <c:f>'KH hieu chinh'!$F$48:$H$48</c:f>
              <c:numCache>
                <c:formatCode>#,##0</c:formatCode>
                <c:ptCount val="3"/>
                <c:pt idx="2">
                  <c:v>0</c:v>
                </c:pt>
              </c:numCache>
            </c:numRef>
          </c:val>
        </c:ser>
        <c:ser>
          <c:idx val="3"/>
          <c:order val="3"/>
          <c:tx>
            <c:strRef>
              <c:f>'KH hieu chinh'!$B$49</c:f>
              <c:strCache>
                <c:ptCount val="1"/>
                <c:pt idx="0">
                  <c:v>Nguồn thu (HĐ đã ký)</c:v>
                </c:pt>
              </c:strCache>
            </c:strRef>
          </c:tx>
          <c:spPr>
            <a:solidFill>
              <a:srgbClr val="C0504D"/>
            </a:solidFill>
            <a:ln w="12600">
              <a:noFill/>
            </a:ln>
          </c:spPr>
          <c:invertIfNegative val="0"/>
          <c:dLbls>
            <c:numFmt formatCode="#,##0" sourceLinked="1"/>
            <c:txPr>
              <a:bodyPr wrap="square"/>
              <a:lstStyle/>
              <a:p>
                <a:pPr>
                  <a:defRPr sz="900" b="0" u="none" strike="noStrike">
                    <a:solidFill>
                      <a:srgbClr val="FFFFFF"/>
                    </a:solidFill>
                    <a:uFillTx/>
                    <a:latin typeface="Calibri"/>
                    <a:ea typeface="DejaVu Sans"/>
                  </a:defRPr>
                </a:pPr>
              </a:p>
            </c:txPr>
            <c:dLblPos val="ctr"/>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val>
            <c:numRef>
              <c:f>'KH hieu chinh'!$F$49:$H$49</c:f>
              <c:numCache>
                <c:formatCode>#,##0</c:formatCode>
                <c:ptCount val="3"/>
                <c:pt idx="2">
                  <c:v>0</c:v>
                </c:pt>
              </c:numCache>
            </c:numRef>
          </c:val>
        </c:ser>
        <c:ser>
          <c:idx val="4"/>
          <c:order val="4"/>
          <c:tx>
            <c:strRef>
              <c:f>'KH hieu chinh'!$B$50</c:f>
              <c:strCache>
                <c:ptCount val="1"/>
                <c:pt idx="0">
                  <c:v>Nguồn DT dự kiến</c:v>
                </c:pt>
              </c:strCache>
            </c:strRef>
          </c:tx>
          <c:spPr>
            <a:solidFill>
              <a:srgbClr val="4F81BD"/>
            </a:solidFill>
            <a:ln w="12600">
              <a:noFill/>
            </a:ln>
          </c:spPr>
          <c:invertIfNegative val="0"/>
          <c:dLbls>
            <c:numFmt formatCode="#,##0" sourceLinked="1"/>
            <c:txPr>
              <a:bodyPr wrap="square"/>
              <a:lstStyle/>
              <a:p>
                <a:pPr>
                  <a:defRPr sz="900" b="0" u="none" strike="noStrike">
                    <a:solidFill>
                      <a:srgbClr val="FFFFFF"/>
                    </a:solidFill>
                    <a:uFillTx/>
                    <a:latin typeface="Calibri"/>
                    <a:ea typeface="DejaVu Sans"/>
                  </a:defRPr>
                </a:pPr>
              </a:p>
            </c:txPr>
            <c:dLblPos val="ctr"/>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val>
            <c:numRef>
              <c:f>'KH hieu chinh'!$F$50:$H$50</c:f>
              <c:numCache>
                <c:formatCode>#,##0</c:formatCode>
                <c:ptCount val="3"/>
                <c:pt idx="2">
                  <c:v>854990000</c:v>
                </c:pt>
              </c:numCache>
            </c:numRef>
          </c:val>
        </c:ser>
        <c:gapWidth val="100"/>
        <c:overlap val="100"/>
        <c:axId val="29477510"/>
        <c:axId val="1487065"/>
      </c:barChart>
      <c:catAx>
        <c:axId val="29477510"/>
        <c:scaling>
          <c:orientation val="minMax"/>
        </c:scaling>
        <c:delete val="1"/>
        <c:axPos val="b"/>
        <c:numFmt formatCode="General" sourceLinked="1"/>
        <c:majorTickMark val="none"/>
        <c:minorTickMark val="none"/>
        <c:tickLblPos val="none"/>
        <c:spPr>
          <a:ln w="9360">
            <a:solidFill>
              <a:srgbClr val="878787"/>
            </a:solidFill>
            <a:round/>
          </a:ln>
        </c:spPr>
        <c:txPr>
          <a:bodyPr/>
          <a:lstStyle/>
          <a:p>
            <a:pPr>
              <a:defRPr sz="1000" b="0" u="none" strike="noStrike">
                <a:solidFill>
                  <a:srgbClr val="000000"/>
                </a:solidFill>
                <a:uFillTx/>
                <a:latin typeface="Calibri"/>
                <a:ea typeface="DejaVu Sans"/>
              </a:defRPr>
            </a:pPr>
          </a:p>
        </c:txPr>
        <c:crossAx val="1487065"/>
        <c:auto val="1"/>
        <c:lblAlgn val="ctr"/>
        <c:lblOffset val="100"/>
        <c:noMultiLvlLbl val="0"/>
      </c:catAx>
      <c:valAx>
        <c:axId val="1487065"/>
        <c:scaling>
          <c:orientation val="minMax"/>
        </c:scaling>
        <c:delete val="0"/>
        <c:axPos val="l"/>
        <c:majorGridlines>
          <c:spPr>
            <a:ln w="9360">
              <a:solidFill>
                <a:srgbClr val="D9D9D9"/>
              </a:solidFill>
              <a:round/>
            </a:ln>
          </c:spPr>
        </c:majorGridlines>
        <c:numFmt formatCode="#,##0" sourceLinked="0"/>
        <c:majorTickMark val="none"/>
        <c:minorTickMark val="none"/>
        <c:tickLblPos val="nextTo"/>
        <c:spPr>
          <a:ln w="9360">
            <a:noFill/>
          </a:ln>
        </c:spPr>
        <c:txPr>
          <a:bodyPr/>
          <a:lstStyle/>
          <a:p>
            <a:pPr>
              <a:defRPr sz="900" b="0" u="none" strike="noStrike">
                <a:solidFill>
                  <a:srgbClr val="595959"/>
                </a:solidFill>
                <a:uFillTx/>
                <a:latin typeface="Calibri"/>
                <a:ea typeface="DejaVu Sans"/>
              </a:defRPr>
            </a:pPr>
          </a:p>
        </c:txPr>
        <c:crossAx val="29477510"/>
        <c:crosses val="autoZero"/>
        <c:crossBetween val="between"/>
      </c:valAx>
      <c:spPr>
        <a:noFill/>
        <a:ln w="0">
          <a:noFill/>
        </a:ln>
      </c:spPr>
    </c:plotArea>
    <c:legend>
      <c:legendPos val="b"/>
      <c:overlay val="0"/>
      <c:spPr>
        <a:noFill/>
        <a:ln w="0">
          <a:noFill/>
        </a:ln>
      </c:spPr>
      <c:txPr>
        <a:bodyPr/>
        <a:lstStyle/>
        <a:p>
          <a:pPr>
            <a:defRPr sz="900" b="0" u="none" strike="noStrike">
              <a:solidFill>
                <a:srgbClr val="595959"/>
              </a:solidFill>
              <a:uFillTx/>
              <a:latin typeface="Calibri"/>
              <a:ea typeface="DejaVu Sans"/>
            </a:defRPr>
          </a:pPr>
        </a:p>
      </c:txPr>
    </c:legend>
    <c:plotVisOnly val="1"/>
    <c:dispBlanksAs val="gap"/>
  </c:chart>
  <c:spPr>
    <a:solidFill>
      <a:srgbClr val="FFFFFF"/>
    </a:solidFill>
    <a:ln w="9360">
      <a:solidFill>
        <a:srgbClr val="D9D9D9"/>
      </a:solidFill>
      <a:round/>
    </a:ln>
  </c:spPr>
</c:chartSpace>
</file>

<file path=xl/charts/chart5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lang="en-US" sz="1400" b="0" u="none" strike="noStrike">
                <a:solidFill>
                  <a:schemeClr val="tx1">
                    <a:lumMod val="65000"/>
                    <a:lumOff val="35000"/>
                  </a:schemeClr>
                </a:solidFill>
                <a:uFillTx/>
                <a:latin typeface="Calibri"/>
                <a:ea typeface="DejaVu Sans"/>
              </a:rPr>
              <a:t>Doanh</a:t>
            </a:r>
            <a:r>
              <a:rPr lang="en-US" sz="1400" b="0" u="none" strike="noStrike">
                <a:solidFill>
                  <a:schemeClr val="tx1">
                    <a:lumMod val="65000"/>
                    <a:lumOff val="35000"/>
                  </a:schemeClr>
                </a:solidFill>
                <a:uFillTx/>
                <a:latin typeface="Calibri"/>
                <a:ea typeface="DejaVu Sans"/>
              </a:rPr>
              <a:t> thu</a:t>
            </a:r>
          </a:p>
        </c:rich>
      </c:tx>
      <c:overlay val="0"/>
      <c:spPr>
        <a:noFill/>
        <a:ln w="0">
          <a:noFill/>
        </a:ln>
      </c:spPr>
    </c:title>
    <c:autoTitleDeleted val="0"/>
    <c:plotArea>
      <c:pieChart>
        <c:varyColors val="1"/>
        <c:ser>
          <c:idx val="0"/>
          <c:order val="0"/>
          <c:spPr>
            <a:solidFill>
              <a:srgbClr val="4F81BD"/>
            </a:solidFill>
            <a:ln w="12600">
              <a:noFill/>
            </a:ln>
          </c:spPr>
          <c:explosion val="0"/>
          <c:dPt>
            <c:idx val="0"/>
            <c:spPr>
              <a:solidFill>
                <a:srgbClr val="4F81BD"/>
              </a:solidFill>
              <a:ln w="19080">
                <a:noFill/>
              </a:ln>
            </c:spPr>
          </c:dPt>
          <c:dPt>
            <c:idx val="1"/>
            <c:spPr>
              <a:solidFill>
                <a:srgbClr val="9BBB59"/>
              </a:solidFill>
              <a:ln w="19080">
                <a:noFill/>
              </a:ln>
            </c:spPr>
          </c:dPt>
          <c:dLbls>
            <c:dLbl>
              <c:idx val="0"/>
              <c:layout>
                <c:manualLayout>
                  <c:x val="0.124593344747412"/>
                  <c:y val="0.0439545561124234"/>
                </c:manualLayout>
              </c:layout>
              <c:numFmt formatCode="General" sourceLinked="1"/>
              <c:txPr>
                <a:bodyPr wrap="square"/>
                <a:lstStyle/>
                <a:p>
                  <a:pPr>
                    <a:defRPr sz="1050" b="1" u="none" strike="noStrike">
                      <a:solidFill>
                        <a:srgbClr val="404040"/>
                      </a:solidFill>
                      <a:uFillTx/>
                      <a:latin typeface="Calibri"/>
                      <a:ea typeface="DejaVu Sans"/>
                    </a:defRPr>
                  </a:pPr>
                </a:p>
              </c:txPr>
              <c:dLblPos val="outEnd"/>
              <c:showLegendKey val="0"/>
              <c:showVal val="1"/>
              <c:showCatName val="0"/>
              <c:showSerName val="0"/>
              <c:showPercent val="0"/>
              <c:separator>; </c:separator>
            </c:dLbl>
            <c:dLbl>
              <c:idx val="1"/>
              <c:layout>
                <c:manualLayout>
                  <c:x val="-0.0630530069773502"/>
                  <c:y val="-0.118461675552756"/>
                </c:manualLayout>
              </c:layout>
              <c:numFmt formatCode="General" sourceLinked="1"/>
              <c:txPr>
                <a:bodyPr wrap="square"/>
                <a:lstStyle/>
                <a:p>
                  <a:pPr>
                    <a:defRPr sz="1050" b="1" u="none" strike="noStrike">
                      <a:solidFill>
                        <a:srgbClr val="000000"/>
                      </a:solidFill>
                      <a:uFillTx/>
                      <a:latin typeface="Calibri"/>
                      <a:ea typeface="DejaVu Sans"/>
                    </a:defRPr>
                  </a:pPr>
                </a:p>
              </c:txPr>
              <c:dLblPos val="outEnd"/>
              <c:showLegendKey val="0"/>
              <c:showVal val="1"/>
              <c:showCatName val="0"/>
              <c:showSerName val="0"/>
              <c:showPercent val="0"/>
              <c:separator>; </c:separator>
            </c:dLbl>
            <c:numFmt formatCode="General" sourceLinked="1"/>
            <c:txPr>
              <a:bodyPr wrap="square"/>
              <a:lstStyle/>
              <a:p>
                <a:pPr>
                  <a:defRPr sz="1050" b="0" u="none" strike="noStrike">
                    <a:solidFill>
                      <a:srgbClr val="404040"/>
                    </a:solidFill>
                    <a:uFillTx/>
                    <a:latin typeface="Calibri"/>
                    <a:ea typeface="DejaVu Sans"/>
                  </a:defRPr>
                </a:pPr>
              </a:p>
            </c:txPr>
            <c:dLblPos val="bestFit"/>
            <c:showLegendKey val="0"/>
            <c:showVal val="1"/>
            <c:showCatName val="0"/>
            <c:showSerName val="0"/>
            <c:showPercent val="0"/>
            <c:separator>; </c:separator>
            <c:showLeaderLines val="1"/>
            <c:leaderLines>
              <c:spPr>
                <a:ln w="0">
                  <a:solidFill>
                    <a:srgbClr val="A6A6A6"/>
                  </a:solidFill>
                </a:ln>
              </c:spPr>
            </c:leaderLines>
          </c:dLbls>
          <c:cat>
            <c:strRef>
              <c:f>BaoCaoQuy!$P$36:$Q$36</c:f>
              <c:strCache>
                <c:ptCount val="2"/>
                <c:pt idx="0">
                  <c:v/>
                </c:pt>
                <c:pt idx="1">
                  <c:v/>
                </c:pt>
              </c:strCache>
            </c:strRef>
          </c:cat>
          <c:val>
            <c:numRef>
              <c:f>BaoCaoQuy!$P$37:$Q$37</c:f>
              <c:numCache>
                <c:formatCode>General</c:formatCode>
                <c:ptCount val="2"/>
              </c:numCache>
            </c:numRef>
          </c:val>
        </c:ser>
        <c:firstSliceAng val="0"/>
      </c:pieChart>
      <c:spPr>
        <a:noFill/>
        <a:ln w="0">
          <a:noFill/>
        </a:ln>
      </c:spPr>
    </c:plotArea>
    <c:legend>
      <c:legendPos val="r"/>
      <c:overlay val="0"/>
      <c:spPr>
        <a:noFill/>
        <a:ln w="0">
          <a:noFill/>
        </a:ln>
      </c:spPr>
      <c:txPr>
        <a:bodyPr/>
        <a:lstStyle/>
        <a:p>
          <a:pPr>
            <a:defRPr sz="900" b="0" u="none" strike="noStrike">
              <a:solidFill>
                <a:srgbClr val="595959"/>
              </a:solidFill>
              <a:uFillTx/>
              <a:latin typeface="Calibri"/>
              <a:ea typeface="DejaVu Sans"/>
            </a:defRPr>
          </a:pPr>
        </a:p>
      </c:txPr>
    </c:legend>
    <c:plotVisOnly val="1"/>
    <c:dispBlanksAs val="zero"/>
  </c:chart>
  <c:spPr>
    <a:solidFill>
      <a:srgbClr val="FFFFFF"/>
    </a:solidFill>
    <a:ln w="9360">
      <a:solidFill>
        <a:srgbClr val="D9D9D9"/>
      </a:solidFill>
      <a:round/>
    </a:ln>
  </c:spPr>
</c:chartSpace>
</file>

<file path=xl/charts/chart5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lang="en-US" sz="1400" b="1" u="none" strike="noStrike">
                <a:solidFill>
                  <a:schemeClr val="tx1">
                    <a:lumMod val="65000"/>
                    <a:lumOff val="35000"/>
                  </a:schemeClr>
                </a:solidFill>
                <a:uFillTx/>
                <a:latin typeface="Calibri"/>
                <a:ea typeface="DejaVu Sans"/>
              </a:rPr>
              <a:t>DOANH THU</a:t>
            </a:r>
          </a:p>
        </c:rich>
      </c:tx>
      <c:overlay val="0"/>
      <c:spPr>
        <a:noFill/>
        <a:ln w="0">
          <a:noFill/>
        </a:ln>
      </c:spPr>
    </c:title>
    <c:autoTitleDeleted val="0"/>
    <c:plotArea>
      <c:barChart>
        <c:barDir val="col"/>
        <c:grouping val="clustered"/>
        <c:varyColors val="0"/>
        <c:ser>
          <c:idx val="0"/>
          <c:order val="0"/>
          <c:tx>
            <c:strRef>
              <c:f>"Kế hoạch"</c:f>
              <c:strCache>
                <c:ptCount val="1"/>
                <c:pt idx="0">
                  <c:v>Kế hoạch</c:v>
                </c:pt>
              </c:strCache>
            </c:strRef>
          </c:tx>
          <c:spPr>
            <a:solidFill>
              <a:srgbClr val="4F81BD"/>
            </a:solidFill>
            <a:ln w="12600">
              <a:noFill/>
            </a:ln>
          </c:spPr>
          <c:invertIfNegative val="0"/>
          <c:dPt>
            <c:idx val="1"/>
            <c:invertIfNegative val="0"/>
            <c:spPr>
              <a:solidFill>
                <a:srgbClr val="4F81BD"/>
              </a:solidFill>
              <a:ln w="12600">
                <a:noFill/>
              </a:ln>
            </c:spPr>
          </c:dPt>
          <c:dPt>
            <c:idx val="2"/>
            <c:invertIfNegative val="0"/>
            <c:spPr>
              <a:solidFill>
                <a:srgbClr val="4F81BD"/>
              </a:solidFill>
              <a:ln w="12600">
                <a:noFill/>
              </a:ln>
            </c:spPr>
          </c:dPt>
          <c:dLbls>
            <c:dLbl>
              <c:idx val="1"/>
              <c:layout>
                <c:manualLayout>
                  <c:x val="0"/>
                  <c:y val="-0.0462694272391396"/>
                </c:manualLayout>
              </c:layout>
              <c:numFmt formatCode="_(* #,##0_);_(* \(#,##0\);_(* \-??_);_(@_)" sourceLinked="1"/>
              <c:txPr>
                <a:bodyPr wrap="square"/>
                <a:lstStyle/>
                <a:p>
                  <a:pPr>
                    <a:defRPr sz="900" b="0" u="none" strike="noStrike">
                      <a:solidFill>
                        <a:srgbClr val="404040"/>
                      </a:solidFill>
                      <a:uFillTx/>
                      <a:latin typeface="Calibri"/>
                      <a:ea typeface="DejaVu Sans"/>
                    </a:defRPr>
                  </a:pPr>
                </a:p>
              </c:txPr>
              <c:dLblPos val="outEnd"/>
              <c:showLegendKey val="0"/>
              <c:showVal val="1"/>
              <c:showCatName val="0"/>
              <c:showSerName val="0"/>
              <c:showPercent val="0"/>
              <c:separator>; </c:separator>
            </c:dLbl>
            <c:dLbl>
              <c:idx val="2"/>
              <c:layout>
                <c:manualLayout>
                  <c:x val="0.00278612579555409"/>
                  <c:y val="-0.0694041408587096"/>
                </c:manualLayout>
              </c:layout>
              <c:numFmt formatCode="_(* #,##0_);_(* \(#,##0\);_(* \-??_);_(@_)" sourceLinked="1"/>
              <c:txPr>
                <a:bodyPr wrap="square"/>
                <a:lstStyle/>
                <a:p>
                  <a:pPr>
                    <a:defRPr sz="900" b="0" u="none" strike="noStrike">
                      <a:solidFill>
                        <a:srgbClr val="404040"/>
                      </a:solidFill>
                      <a:uFillTx/>
                      <a:latin typeface="Calibri"/>
                      <a:ea typeface="DejaVu Sans"/>
                    </a:defRPr>
                  </a:pPr>
                </a:p>
              </c:txPr>
              <c:dLblPos val="outEnd"/>
              <c:showLegendKey val="0"/>
              <c:showVal val="1"/>
              <c:showCatName val="0"/>
              <c:showSerName val="0"/>
              <c:showPercent val="0"/>
              <c:separator>; </c:separator>
            </c:dLbl>
            <c:numFmt formatCode="_(* #,##0_);_(* \(#,##0\);_(* \-??_);_(@_)" sourceLinked="1"/>
            <c:txPr>
              <a:bodyPr wrap="square"/>
              <a:lstStyle/>
              <a:p>
                <a:pPr>
                  <a:defRPr sz="900" b="0" u="none" strike="noStrike">
                    <a:solidFill>
                      <a:srgbClr val="404040"/>
                    </a:solidFill>
                    <a:uFillTx/>
                    <a:latin typeface="Calibri"/>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BaoCaoQuy!$A$7:$A$9</c:f>
              <c:strCache>
                <c:ptCount val="3"/>
                <c:pt idx="0">
                  <c:v>ITO</c:v>
                </c:pt>
                <c:pt idx="1">
                  <c:v>UNI</c:v>
                </c:pt>
                <c:pt idx="2">
                  <c:v>G2B</c:v>
                </c:pt>
              </c:strCache>
            </c:strRef>
          </c:cat>
          <c:val>
            <c:numRef>
              <c:f>BaoCaoQuy!$H$7:$H$9</c:f>
              <c:numCache>
                <c:formatCode>_(* #,##0_);_(* \(#,##0\);_(* \-??_);_(@_)</c:formatCode>
                <c:ptCount val="3"/>
                <c:pt idx="0">
                  <c:v>2850000000</c:v>
                </c:pt>
                <c:pt idx="1">
                  <c:v>1651000000</c:v>
                </c:pt>
                <c:pt idx="2">
                  <c:v>2175000000</c:v>
                </c:pt>
              </c:numCache>
            </c:numRef>
          </c:val>
        </c:ser>
        <c:ser>
          <c:idx val="1"/>
          <c:order val="1"/>
          <c:tx>
            <c:strRef>
              <c:f>"Thực tế"</c:f>
              <c:strCache>
                <c:ptCount val="1"/>
                <c:pt idx="0">
                  <c:v>Thực tế</c:v>
                </c:pt>
              </c:strCache>
            </c:strRef>
          </c:tx>
          <c:spPr>
            <a:solidFill>
              <a:srgbClr val="C0504D"/>
            </a:solidFill>
            <a:ln w="12600">
              <a:noFill/>
            </a:ln>
          </c:spPr>
          <c:invertIfNegative val="0"/>
          <c:dLbls>
            <c:numFmt formatCode="_(* #,##0_);_(* \(#,##0\);_(* \-??_);_(@_)" sourceLinked="1"/>
            <c:txPr>
              <a:bodyPr wrap="square"/>
              <a:lstStyle/>
              <a:p>
                <a:pPr>
                  <a:defRPr sz="900" b="0" u="none" strike="noStrike">
                    <a:solidFill>
                      <a:srgbClr val="404040"/>
                    </a:solidFill>
                    <a:uFillTx/>
                    <a:latin typeface="Calibri"/>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BaoCaoQuy!$A$7:$A$9</c:f>
              <c:strCache>
                <c:ptCount val="3"/>
                <c:pt idx="0">
                  <c:v>ITO</c:v>
                </c:pt>
                <c:pt idx="1">
                  <c:v>UNI</c:v>
                </c:pt>
                <c:pt idx="2">
                  <c:v>G2B</c:v>
                </c:pt>
              </c:strCache>
            </c:strRef>
          </c:cat>
          <c:val>
            <c:numRef>
              <c:f>BaoCaoQuy!$I$7:$I$9</c:f>
              <c:numCache>
                <c:formatCode>_(* #,##0_);_(* \(#,##0\);_(* \-??_);_(@_)</c:formatCode>
                <c:ptCount val="3"/>
                <c:pt idx="0">
                  <c:v>2987392135</c:v>
                </c:pt>
                <c:pt idx="1">
                  <c:v>1045092000</c:v>
                </c:pt>
                <c:pt idx="2">
                  <c:v>262532400</c:v>
                </c:pt>
              </c:numCache>
            </c:numRef>
          </c:val>
        </c:ser>
        <c:gapWidth val="100"/>
        <c:overlap val="-24"/>
        <c:axId val="90508503"/>
        <c:axId val="77317229"/>
      </c:barChart>
      <c:catAx>
        <c:axId val="90508503"/>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sz="900" b="0" u="none" strike="noStrike">
                <a:solidFill>
                  <a:srgbClr val="595959"/>
                </a:solidFill>
                <a:uFillTx/>
                <a:latin typeface="Calibri"/>
                <a:ea typeface="DejaVu Sans"/>
              </a:defRPr>
            </a:pPr>
          </a:p>
        </c:txPr>
        <c:crossAx val="77317229"/>
        <c:crosses val="autoZero"/>
        <c:auto val="1"/>
        <c:lblAlgn val="ctr"/>
        <c:lblOffset val="100"/>
        <c:noMultiLvlLbl val="0"/>
      </c:catAx>
      <c:valAx>
        <c:axId val="77317229"/>
        <c:scaling>
          <c:orientation val="minMax"/>
        </c:scaling>
        <c:delete val="0"/>
        <c:axPos val="l"/>
        <c:majorGridlines>
          <c:spPr>
            <a:ln w="9360">
              <a:solidFill>
                <a:srgbClr val="D9D9D9"/>
              </a:solidFill>
              <a:round/>
            </a:ln>
          </c:spPr>
        </c:majorGridlines>
        <c:numFmt formatCode="_(* #,##0_);_(* \(#,##0\);_(* \-??_);_(@_)" sourceLinked="0"/>
        <c:majorTickMark val="none"/>
        <c:minorTickMark val="none"/>
        <c:tickLblPos val="nextTo"/>
        <c:spPr>
          <a:ln w="9360">
            <a:noFill/>
          </a:ln>
        </c:spPr>
        <c:txPr>
          <a:bodyPr/>
          <a:lstStyle/>
          <a:p>
            <a:pPr>
              <a:defRPr sz="900" b="0" u="none" strike="noStrike">
                <a:solidFill>
                  <a:srgbClr val="595959"/>
                </a:solidFill>
                <a:uFillTx/>
                <a:latin typeface="Calibri"/>
                <a:ea typeface="DejaVu Sans"/>
              </a:defRPr>
            </a:pPr>
          </a:p>
        </c:txPr>
        <c:crossAx val="90508503"/>
        <c:crosses val="autoZero"/>
        <c:crossBetween val="between"/>
      </c:valAx>
      <c:spPr>
        <a:noFill/>
        <a:ln w="0">
          <a:noFill/>
        </a:ln>
      </c:spPr>
    </c:plotArea>
    <c:legend>
      <c:legendPos val="b"/>
      <c:overlay val="0"/>
      <c:spPr>
        <a:noFill/>
        <a:ln w="0">
          <a:noFill/>
        </a:ln>
      </c:spPr>
      <c:txPr>
        <a:bodyPr/>
        <a:lstStyle/>
        <a:p>
          <a:pPr>
            <a:defRPr sz="900" b="0" u="none" strike="noStrike">
              <a:solidFill>
                <a:srgbClr val="595959"/>
              </a:solidFill>
              <a:uFillTx/>
              <a:latin typeface="Calibri"/>
              <a:ea typeface="DejaVu Sans"/>
            </a:defRPr>
          </a:pPr>
        </a:p>
      </c:txPr>
    </c:legend>
    <c:plotVisOnly val="1"/>
    <c:dispBlanksAs val="gap"/>
  </c:chart>
  <c:spPr>
    <a:solidFill>
      <a:srgbClr val="FFFFFF"/>
    </a:solidFill>
    <a:ln w="9360">
      <a:solidFill>
        <a:srgbClr val="D9D9D9"/>
      </a:solidFill>
      <a:round/>
    </a:ln>
  </c:spPr>
</c:chartSpace>
</file>

<file path=xl/charts/chart5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lang="en-US" sz="1400" b="1" u="none" strike="noStrike">
                <a:solidFill>
                  <a:schemeClr val="tx1">
                    <a:lumMod val="65000"/>
                    <a:lumOff val="35000"/>
                  </a:schemeClr>
                </a:solidFill>
                <a:uFillTx/>
                <a:latin typeface="Calibri"/>
                <a:ea typeface="DejaVu Sans"/>
              </a:rPr>
              <a:t>HỢP</a:t>
            </a:r>
            <a:r>
              <a:rPr lang="en-US" sz="1400" b="1" u="none" strike="noStrike">
                <a:solidFill>
                  <a:schemeClr val="tx1">
                    <a:lumMod val="65000"/>
                    <a:lumOff val="35000"/>
                  </a:schemeClr>
                </a:solidFill>
                <a:uFillTx/>
                <a:latin typeface="Calibri"/>
                <a:ea typeface="DejaVu Sans"/>
              </a:rPr>
              <a:t> ĐỒNG</a:t>
            </a:r>
          </a:p>
        </c:rich>
      </c:tx>
      <c:overlay val="0"/>
      <c:spPr>
        <a:noFill/>
        <a:ln w="0">
          <a:noFill/>
        </a:ln>
      </c:spPr>
    </c:title>
    <c:autoTitleDeleted val="0"/>
    <c:plotArea>
      <c:barChart>
        <c:barDir val="col"/>
        <c:grouping val="clustered"/>
        <c:varyColors val="0"/>
        <c:ser>
          <c:idx val="0"/>
          <c:order val="0"/>
          <c:tx>
            <c:strRef>
              <c:f>"Kế hoạch"</c:f>
              <c:strCache>
                <c:ptCount val="1"/>
                <c:pt idx="0">
                  <c:v>Kế hoạch</c:v>
                </c:pt>
              </c:strCache>
            </c:strRef>
          </c:tx>
          <c:spPr>
            <a:solidFill>
              <a:srgbClr val="4F81BD"/>
            </a:solidFill>
            <a:ln w="12600">
              <a:noFill/>
            </a:ln>
          </c:spPr>
          <c:invertIfNegative val="0"/>
          <c:dPt>
            <c:idx val="1"/>
            <c:invertIfNegative val="0"/>
            <c:spPr>
              <a:solidFill>
                <a:srgbClr val="4F81BD"/>
              </a:solidFill>
              <a:ln w="12600">
                <a:noFill/>
              </a:ln>
            </c:spPr>
          </c:dPt>
          <c:dPt>
            <c:idx val="2"/>
            <c:invertIfNegative val="0"/>
            <c:spPr>
              <a:solidFill>
                <a:srgbClr val="4F81BD"/>
              </a:solidFill>
              <a:ln w="12600">
                <a:noFill/>
              </a:ln>
            </c:spPr>
          </c:dPt>
          <c:dPt>
            <c:idx val="3"/>
            <c:invertIfNegative val="0"/>
            <c:spPr>
              <a:solidFill>
                <a:srgbClr val="4F81BD"/>
              </a:solidFill>
              <a:ln w="12600">
                <a:noFill/>
              </a:ln>
            </c:spPr>
          </c:dPt>
          <c:dLbls>
            <c:dLbl>
              <c:idx val="1"/>
              <c:layout>
                <c:manualLayout>
                  <c:x val="-5.092533763208E-017"/>
                  <c:y val="-0.0648148148148148"/>
                </c:manualLayout>
              </c:layout>
              <c:numFmt formatCode="#,##0" sourceLinked="1"/>
              <c:txPr>
                <a:bodyPr wrap="square"/>
                <a:lstStyle/>
                <a:p>
                  <a:pPr>
                    <a:defRPr sz="900" b="0" u="none" strike="noStrike">
                      <a:solidFill>
                        <a:srgbClr val="404040"/>
                      </a:solidFill>
                      <a:uFillTx/>
                      <a:latin typeface="Calibri"/>
                      <a:ea typeface="DejaVu Sans"/>
                    </a:defRPr>
                  </a:pPr>
                </a:p>
              </c:txPr>
              <c:dLblPos val="outEnd"/>
              <c:showLegendKey val="0"/>
              <c:showVal val="1"/>
              <c:showCatName val="0"/>
              <c:showSerName val="0"/>
              <c:showPercent val="0"/>
              <c:separator>; </c:separator>
            </c:dLbl>
            <c:dLbl>
              <c:idx val="2"/>
              <c:layout>
                <c:manualLayout>
                  <c:x val="0"/>
                  <c:y val="-0.0555555555555556"/>
                </c:manualLayout>
              </c:layout>
              <c:numFmt formatCode="#,##0" sourceLinked="1"/>
              <c:txPr>
                <a:bodyPr wrap="square"/>
                <a:lstStyle/>
                <a:p>
                  <a:pPr>
                    <a:defRPr sz="900" b="0" u="none" strike="noStrike">
                      <a:solidFill>
                        <a:srgbClr val="404040"/>
                      </a:solidFill>
                      <a:uFillTx/>
                      <a:latin typeface="Calibri"/>
                      <a:ea typeface="DejaVu Sans"/>
                    </a:defRPr>
                  </a:pPr>
                </a:p>
              </c:txPr>
              <c:dLblPos val="outEnd"/>
              <c:showLegendKey val="0"/>
              <c:showVal val="1"/>
              <c:showCatName val="0"/>
              <c:showSerName val="0"/>
              <c:showPercent val="0"/>
              <c:separator>; </c:separator>
            </c:dLbl>
            <c:dLbl>
              <c:idx val="3"/>
              <c:numFmt formatCode="#,##0" sourceLinked="1"/>
              <c:txPr>
                <a:bodyPr wrap="square"/>
                <a:lstStyle/>
                <a:p>
                  <a:pPr>
                    <a:defRPr sz="900" b="0" u="none" strike="noStrike">
                      <a:solidFill>
                        <a:srgbClr val="404040"/>
                      </a:solidFill>
                      <a:uFillTx/>
                      <a:latin typeface="Calibri"/>
                      <a:ea typeface="DejaVu Sans"/>
                    </a:defRPr>
                  </a:pPr>
                </a:p>
              </c:txPr>
              <c:dLblPos val="outEnd"/>
              <c:showLegendKey val="0"/>
              <c:showVal val="1"/>
              <c:showCatName val="0"/>
              <c:showSerName val="0"/>
              <c:showPercent val="0"/>
              <c:separator>; </c:separator>
            </c:dLbl>
            <c:numFmt formatCode="#,##0" sourceLinked="1"/>
            <c:txPr>
              <a:bodyPr wrap="square"/>
              <a:lstStyle/>
              <a:p>
                <a:pPr>
                  <a:defRPr sz="900" b="0" u="none" strike="noStrike">
                    <a:solidFill>
                      <a:srgbClr val="404040"/>
                    </a:solidFill>
                    <a:uFillTx/>
                    <a:latin typeface="Calibri"/>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BaoCaoQuy!$A$7:$A$10</c:f>
              <c:strCache>
                <c:ptCount val="4"/>
                <c:pt idx="0">
                  <c:v>ITO</c:v>
                </c:pt>
                <c:pt idx="1">
                  <c:v>UNI</c:v>
                </c:pt>
                <c:pt idx="2">
                  <c:v>G2B</c:v>
                </c:pt>
                <c:pt idx="3">
                  <c:v>Quý I</c:v>
                </c:pt>
              </c:strCache>
            </c:strRef>
          </c:cat>
          <c:val>
            <c:numRef>
              <c:f>BaoCaoQuy!$C$7:$C$10</c:f>
              <c:numCache>
                <c:formatCode>#,##0</c:formatCode>
                <c:ptCount val="4"/>
                <c:pt idx="0">
                  <c:v>2850000000</c:v>
                </c:pt>
                <c:pt idx="1">
                  <c:v>1242200000</c:v>
                </c:pt>
                <c:pt idx="2">
                  <c:v>2066000000</c:v>
                </c:pt>
                <c:pt idx="3">
                  <c:v>6158200000</c:v>
                </c:pt>
              </c:numCache>
            </c:numRef>
          </c:val>
        </c:ser>
        <c:ser>
          <c:idx val="1"/>
          <c:order val="1"/>
          <c:tx>
            <c:strRef>
              <c:f>"Thực tế"</c:f>
              <c:strCache>
                <c:ptCount val="1"/>
                <c:pt idx="0">
                  <c:v>Thực tế</c:v>
                </c:pt>
              </c:strCache>
            </c:strRef>
          </c:tx>
          <c:spPr>
            <a:solidFill>
              <a:srgbClr val="9BBB59"/>
            </a:solidFill>
            <a:ln w="12600">
              <a:noFill/>
            </a:ln>
          </c:spPr>
          <c:invertIfNegative val="0"/>
          <c:dLbls>
            <c:numFmt formatCode="_(* #,##0_);_(* \(#,##0\);_(* \-??_);_(@_)" sourceLinked="1"/>
            <c:txPr>
              <a:bodyPr wrap="square"/>
              <a:lstStyle/>
              <a:p>
                <a:pPr>
                  <a:defRPr sz="900" b="0" u="none" strike="noStrike">
                    <a:solidFill>
                      <a:srgbClr val="404040"/>
                    </a:solidFill>
                    <a:uFillTx/>
                    <a:latin typeface="Calibri"/>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BaoCaoQuy!$A$7:$A$10</c:f>
              <c:strCache>
                <c:ptCount val="4"/>
                <c:pt idx="0">
                  <c:v>ITO</c:v>
                </c:pt>
                <c:pt idx="1">
                  <c:v>UNI</c:v>
                </c:pt>
                <c:pt idx="2">
                  <c:v>G2B</c:v>
                </c:pt>
                <c:pt idx="3">
                  <c:v>Quý I</c:v>
                </c:pt>
              </c:strCache>
            </c:strRef>
          </c:cat>
          <c:val>
            <c:numRef>
              <c:f>BaoCaoQuy!$D$7:$D$10</c:f>
              <c:numCache>
                <c:formatCode>_(* #,##0_);_(* \(#,##0\);_(* \-??_);_(@_)</c:formatCode>
                <c:ptCount val="4"/>
                <c:pt idx="0">
                  <c:v>2987392135</c:v>
                </c:pt>
                <c:pt idx="1">
                  <c:v>310740000</c:v>
                </c:pt>
                <c:pt idx="2">
                  <c:v>1843791000</c:v>
                </c:pt>
                <c:pt idx="3">
                  <c:v>5141923135</c:v>
                </c:pt>
              </c:numCache>
            </c:numRef>
          </c:val>
        </c:ser>
        <c:gapWidth val="100"/>
        <c:overlap val="-27"/>
        <c:axId val="77057370"/>
        <c:axId val="78749860"/>
      </c:barChart>
      <c:catAx>
        <c:axId val="77057370"/>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sz="900" b="0" u="none" strike="noStrike">
                <a:solidFill>
                  <a:srgbClr val="595959"/>
                </a:solidFill>
                <a:uFillTx/>
                <a:latin typeface="Calibri"/>
                <a:ea typeface="DejaVu Sans"/>
              </a:defRPr>
            </a:pPr>
          </a:p>
        </c:txPr>
        <c:crossAx val="78749860"/>
        <c:crosses val="autoZero"/>
        <c:auto val="1"/>
        <c:lblAlgn val="ctr"/>
        <c:lblOffset val="100"/>
        <c:noMultiLvlLbl val="0"/>
      </c:catAx>
      <c:valAx>
        <c:axId val="78749860"/>
        <c:scaling>
          <c:orientation val="minMax"/>
        </c:scaling>
        <c:delete val="1"/>
        <c:axPos val="l"/>
        <c:majorGridlines>
          <c:spPr>
            <a:ln w="9360">
              <a:solidFill>
                <a:srgbClr val="D9D9D9"/>
              </a:solidFill>
              <a:round/>
            </a:ln>
          </c:spPr>
        </c:majorGridlines>
        <c:numFmt formatCode="#,##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ea typeface="DejaVu Sans"/>
              </a:defRPr>
            </a:pPr>
          </a:p>
        </c:txPr>
        <c:crossAx val="77057370"/>
        <c:crossBetween val="between"/>
      </c:valAx>
      <c:spPr>
        <a:noFill/>
        <a:ln w="0">
          <a:noFill/>
        </a:ln>
      </c:spPr>
    </c:plotArea>
    <c:legend>
      <c:legendPos val="b"/>
      <c:overlay val="0"/>
      <c:spPr>
        <a:noFill/>
        <a:ln w="0">
          <a:noFill/>
        </a:ln>
      </c:spPr>
      <c:txPr>
        <a:bodyPr/>
        <a:lstStyle/>
        <a:p>
          <a:pPr>
            <a:defRPr sz="900" b="1" u="none" strike="noStrike">
              <a:solidFill>
                <a:srgbClr val="595959"/>
              </a:solidFill>
              <a:uFillTx/>
              <a:latin typeface="Calibri"/>
              <a:ea typeface="DejaVu Sans"/>
            </a:defRPr>
          </a:pPr>
        </a:p>
      </c:txPr>
    </c:legend>
    <c:plotVisOnly val="1"/>
    <c:dispBlanksAs val="gap"/>
  </c:chart>
  <c:spPr>
    <a:solidFill>
      <a:srgbClr val="FFFFFF"/>
    </a:solidFill>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cs:colorStyle>
</file>

<file path=xl/charts/colors2.xml><?xml version="1.0" encoding="utf-8"?>
<cs:colorStyle xmlns:cs="http://schemas.microsoft.com/office/drawing/2012/chartStyle" xmlns:a="http://schemas.openxmlformats.org/drawingml/2006/main" meth="cycle" id="10">
  <a:schemeClr val="accent1"/>
</cs:colorStyle>
</file>

<file path=xl/charts/colors3.xml><?xml version="1.0" encoding="utf-8"?>
<cs:colorStyle xmlns:cs="http://schemas.microsoft.com/office/drawing/2012/chartStyle" xmlns:a="http://schemas.openxmlformats.org/drawingml/2006/main" meth="cycle" id="10">
  <a:schemeClr val="accent1"/>
</cs:colorStyle>
</file>

<file path=xl/charts/colors4.xml><?xml version="1.0" encoding="utf-8"?>
<cs:colorStyle xmlns:cs="http://schemas.microsoft.com/office/drawing/2012/chartStyle" xmlns:a="http://schemas.openxmlformats.org/drawingml/2006/main" meth="cycle" id="10">
  <a:schemeClr val="accent1"/>
</cs:colorStyle>
</file>

<file path=xl/charts/colors5.xml><?xml version="1.0" encoding="utf-8"?>
<cs:colorStyle xmlns:cs="http://schemas.microsoft.com/office/drawing/2012/chartStyle" xmlns:a="http://schemas.openxmlformats.org/drawingml/2006/main" meth="cycle" id="10">
  <a:schemeClr val="accent1"/>
</cs:colorStyle>
</file>

<file path=xl/charts/colors6.xml><?xml version="1.0" encoding="utf-8"?>
<cs:colorStyle xmlns:cs="http://schemas.microsoft.com/office/drawing/2012/chartStyle" xmlns:a="http://schemas.openxmlformats.org/drawingml/2006/main" meth="cycle" id="10">
  <a:schemeClr val="accent1"/>
</cs:colorStyle>
</file>

<file path=xl/charts/colors7.xml><?xml version="1.0" encoding="utf-8"?>
<cs:colorStyle xmlns:cs="http://schemas.microsoft.com/office/drawing/2012/chartStyle" xmlns:a="http://schemas.openxmlformats.org/drawingml/2006/main" meth="cycle" id="10">
  <a:schemeClr val="accent1"/>
</cs:colorStyle>
</file>

<file path=xl/charts/colors8.xml><?xml version="1.0" encoding="utf-8"?>
<cs:colorStyle xmlns:cs="http://schemas.microsoft.com/office/drawing/2012/chartStyle" xmlns:a="http://schemas.openxmlformats.org/drawingml/2006/main" meth="cycle" id="10">
  <a:schemeClr val="accent1"/>
</cs:colorStyle>
</file>

<file path=xl/charts/colors9.xml><?xml version="1.0" encoding="utf-8"?>
<cs:colorStyle xmlns:cs="http://schemas.microsoft.com/office/drawing/2012/chartStyle" xmlns:a="http://schemas.openxmlformats.org/drawingml/2006/main" meth="cycle" id="10">
  <a:schemeClr val="accent1"/>
</cs:colorStyle>
</file>

<file path=xl/charts/colors10.xml><?xml version="1.0" encoding="utf-8"?>
<cs:colorStyle xmlns:cs="http://schemas.microsoft.com/office/drawing/2012/chartStyle" xmlns:a="http://schemas.openxmlformats.org/drawingml/2006/main" meth="cycle" id="10">
  <a:schemeClr val="accent1"/>
</cs:colorStyle>
</file>

<file path=xl/charts/colors11.xml><?xml version="1.0" encoding="utf-8"?>
<cs:colorStyle xmlns:cs="http://schemas.microsoft.com/office/drawing/2012/chartStyle" xmlns:a="http://schemas.openxmlformats.org/drawingml/2006/main" meth="cycle" id="10">
  <a:schemeClr val="accent1"/>
</cs:colorStyle>
</file>

<file path=xl/charts/colors12.xml><?xml version="1.0" encoding="utf-8"?>
<cs:colorStyle xmlns:cs="http://schemas.microsoft.com/office/drawing/2012/chartStyle" xmlns:a="http://schemas.openxmlformats.org/drawingml/2006/main" meth="cycle" id="10">
  <a:schemeClr val="accent1"/>
</cs:colorStyle>
</file>

<file path=xl/charts/colors13.xml><?xml version="1.0" encoding="utf-8"?>
<cs:colorStyle xmlns:cs="http://schemas.microsoft.com/office/drawing/2012/chartStyle" xmlns:a="http://schemas.openxmlformats.org/drawingml/2006/main" meth="cycle" id="10">
  <a:schemeClr val="accent1"/>
</cs:colorStyle>
</file>

<file path=xl/charts/colors14.xml><?xml version="1.0" encoding="utf-8"?>
<cs:colorStyle xmlns:cs="http://schemas.microsoft.com/office/drawing/2012/chartStyle" xmlns:a="http://schemas.openxmlformats.org/drawingml/2006/main" meth="cycle" id="10">
  <a:schemeClr val="accent1"/>
</cs:colorStyle>
</file>

<file path=xl/charts/colors15.xml><?xml version="1.0" encoding="utf-8"?>
<cs:colorStyle xmlns:cs="http://schemas.microsoft.com/office/drawing/2012/chartStyle" xmlns:a="http://schemas.openxmlformats.org/drawingml/2006/main" meth="cycle" id="10">
  <a:schemeClr val="accent1"/>
</cs:colorStyle>
</file>

<file path=xl/charts/colors16.xml><?xml version="1.0" encoding="utf-8"?>
<cs:colorStyle xmlns:cs="http://schemas.microsoft.com/office/drawing/2012/chartStyle" xmlns:a="http://schemas.openxmlformats.org/drawingml/2006/main" meth="cycle" id="10">
  <a:schemeClr val="accent1"/>
</cs:colorStyle>
</file>

<file path=xl/charts/colors17.xml><?xml version="1.0" encoding="utf-8"?>
<cs:colorStyle xmlns:cs="http://schemas.microsoft.com/office/drawing/2012/chartStyle" xmlns:a="http://schemas.openxmlformats.org/drawingml/2006/main" meth="cycle" id="10">
  <a:schemeClr val="accent1"/>
</cs:colorStyle>
</file>

<file path=xl/charts/colors18.xml><?xml version="1.0" encoding="utf-8"?>
<cs:colorStyle xmlns:cs="http://schemas.microsoft.com/office/drawing/2012/chartStyle" xmlns:a="http://schemas.openxmlformats.org/drawingml/2006/main" meth="cycle" id="10">
  <a:schemeClr val="accent1"/>
</cs:colorStyle>
</file>

<file path=xl/charts/colors19.xml><?xml version="1.0" encoding="utf-8"?>
<cs:colorStyle xmlns:cs="http://schemas.microsoft.com/office/drawing/2012/chartStyle" xmlns:a="http://schemas.openxmlformats.org/drawingml/2006/main" meth="cycle" id="10">
  <a:schemeClr val="accent1"/>
</cs:colorStyle>
</file>

<file path=xl/charts/colors20.xml><?xml version="1.0" encoding="utf-8"?>
<cs:colorStyle xmlns:cs="http://schemas.microsoft.com/office/drawing/2012/chartStyle" xmlns:a="http://schemas.openxmlformats.org/drawingml/2006/main" meth="cycle" id="10">
  <a:schemeClr val="accent1"/>
</cs:colorStyle>
</file>

<file path=xl/charts/colors21.xml><?xml version="1.0" encoding="utf-8"?>
<cs:colorStyle xmlns:cs="http://schemas.microsoft.com/office/drawing/2012/chartStyle" xmlns:a="http://schemas.openxmlformats.org/drawingml/2006/main" meth="cycle" id="10">
  <a:schemeClr val="accent1"/>
</cs:colorStyle>
</file>

<file path=xl/charts/colors22.xml><?xml version="1.0" encoding="utf-8"?>
<cs:colorStyle xmlns:cs="http://schemas.microsoft.com/office/drawing/2012/chartStyle" xmlns:a="http://schemas.openxmlformats.org/drawingml/2006/main" meth="cycle" id="10">
  <a:schemeClr val="accent1"/>
</cs:colorStyle>
</file>

<file path=xl/charts/colors23.xml><?xml version="1.0" encoding="utf-8"?>
<cs:colorStyle xmlns:cs="http://schemas.microsoft.com/office/drawing/2012/chartStyle" xmlns:a="http://schemas.openxmlformats.org/drawingml/2006/main" meth="cycle" id="10">
  <a:schemeClr val="accent1"/>
</cs:colorStyle>
</file>

<file path=xl/charts/colors24.xml><?xml version="1.0" encoding="utf-8"?>
<cs:colorStyle xmlns:cs="http://schemas.microsoft.com/office/drawing/2012/chartStyle" xmlns:a="http://schemas.openxmlformats.org/drawingml/2006/main" meth="cycle" id="10">
  <a:schemeClr val="accent1"/>
</cs:colorStyle>
</file>

<file path=xl/charts/colors25.xml><?xml version="1.0" encoding="utf-8"?>
<cs:colorStyle xmlns:cs="http://schemas.microsoft.com/office/drawing/2012/chartStyle" xmlns:a="http://schemas.openxmlformats.org/drawingml/2006/main" meth="cycle" id="10">
  <a:schemeClr val="accent1"/>
</cs:colorStyle>
</file>

<file path=xl/charts/colors26.xml><?xml version="1.0" encoding="utf-8"?>
<cs:colorStyle xmlns:cs="http://schemas.microsoft.com/office/drawing/2012/chartStyle" xmlns:a="http://schemas.openxmlformats.org/drawingml/2006/main" meth="cycle" id="10">
  <a:schemeClr val="accent1"/>
</cs:colorStyle>
</file>

<file path=xl/charts/colors27.xml><?xml version="1.0" encoding="utf-8"?>
<cs:colorStyle xmlns:cs="http://schemas.microsoft.com/office/drawing/2012/chartStyle" xmlns:a="http://schemas.openxmlformats.org/drawingml/2006/main" meth="cycle" id="10">
  <a:schemeClr val="accent1"/>
</cs:colorStyle>
</file>

<file path=xl/charts/colors28.xml><?xml version="1.0" encoding="utf-8"?>
<cs:colorStyle xmlns:cs="http://schemas.microsoft.com/office/drawing/2012/chartStyle" xmlns:a="http://schemas.openxmlformats.org/drawingml/2006/main" meth="cycle" id="10">
  <a:schemeClr val="accent1"/>
</cs:colorStyle>
</file>

<file path=xl/charts/colors29.xml><?xml version="1.0" encoding="utf-8"?>
<cs:colorStyle xmlns:cs="http://schemas.microsoft.com/office/drawing/2012/chartStyle" xmlns:a="http://schemas.openxmlformats.org/drawingml/2006/main" meth="cycle" id="10">
  <a:schemeClr val="accent1"/>
</cs:colorStyle>
</file>

<file path=xl/charts/colors30.xml><?xml version="1.0" encoding="utf-8"?>
<cs:colorStyle xmlns:cs="http://schemas.microsoft.com/office/drawing/2012/chartStyle" xmlns:a="http://schemas.openxmlformats.org/drawingml/2006/main" meth="cycle" id="10">
  <a:schemeClr val="accent1"/>
</cs:colorStyle>
</file>

<file path=xl/charts/colors31.xml><?xml version="1.0" encoding="utf-8"?>
<cs:colorStyle xmlns:cs="http://schemas.microsoft.com/office/drawing/2012/chartStyle" xmlns:a="http://schemas.openxmlformats.org/drawingml/2006/main" meth="cycle" id="10">
  <a:schemeClr val="accent1"/>
</cs:colorStyle>
</file>

<file path=xl/charts/colors32.xml><?xml version="1.0" encoding="utf-8"?>
<cs:colorStyle xmlns:cs="http://schemas.microsoft.com/office/drawing/2012/chartStyle" xmlns:a="http://schemas.openxmlformats.org/drawingml/2006/main" meth="cycle" id="10">
  <a:schemeClr val="accent1"/>
</cs:colorStyle>
</file>

<file path=xl/charts/colors33.xml><?xml version="1.0" encoding="utf-8"?>
<cs:colorStyle xmlns:cs="http://schemas.microsoft.com/office/drawing/2012/chartStyle" xmlns:a="http://schemas.openxmlformats.org/drawingml/2006/main" meth="cycle" id="10">
  <a:schemeClr val="accent1"/>
</cs:colorStyle>
</file>

<file path=xl/charts/colors34.xml><?xml version="1.0" encoding="utf-8"?>
<cs:colorStyle xmlns:cs="http://schemas.microsoft.com/office/drawing/2012/chartStyle" xmlns:a="http://schemas.openxmlformats.org/drawingml/2006/main" meth="cycle" id="10">
  <a:schemeClr val="accent1"/>
</cs:colorStyle>
</file>

<file path=xl/charts/colors35.xml><?xml version="1.0" encoding="utf-8"?>
<cs:colorStyle xmlns:cs="http://schemas.microsoft.com/office/drawing/2012/chartStyle" xmlns:a="http://schemas.openxmlformats.org/drawingml/2006/main" meth="cycle" id="10">
  <a:schemeClr val="accent1"/>
</cs:colorStyle>
</file>

<file path=xl/charts/colors36.xml><?xml version="1.0" encoding="utf-8"?>
<cs:colorStyle xmlns:cs="http://schemas.microsoft.com/office/drawing/2012/chartStyle" xmlns:a="http://schemas.openxmlformats.org/drawingml/2006/main" meth="cycle" id="10">
  <a:schemeClr val="accent1"/>
</cs:colorStyle>
</file>

<file path=xl/charts/colors37.xml><?xml version="1.0" encoding="utf-8"?>
<cs:colorStyle xmlns:cs="http://schemas.microsoft.com/office/drawing/2012/chartStyle" xmlns:a="http://schemas.openxmlformats.org/drawingml/2006/main" meth="cycle" id="10">
  <a:schemeClr val="accent1"/>
</cs:colorStyle>
</file>

<file path=xl/charts/colors38.xml><?xml version="1.0" encoding="utf-8"?>
<cs:colorStyle xmlns:cs="http://schemas.microsoft.com/office/drawing/2012/chartStyle" xmlns:a="http://schemas.openxmlformats.org/drawingml/2006/main" meth="cycle" id="10">
  <a:schemeClr val="accent1"/>
</cs:colorStyle>
</file>

<file path=xl/charts/colors39.xml><?xml version="1.0" encoding="utf-8"?>
<cs:colorStyle xmlns:cs="http://schemas.microsoft.com/office/drawing/2012/chartStyle" xmlns:a="http://schemas.openxmlformats.org/drawingml/2006/main" meth="cycle" id="10">
  <a:schemeClr val="accent1"/>
</cs:colorStyle>
</file>

<file path=xl/charts/colors40.xml><?xml version="1.0" encoding="utf-8"?>
<cs:colorStyle xmlns:cs="http://schemas.microsoft.com/office/drawing/2012/chartStyle" xmlns:a="http://schemas.openxmlformats.org/drawingml/2006/main" meth="cycle" id="10">
  <a:schemeClr val="accent1"/>
</cs:colorStyle>
</file>

<file path=xl/charts/colors41.xml><?xml version="1.0" encoding="utf-8"?>
<cs:colorStyle xmlns:cs="http://schemas.microsoft.com/office/drawing/2012/chartStyle" xmlns:a="http://schemas.openxmlformats.org/drawingml/2006/main" meth="cycle" id="10">
  <a:schemeClr val="accent1"/>
</cs:colorStyle>
</file>

<file path=xl/charts/colors42.xml><?xml version="1.0" encoding="utf-8"?>
<cs:colorStyle xmlns:cs="http://schemas.microsoft.com/office/drawing/2012/chartStyle" xmlns:a="http://schemas.openxmlformats.org/drawingml/2006/main" meth="cycle" id="10">
  <a:schemeClr val="accent1"/>
</cs:colorStyle>
</file>

<file path=xl/charts/colors43.xml><?xml version="1.0" encoding="utf-8"?>
<cs:colorStyle xmlns:cs="http://schemas.microsoft.com/office/drawing/2012/chartStyle" xmlns:a="http://schemas.openxmlformats.org/drawingml/2006/main" meth="cycle" id="10">
  <a:schemeClr val="accent1"/>
</cs:colorStyle>
</file>

<file path=xl/charts/colors44.xml><?xml version="1.0" encoding="utf-8"?>
<cs:colorStyle xmlns:cs="http://schemas.microsoft.com/office/drawing/2012/chartStyle" xmlns:a="http://schemas.openxmlformats.org/drawingml/2006/main" meth="cycle" id="10">
  <a:schemeClr val="accent1"/>
</cs:colorStyle>
</file>

<file path=xl/charts/colors45.xml><?xml version="1.0" encoding="utf-8"?>
<cs:colorStyle xmlns:cs="http://schemas.microsoft.com/office/drawing/2012/chartStyle" xmlns:a="http://schemas.openxmlformats.org/drawingml/2006/main" meth="cycle" id="10">
  <a:schemeClr val="accent1"/>
</cs:colorStyle>
</file>

<file path=xl/charts/colors46.xml><?xml version="1.0" encoding="utf-8"?>
<cs:colorStyle xmlns:cs="http://schemas.microsoft.com/office/drawing/2012/chartStyle" xmlns:a="http://schemas.openxmlformats.org/drawingml/2006/main" meth="cycle" id="10">
  <a:schemeClr val="accent1"/>
</cs:colorStyle>
</file>

<file path=xl/charts/colors47.xml><?xml version="1.0" encoding="utf-8"?>
<cs:colorStyle xmlns:cs="http://schemas.microsoft.com/office/drawing/2012/chartStyle" xmlns:a="http://schemas.openxmlformats.org/drawingml/2006/main" meth="cycle" id="10">
  <a:schemeClr val="accent1"/>
</cs:colorStyle>
</file>

<file path=xl/charts/colors48.xml><?xml version="1.0" encoding="utf-8"?>
<cs:colorStyle xmlns:cs="http://schemas.microsoft.com/office/drawing/2012/chartStyle" xmlns:a="http://schemas.openxmlformats.org/drawingml/2006/main" meth="cycle" id="10">
  <a:schemeClr val="accent1"/>
</cs:colorStyle>
</file>

<file path=xl/charts/colors49.xml><?xml version="1.0" encoding="utf-8"?>
<cs:colorStyle xmlns:cs="http://schemas.microsoft.com/office/drawing/2012/chartStyle" xmlns:a="http://schemas.openxmlformats.org/drawingml/2006/main" meth="cycle" id="10">
  <a:schemeClr val="accent1"/>
</cs:colorStyle>
</file>

<file path=xl/charts/colors50.xml><?xml version="1.0" encoding="utf-8"?>
<cs:colorStyle xmlns:cs="http://schemas.microsoft.com/office/drawing/2012/chartStyle" xmlns:a="http://schemas.openxmlformats.org/drawingml/2006/main" meth="cycle" id="10">
  <a:schemeClr val="accent1"/>
</cs:colorStyle>
</file>

<file path=xl/charts/colors51.xml><?xml version="1.0" encoding="utf-8"?>
<cs:colorStyle xmlns:cs="http://schemas.microsoft.com/office/drawing/2012/chartStyle" xmlns:a="http://schemas.openxmlformats.org/drawingml/2006/main" meth="cycle" id="10">
  <a:schemeClr val="accent1"/>
</cs:colorStyle>
</file>

<file path=xl/charts/colors52.xml><?xml version="1.0" encoding="utf-8"?>
<cs:colorStyle xmlns:cs="http://schemas.microsoft.com/office/drawing/2012/chartStyle" xmlns:a="http://schemas.openxmlformats.org/drawingml/2006/main" meth="cycle" id="10">
  <a:schemeClr val="accent1"/>
</cs:colorStyle>
</file>

<file path=xl/charts/colors53.xml><?xml version="1.0" encoding="utf-8"?>
<cs:colorStyle xmlns:cs="http://schemas.microsoft.com/office/drawing/2012/chartStyle" xmlns:a="http://schemas.openxmlformats.org/drawingml/2006/main" meth="cycle" id="10">
  <a:schemeClr val="accent1"/>
</cs:colorStyle>
</file>

<file path=xl/charts/colors54.xml><?xml version="1.0" encoding="utf-8"?>
<cs:colorStyle xmlns:cs="http://schemas.microsoft.com/office/drawing/2012/chartStyle" xmlns:a="http://schemas.openxmlformats.org/drawingml/2006/main" meth="cycle" id="10">
  <a:schemeClr val="accent1"/>
</cs:colorStyle>
</file>

<file path=xl/charts/colors55.xml><?xml version="1.0" encoding="utf-8"?>
<cs:colorStyle xmlns:cs="http://schemas.microsoft.com/office/drawing/2012/chartStyle" xmlns:a="http://schemas.openxmlformats.org/drawingml/2006/main" meth="cycle" id="10">
  <a:schemeClr val="accent1"/>
</cs:colorStyle>
</file>

<file path=xl/charts/style1.xml><?xml version="1.0" encoding="utf-8"?>
<cs:chartStyle xmlns:cs="http://schemas.microsoft.com/office/drawing/2012/chartStyle" xmlns:a="http://schemas.openxmlformats.org/drawingml/2006/main" id="419">
  <cs:axisTitle>
    <cs:lnRef idx="0"/>
    <cs:lineWidthScale>1</cs:lineWidthScale>
    <cs:fillRef idx="0"/>
    <cs:effectRef idx="0"/>
    <cs:fontRef idx="minor"/>
    <a:defRPr sz="1800" b="0"/>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xml><?xml version="1.0" encoding="utf-8"?>
<cs:chartStyle xmlns:cs="http://schemas.microsoft.com/office/drawing/2012/chartStyle" xmlns:a="http://schemas.openxmlformats.org/drawingml/2006/main" id="419">
  <cs:axisTitle>
    <cs:lnRef idx="0"/>
    <cs:lineWidthScale>1</cs:lineWidthScale>
    <cs:fillRef idx="0"/>
    <cs:effectRef idx="0"/>
    <cs:fontRef idx="minor"/>
    <a:defRPr sz="1800" b="0"/>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xml><?xml version="1.0" encoding="utf-8"?>
<cs:chartStyle xmlns:cs="http://schemas.microsoft.com/office/drawing/2012/chartStyle" xmlns:a="http://schemas.openxmlformats.org/drawingml/2006/main" id="419">
  <cs:axisTitle>
    <cs:lnRef idx="0"/>
    <cs:lineWidthScale>1</cs:lineWidthScale>
    <cs:fillRef idx="0"/>
    <cs:effectRef idx="0"/>
    <cs:fontRef idx="minor"/>
    <a:defRPr sz="1800" b="0"/>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xml><?xml version="1.0" encoding="utf-8"?>
<cs:chartStyle xmlns:cs="http://schemas.microsoft.com/office/drawing/2012/chartStyle" xmlns:a="http://schemas.openxmlformats.org/drawingml/2006/main" id="419">
  <cs:axisTitle>
    <cs:lnRef idx="0"/>
    <cs:lineWidthScale>1</cs:lineWidthScale>
    <cs:fillRef idx="0"/>
    <cs:effectRef idx="0"/>
    <cs:fontRef idx="minor"/>
    <a:defRPr sz="1800" b="0"/>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5.xml><?xml version="1.0" encoding="utf-8"?>
<cs:chartStyle xmlns:cs="http://schemas.microsoft.com/office/drawing/2012/chartStyle" xmlns:a="http://schemas.openxmlformats.org/drawingml/2006/main" id="419">
  <cs:axisTitle>
    <cs:lnRef idx="0"/>
    <cs:lineWidthScale>1</cs:lineWidthScale>
    <cs:fillRef idx="0"/>
    <cs:effectRef idx="0"/>
    <cs:fontRef idx="minor"/>
    <a:defRPr sz="1800" b="0"/>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6.xml><?xml version="1.0" encoding="utf-8"?>
<cs:chartStyle xmlns:cs="http://schemas.microsoft.com/office/drawing/2012/chartStyle" xmlns:a="http://schemas.openxmlformats.org/drawingml/2006/main" id="419">
  <cs:axisTitle>
    <cs:lnRef idx="0"/>
    <cs:lineWidthScale>1</cs:lineWidthScale>
    <cs:fillRef idx="0"/>
    <cs:effectRef idx="0"/>
    <cs:fontRef idx="minor"/>
    <a:defRPr sz="1800" b="0"/>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7.xml><?xml version="1.0" encoding="utf-8"?>
<cs:chartStyle xmlns:cs="http://schemas.microsoft.com/office/drawing/2012/chartStyle" xmlns:a="http://schemas.openxmlformats.org/drawingml/2006/main" id="419">
  <cs:axisTitle>
    <cs:lnRef idx="0"/>
    <cs:lineWidthScale>1</cs:lineWidthScale>
    <cs:fillRef idx="0"/>
    <cs:effectRef idx="0"/>
    <cs:fontRef idx="minor"/>
    <a:defRPr sz="1800" b="0"/>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8.xml><?xml version="1.0" encoding="utf-8"?>
<cs:chartStyle xmlns:cs="http://schemas.microsoft.com/office/drawing/2012/chartStyle" xmlns:a="http://schemas.openxmlformats.org/drawingml/2006/main" id="419">
  <cs:axisTitle>
    <cs:lnRef idx="0"/>
    <cs:lineWidthScale>1</cs:lineWidthScale>
    <cs:fillRef idx="0"/>
    <cs:effectRef idx="0"/>
    <cs:fontRef idx="minor"/>
    <a:defRPr sz="1800" b="0"/>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9.xml><?xml version="1.0" encoding="utf-8"?>
<cs:chartStyle xmlns:cs="http://schemas.microsoft.com/office/drawing/2012/chartStyle" xmlns:a="http://schemas.openxmlformats.org/drawingml/2006/main" id="419">
  <cs:axisTitle>
    <cs:lnRef idx="0"/>
    <cs:lineWidthScale>1</cs:lineWidthScale>
    <cs:fillRef idx="0"/>
    <cs:effectRef idx="0"/>
    <cs:fontRef idx="minor"/>
    <a:defRPr sz="1800" b="0"/>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0.xml><?xml version="1.0" encoding="utf-8"?>
<cs:chartStyle xmlns:cs="http://schemas.microsoft.com/office/drawing/2012/chartStyle" xmlns:a="http://schemas.openxmlformats.org/drawingml/2006/main" id="419">
  <cs:axisTitle>
    <cs:lnRef idx="0"/>
    <cs:lineWidthScale>1</cs:lineWidthScale>
    <cs:fillRef idx="0"/>
    <cs:effectRef idx="0"/>
    <cs:fontRef idx="minor"/>
    <a:defRPr sz="1800" b="0"/>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1.xml><?xml version="1.0" encoding="utf-8"?>
<cs:chartStyle xmlns:cs="http://schemas.microsoft.com/office/drawing/2012/chartStyle" xmlns:a="http://schemas.openxmlformats.org/drawingml/2006/main" id="419">
  <cs:axisTitle>
    <cs:lnRef idx="0"/>
    <cs:lineWidthScale>1</cs:lineWidthScale>
    <cs:fillRef idx="0"/>
    <cs:effectRef idx="0"/>
    <cs:fontRef idx="minor"/>
    <a:defRPr sz="1800" b="0"/>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2.xml><?xml version="1.0" encoding="utf-8"?>
<cs:chartStyle xmlns:cs="http://schemas.microsoft.com/office/drawing/2012/chartStyle" xmlns:a="http://schemas.openxmlformats.org/drawingml/2006/main" id="419">
  <cs:axisTitle>
    <cs:lnRef idx="0"/>
    <cs:lineWidthScale>1</cs:lineWidthScale>
    <cs:fillRef idx="0"/>
    <cs:effectRef idx="0"/>
    <cs:fontRef idx="minor"/>
    <a:defRPr sz="1800" b="0"/>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3.xml><?xml version="1.0" encoding="utf-8"?>
<cs:chartStyle xmlns:cs="http://schemas.microsoft.com/office/drawing/2012/chartStyle" xmlns:a="http://schemas.openxmlformats.org/drawingml/2006/main" id="419">
  <cs:axisTitle>
    <cs:lnRef idx="0"/>
    <cs:lineWidthScale>1</cs:lineWidthScale>
    <cs:fillRef idx="0"/>
    <cs:effectRef idx="0"/>
    <cs:fontRef idx="minor"/>
    <a:defRPr sz="1800" b="0"/>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4.xml><?xml version="1.0" encoding="utf-8"?>
<cs:chartStyle xmlns:cs="http://schemas.microsoft.com/office/drawing/2012/chartStyle" xmlns:a="http://schemas.openxmlformats.org/drawingml/2006/main" id="419">
  <cs:axisTitle>
    <cs:lnRef idx="0"/>
    <cs:lineWidthScale>1</cs:lineWidthScale>
    <cs:fillRef idx="0"/>
    <cs:effectRef idx="0"/>
    <cs:fontRef idx="minor"/>
    <a:defRPr sz="1800" b="0"/>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5.xml><?xml version="1.0" encoding="utf-8"?>
<cs:chartStyle xmlns:cs="http://schemas.microsoft.com/office/drawing/2012/chartStyle" xmlns:a="http://schemas.openxmlformats.org/drawingml/2006/main" id="419">
  <cs:axisTitle>
    <cs:lnRef idx="0"/>
    <cs:lineWidthScale>1</cs:lineWidthScale>
    <cs:fillRef idx="0"/>
    <cs:effectRef idx="0"/>
    <cs:fontRef idx="minor"/>
    <a:defRPr sz="1800" b="0"/>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6.xml><?xml version="1.0" encoding="utf-8"?>
<cs:chartStyle xmlns:cs="http://schemas.microsoft.com/office/drawing/2012/chartStyle" xmlns:a="http://schemas.openxmlformats.org/drawingml/2006/main" id="419">
  <cs:axisTitle>
    <cs:lnRef idx="0"/>
    <cs:lineWidthScale>1</cs:lineWidthScale>
    <cs:fillRef idx="0"/>
    <cs:effectRef idx="0"/>
    <cs:fontRef idx="minor"/>
    <a:defRPr sz="1800" b="0"/>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7.xml><?xml version="1.0" encoding="utf-8"?>
<cs:chartStyle xmlns:cs="http://schemas.microsoft.com/office/drawing/2012/chartStyle" xmlns:a="http://schemas.openxmlformats.org/drawingml/2006/main" id="419">
  <cs:axisTitle>
    <cs:lnRef idx="0"/>
    <cs:lineWidthScale>1</cs:lineWidthScale>
    <cs:fillRef idx="0"/>
    <cs:effectRef idx="0"/>
    <cs:fontRef idx="minor"/>
    <a:defRPr sz="1800" b="0"/>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8.xml><?xml version="1.0" encoding="utf-8"?>
<cs:chartStyle xmlns:cs="http://schemas.microsoft.com/office/drawing/2012/chartStyle" xmlns:a="http://schemas.openxmlformats.org/drawingml/2006/main" id="419">
  <cs:axisTitle>
    <cs:lnRef idx="0"/>
    <cs:lineWidthScale>1</cs:lineWidthScale>
    <cs:fillRef idx="0"/>
    <cs:effectRef idx="0"/>
    <cs:fontRef idx="minor"/>
    <a:defRPr sz="1800" b="0"/>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9.xml><?xml version="1.0" encoding="utf-8"?>
<cs:chartStyle xmlns:cs="http://schemas.microsoft.com/office/drawing/2012/chartStyle" xmlns:a="http://schemas.openxmlformats.org/drawingml/2006/main" id="419">
  <cs:axisTitle>
    <cs:lnRef idx="0"/>
    <cs:lineWidthScale>1</cs:lineWidthScale>
    <cs:fillRef idx="0"/>
    <cs:effectRef idx="0"/>
    <cs:fontRef idx="minor"/>
    <a:defRPr sz="1800" b="0"/>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0.xml><?xml version="1.0" encoding="utf-8"?>
<cs:chartStyle xmlns:cs="http://schemas.microsoft.com/office/drawing/2012/chartStyle" xmlns:a="http://schemas.openxmlformats.org/drawingml/2006/main" id="419">
  <cs:axisTitle>
    <cs:lnRef idx="0"/>
    <cs:lineWidthScale>1</cs:lineWidthScale>
    <cs:fillRef idx="0"/>
    <cs:effectRef idx="0"/>
    <cs:fontRef idx="minor"/>
    <a:defRPr sz="1800" b="0"/>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1.xml><?xml version="1.0" encoding="utf-8"?>
<cs:chartStyle xmlns:cs="http://schemas.microsoft.com/office/drawing/2012/chartStyle" xmlns:a="http://schemas.openxmlformats.org/drawingml/2006/main" id="419">
  <cs:axisTitle>
    <cs:lnRef idx="0"/>
    <cs:lineWidthScale>1</cs:lineWidthScale>
    <cs:fillRef idx="0"/>
    <cs:effectRef idx="0"/>
    <cs:fontRef idx="minor"/>
    <a:defRPr sz="1800" b="0"/>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2.xml><?xml version="1.0" encoding="utf-8"?>
<cs:chartStyle xmlns:cs="http://schemas.microsoft.com/office/drawing/2012/chartStyle" xmlns:a="http://schemas.openxmlformats.org/drawingml/2006/main" id="419">
  <cs:axisTitle>
    <cs:lnRef idx="0"/>
    <cs:lineWidthScale>1</cs:lineWidthScale>
    <cs:fillRef idx="0"/>
    <cs:effectRef idx="0"/>
    <cs:fontRef idx="minor"/>
    <a:defRPr sz="1800" b="0"/>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3.xml><?xml version="1.0" encoding="utf-8"?>
<cs:chartStyle xmlns:cs="http://schemas.microsoft.com/office/drawing/2012/chartStyle" xmlns:a="http://schemas.openxmlformats.org/drawingml/2006/main" id="419">
  <cs:axisTitle>
    <cs:lnRef idx="0"/>
    <cs:lineWidthScale>1</cs:lineWidthScale>
    <cs:fillRef idx="0"/>
    <cs:effectRef idx="0"/>
    <cs:fontRef idx="minor"/>
    <a:defRPr sz="1800" b="0"/>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4.xml><?xml version="1.0" encoding="utf-8"?>
<cs:chartStyle xmlns:cs="http://schemas.microsoft.com/office/drawing/2012/chartStyle" xmlns:a="http://schemas.openxmlformats.org/drawingml/2006/main" id="419">
  <cs:axisTitle>
    <cs:lnRef idx="0"/>
    <cs:lineWidthScale>1</cs:lineWidthScale>
    <cs:fillRef idx="0"/>
    <cs:effectRef idx="0"/>
    <cs:fontRef idx="minor"/>
    <a:defRPr sz="1800" b="0"/>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5.xml><?xml version="1.0" encoding="utf-8"?>
<cs:chartStyle xmlns:cs="http://schemas.microsoft.com/office/drawing/2012/chartStyle" xmlns:a="http://schemas.openxmlformats.org/drawingml/2006/main" id="419">
  <cs:axisTitle>
    <cs:lnRef idx="0"/>
    <cs:lineWidthScale>1</cs:lineWidthScale>
    <cs:fillRef idx="0"/>
    <cs:effectRef idx="0"/>
    <cs:fontRef idx="minor"/>
    <a:defRPr sz="1800" b="0"/>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6.xml><?xml version="1.0" encoding="utf-8"?>
<cs:chartStyle xmlns:cs="http://schemas.microsoft.com/office/drawing/2012/chartStyle" xmlns:a="http://schemas.openxmlformats.org/drawingml/2006/main" id="419">
  <cs:axisTitle>
    <cs:lnRef idx="0"/>
    <cs:lineWidthScale>1</cs:lineWidthScale>
    <cs:fillRef idx="0"/>
    <cs:effectRef idx="0"/>
    <cs:fontRef idx="minor"/>
    <a:defRPr sz="1800" b="0"/>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7.xml><?xml version="1.0" encoding="utf-8"?>
<cs:chartStyle xmlns:cs="http://schemas.microsoft.com/office/drawing/2012/chartStyle" xmlns:a="http://schemas.openxmlformats.org/drawingml/2006/main" id="419">
  <cs:axisTitle>
    <cs:lnRef idx="0"/>
    <cs:lineWidthScale>1</cs:lineWidthScale>
    <cs:fillRef idx="0"/>
    <cs:effectRef idx="0"/>
    <cs:fontRef idx="minor"/>
    <a:defRPr sz="1800" b="0"/>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8.xml><?xml version="1.0" encoding="utf-8"?>
<cs:chartStyle xmlns:cs="http://schemas.microsoft.com/office/drawing/2012/chartStyle" xmlns:a="http://schemas.openxmlformats.org/drawingml/2006/main" id="419">
  <cs:axisTitle>
    <cs:lnRef idx="0"/>
    <cs:lineWidthScale>1</cs:lineWidthScale>
    <cs:fillRef idx="0"/>
    <cs:effectRef idx="0"/>
    <cs:fontRef idx="minor"/>
    <a:defRPr sz="1800" b="0"/>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9.xml><?xml version="1.0" encoding="utf-8"?>
<cs:chartStyle xmlns:cs="http://schemas.microsoft.com/office/drawing/2012/chartStyle" xmlns:a="http://schemas.openxmlformats.org/drawingml/2006/main" id="419">
  <cs:axisTitle>
    <cs:lnRef idx="0"/>
    <cs:lineWidthScale>1</cs:lineWidthScale>
    <cs:fillRef idx="0"/>
    <cs:effectRef idx="0"/>
    <cs:fontRef idx="minor"/>
    <a:defRPr sz="1800" b="0"/>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0.xml><?xml version="1.0" encoding="utf-8"?>
<cs:chartStyle xmlns:cs="http://schemas.microsoft.com/office/drawing/2012/chartStyle" xmlns:a="http://schemas.openxmlformats.org/drawingml/2006/main" id="419">
  <cs:axisTitle>
    <cs:lnRef idx="0"/>
    <cs:lineWidthScale>1</cs:lineWidthScale>
    <cs:fillRef idx="0"/>
    <cs:effectRef idx="0"/>
    <cs:fontRef idx="minor"/>
    <a:defRPr sz="1800" b="0"/>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1.xml><?xml version="1.0" encoding="utf-8"?>
<cs:chartStyle xmlns:cs="http://schemas.microsoft.com/office/drawing/2012/chartStyle" xmlns:a="http://schemas.openxmlformats.org/drawingml/2006/main" id="419">
  <cs:axisTitle>
    <cs:lnRef idx="0"/>
    <cs:lineWidthScale>1</cs:lineWidthScale>
    <cs:fillRef idx="0"/>
    <cs:effectRef idx="0"/>
    <cs:fontRef idx="minor"/>
    <a:defRPr sz="1800" b="0"/>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2.xml><?xml version="1.0" encoding="utf-8"?>
<cs:chartStyle xmlns:cs="http://schemas.microsoft.com/office/drawing/2012/chartStyle" xmlns:a="http://schemas.openxmlformats.org/drawingml/2006/main" id="419">
  <cs:axisTitle>
    <cs:lnRef idx="0"/>
    <cs:lineWidthScale>1</cs:lineWidthScale>
    <cs:fillRef idx="0"/>
    <cs:effectRef idx="0"/>
    <cs:fontRef idx="minor"/>
    <a:defRPr sz="1800" b="0"/>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3.xml><?xml version="1.0" encoding="utf-8"?>
<cs:chartStyle xmlns:cs="http://schemas.microsoft.com/office/drawing/2012/chartStyle" xmlns:a="http://schemas.openxmlformats.org/drawingml/2006/main" id="419">
  <cs:axisTitle>
    <cs:lnRef idx="0"/>
    <cs:lineWidthScale>1</cs:lineWidthScale>
    <cs:fillRef idx="0"/>
    <cs:effectRef idx="0"/>
    <cs:fontRef idx="minor"/>
    <a:defRPr sz="1800" b="0"/>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4.xml><?xml version="1.0" encoding="utf-8"?>
<cs:chartStyle xmlns:cs="http://schemas.microsoft.com/office/drawing/2012/chartStyle" xmlns:a="http://schemas.openxmlformats.org/drawingml/2006/main" id="419">
  <cs:axisTitle>
    <cs:lnRef idx="0"/>
    <cs:lineWidthScale>1</cs:lineWidthScale>
    <cs:fillRef idx="0"/>
    <cs:effectRef idx="0"/>
    <cs:fontRef idx="minor"/>
    <a:defRPr sz="1800" b="0"/>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5.xml><?xml version="1.0" encoding="utf-8"?>
<cs:chartStyle xmlns:cs="http://schemas.microsoft.com/office/drawing/2012/chartStyle" xmlns:a="http://schemas.openxmlformats.org/drawingml/2006/main" id="419">
  <cs:axisTitle>
    <cs:lnRef idx="0"/>
    <cs:lineWidthScale>1</cs:lineWidthScale>
    <cs:fillRef idx="0"/>
    <cs:effectRef idx="0"/>
    <cs:fontRef idx="minor"/>
    <a:defRPr sz="1800" b="0"/>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6.xml><?xml version="1.0" encoding="utf-8"?>
<cs:chartStyle xmlns:cs="http://schemas.microsoft.com/office/drawing/2012/chartStyle" xmlns:a="http://schemas.openxmlformats.org/drawingml/2006/main" id="419">
  <cs:axisTitle>
    <cs:lnRef idx="0"/>
    <cs:lineWidthScale>1</cs:lineWidthScale>
    <cs:fillRef idx="0"/>
    <cs:effectRef idx="0"/>
    <cs:fontRef idx="minor"/>
    <a:defRPr sz="1800" b="0"/>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7.xml><?xml version="1.0" encoding="utf-8"?>
<cs:chartStyle xmlns:cs="http://schemas.microsoft.com/office/drawing/2012/chartStyle" xmlns:a="http://schemas.openxmlformats.org/drawingml/2006/main" id="419">
  <cs:axisTitle>
    <cs:lnRef idx="0"/>
    <cs:lineWidthScale>1</cs:lineWidthScale>
    <cs:fillRef idx="0"/>
    <cs:effectRef idx="0"/>
    <cs:fontRef idx="minor"/>
    <a:defRPr sz="1800" b="0"/>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8.xml><?xml version="1.0" encoding="utf-8"?>
<cs:chartStyle xmlns:cs="http://schemas.microsoft.com/office/drawing/2012/chartStyle" xmlns:a="http://schemas.openxmlformats.org/drawingml/2006/main" id="419">
  <cs:axisTitle>
    <cs:lnRef idx="0"/>
    <cs:lineWidthScale>1</cs:lineWidthScale>
    <cs:fillRef idx="0"/>
    <cs:effectRef idx="0"/>
    <cs:fontRef idx="minor"/>
    <a:defRPr sz="1800" b="0"/>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9.xml><?xml version="1.0" encoding="utf-8"?>
<cs:chartStyle xmlns:cs="http://schemas.microsoft.com/office/drawing/2012/chartStyle" xmlns:a="http://schemas.openxmlformats.org/drawingml/2006/main" id="419">
  <cs:axisTitle>
    <cs:lnRef idx="0"/>
    <cs:lineWidthScale>1</cs:lineWidthScale>
    <cs:fillRef idx="0"/>
    <cs:effectRef idx="0"/>
    <cs:fontRef idx="minor"/>
    <a:defRPr sz="1800" b="0"/>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0.xml><?xml version="1.0" encoding="utf-8"?>
<cs:chartStyle xmlns:cs="http://schemas.microsoft.com/office/drawing/2012/chartStyle" xmlns:a="http://schemas.openxmlformats.org/drawingml/2006/main" id="419">
  <cs:axisTitle>
    <cs:lnRef idx="0"/>
    <cs:lineWidthScale>1</cs:lineWidthScale>
    <cs:fillRef idx="0"/>
    <cs:effectRef idx="0"/>
    <cs:fontRef idx="minor"/>
    <a:defRPr sz="1800" b="0"/>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1.xml><?xml version="1.0" encoding="utf-8"?>
<cs:chartStyle xmlns:cs="http://schemas.microsoft.com/office/drawing/2012/chartStyle" xmlns:a="http://schemas.openxmlformats.org/drawingml/2006/main" id="419">
  <cs:axisTitle>
    <cs:lnRef idx="0"/>
    <cs:lineWidthScale>1</cs:lineWidthScale>
    <cs:fillRef idx="0"/>
    <cs:effectRef idx="0"/>
    <cs:fontRef idx="minor"/>
    <a:defRPr sz="1800" b="0"/>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2.xml><?xml version="1.0" encoding="utf-8"?>
<cs:chartStyle xmlns:cs="http://schemas.microsoft.com/office/drawing/2012/chartStyle" xmlns:a="http://schemas.openxmlformats.org/drawingml/2006/main" id="419">
  <cs:axisTitle>
    <cs:lnRef idx="0"/>
    <cs:lineWidthScale>1</cs:lineWidthScale>
    <cs:fillRef idx="0"/>
    <cs:effectRef idx="0"/>
    <cs:fontRef idx="minor"/>
    <a:defRPr sz="1800" b="0"/>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3.xml><?xml version="1.0" encoding="utf-8"?>
<cs:chartStyle xmlns:cs="http://schemas.microsoft.com/office/drawing/2012/chartStyle" xmlns:a="http://schemas.openxmlformats.org/drawingml/2006/main" id="419">
  <cs:axisTitle>
    <cs:lnRef idx="0"/>
    <cs:lineWidthScale>1</cs:lineWidthScale>
    <cs:fillRef idx="0"/>
    <cs:effectRef idx="0"/>
    <cs:fontRef idx="minor"/>
    <a:defRPr sz="1800" b="0"/>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4.xml><?xml version="1.0" encoding="utf-8"?>
<cs:chartStyle xmlns:cs="http://schemas.microsoft.com/office/drawing/2012/chartStyle" xmlns:a="http://schemas.openxmlformats.org/drawingml/2006/main" id="419">
  <cs:axisTitle>
    <cs:lnRef idx="0"/>
    <cs:lineWidthScale>1</cs:lineWidthScale>
    <cs:fillRef idx="0"/>
    <cs:effectRef idx="0"/>
    <cs:fontRef idx="minor"/>
    <a:defRPr sz="1800" b="0"/>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5.xml><?xml version="1.0" encoding="utf-8"?>
<cs:chartStyle xmlns:cs="http://schemas.microsoft.com/office/drawing/2012/chartStyle" xmlns:a="http://schemas.openxmlformats.org/drawingml/2006/main" id="419">
  <cs:axisTitle>
    <cs:lnRef idx="0"/>
    <cs:lineWidthScale>1</cs:lineWidthScale>
    <cs:fillRef idx="0"/>
    <cs:effectRef idx="0"/>
    <cs:fontRef idx="minor"/>
    <a:defRPr sz="1800" b="0"/>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6.xml><?xml version="1.0" encoding="utf-8"?>
<cs:chartStyle xmlns:cs="http://schemas.microsoft.com/office/drawing/2012/chartStyle" xmlns:a="http://schemas.openxmlformats.org/drawingml/2006/main" id="419">
  <cs:axisTitle>
    <cs:lnRef idx="0"/>
    <cs:lineWidthScale>1</cs:lineWidthScale>
    <cs:fillRef idx="0"/>
    <cs:effectRef idx="0"/>
    <cs:fontRef idx="minor"/>
    <a:defRPr sz="1800" b="0"/>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7.xml><?xml version="1.0" encoding="utf-8"?>
<cs:chartStyle xmlns:cs="http://schemas.microsoft.com/office/drawing/2012/chartStyle" xmlns:a="http://schemas.openxmlformats.org/drawingml/2006/main" id="419">
  <cs:axisTitle>
    <cs:lnRef idx="0"/>
    <cs:lineWidthScale>1</cs:lineWidthScale>
    <cs:fillRef idx="0"/>
    <cs:effectRef idx="0"/>
    <cs:fontRef idx="minor"/>
    <a:defRPr sz="1800" b="0"/>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8.xml><?xml version="1.0" encoding="utf-8"?>
<cs:chartStyle xmlns:cs="http://schemas.microsoft.com/office/drawing/2012/chartStyle" xmlns:a="http://schemas.openxmlformats.org/drawingml/2006/main" id="419">
  <cs:axisTitle>
    <cs:lnRef idx="0"/>
    <cs:lineWidthScale>1</cs:lineWidthScale>
    <cs:fillRef idx="0"/>
    <cs:effectRef idx="0"/>
    <cs:fontRef idx="minor"/>
    <a:defRPr sz="1800" b="0"/>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9.xml><?xml version="1.0" encoding="utf-8"?>
<cs:chartStyle xmlns:cs="http://schemas.microsoft.com/office/drawing/2012/chartStyle" xmlns:a="http://schemas.openxmlformats.org/drawingml/2006/main" id="419">
  <cs:axisTitle>
    <cs:lnRef idx="0"/>
    <cs:lineWidthScale>1</cs:lineWidthScale>
    <cs:fillRef idx="0"/>
    <cs:effectRef idx="0"/>
    <cs:fontRef idx="minor"/>
    <a:defRPr sz="1800" b="0"/>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50.xml><?xml version="1.0" encoding="utf-8"?>
<cs:chartStyle xmlns:cs="http://schemas.microsoft.com/office/drawing/2012/chartStyle" xmlns:a="http://schemas.openxmlformats.org/drawingml/2006/main" id="419">
  <cs:axisTitle>
    <cs:lnRef idx="0"/>
    <cs:lineWidthScale>1</cs:lineWidthScale>
    <cs:fillRef idx="0"/>
    <cs:effectRef idx="0"/>
    <cs:fontRef idx="minor"/>
    <a:defRPr sz="1800" b="0"/>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51.xml><?xml version="1.0" encoding="utf-8"?>
<cs:chartStyle xmlns:cs="http://schemas.microsoft.com/office/drawing/2012/chartStyle" xmlns:a="http://schemas.openxmlformats.org/drawingml/2006/main" id="419">
  <cs:axisTitle>
    <cs:lnRef idx="0"/>
    <cs:lineWidthScale>1</cs:lineWidthScale>
    <cs:fillRef idx="0"/>
    <cs:effectRef idx="0"/>
    <cs:fontRef idx="minor"/>
    <a:defRPr sz="1800" b="0"/>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52.xml><?xml version="1.0" encoding="utf-8"?>
<cs:chartStyle xmlns:cs="http://schemas.microsoft.com/office/drawing/2012/chartStyle" xmlns:a="http://schemas.openxmlformats.org/drawingml/2006/main" id="419">
  <cs:axisTitle>
    <cs:lnRef idx="0"/>
    <cs:lineWidthScale>1</cs:lineWidthScale>
    <cs:fillRef idx="0"/>
    <cs:effectRef idx="0"/>
    <cs:fontRef idx="minor"/>
    <a:defRPr sz="1800" b="0"/>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53.xml><?xml version="1.0" encoding="utf-8"?>
<cs:chartStyle xmlns:cs="http://schemas.microsoft.com/office/drawing/2012/chartStyle" xmlns:a="http://schemas.openxmlformats.org/drawingml/2006/main" id="419">
  <cs:axisTitle>
    <cs:lnRef idx="0"/>
    <cs:lineWidthScale>1</cs:lineWidthScale>
    <cs:fillRef idx="0"/>
    <cs:effectRef idx="0"/>
    <cs:fontRef idx="minor"/>
    <a:defRPr sz="1800" b="0"/>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54.xml><?xml version="1.0" encoding="utf-8"?>
<cs:chartStyle xmlns:cs="http://schemas.microsoft.com/office/drawing/2012/chartStyle" xmlns:a="http://schemas.openxmlformats.org/drawingml/2006/main" id="419">
  <cs:axisTitle>
    <cs:lnRef idx="0"/>
    <cs:lineWidthScale>1</cs:lineWidthScale>
    <cs:fillRef idx="0"/>
    <cs:effectRef idx="0"/>
    <cs:fontRef idx="minor"/>
    <a:defRPr sz="1800" b="0"/>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55.xml><?xml version="1.0" encoding="utf-8"?>
<cs:chartStyle xmlns:cs="http://schemas.microsoft.com/office/drawing/2012/chartStyle" xmlns:a="http://schemas.openxmlformats.org/drawingml/2006/main" id="419">
  <cs:axisTitle>
    <cs:lnRef idx="0"/>
    <cs:lineWidthScale>1</cs:lineWidthScale>
    <cs:fillRef idx="0"/>
    <cs:effectRef idx="0"/>
    <cs:fontRef idx="minor"/>
    <a:defRPr sz="1800" b="0"/>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Relationship Id="rId8" Type="http://schemas.openxmlformats.org/officeDocument/2006/relationships/chart" Target="../charts/chart8.xml"/><Relationship Id="rId9" Type="http://schemas.openxmlformats.org/officeDocument/2006/relationships/chart" Target="../charts/chart9.xml"/><Relationship Id="rId10" Type="http://schemas.openxmlformats.org/officeDocument/2006/relationships/chart" Target="../charts/chart10.xml"/><Relationship Id="rId11" Type="http://schemas.openxmlformats.org/officeDocument/2006/relationships/chart" Target="../charts/chart11.xml"/><Relationship Id="rId12" Type="http://schemas.openxmlformats.org/officeDocument/2006/relationships/chart" Target="../charts/chart12.xml"/><Relationship Id="rId13" Type="http://schemas.openxmlformats.org/officeDocument/2006/relationships/chart" Target="../charts/chart13.xml"/><Relationship Id="rId14" Type="http://schemas.openxmlformats.org/officeDocument/2006/relationships/chart" Target="../charts/chart14.xml"/><Relationship Id="rId15" Type="http://schemas.openxmlformats.org/officeDocument/2006/relationships/chart" Target="../charts/chart15.xml"/><Relationship Id="rId16" Type="http://schemas.openxmlformats.org/officeDocument/2006/relationships/chart" Target="../charts/chart16.xml"/><Relationship Id="rId17" Type="http://schemas.openxmlformats.org/officeDocument/2006/relationships/chart" Target="../charts/chart17.xml"/><Relationship Id="rId18" Type="http://schemas.openxmlformats.org/officeDocument/2006/relationships/chart" Target="../charts/chart18.xml"/><Relationship Id="rId19" Type="http://schemas.openxmlformats.org/officeDocument/2006/relationships/chart" Target="../charts/chart19.xml"/><Relationship Id="rId20" Type="http://schemas.openxmlformats.org/officeDocument/2006/relationships/chart" Target="../charts/chart20.xml"/><Relationship Id="rId21" Type="http://schemas.openxmlformats.org/officeDocument/2006/relationships/chart" Target="../charts/chart21.xml"/><Relationship Id="rId22" Type="http://schemas.openxmlformats.org/officeDocument/2006/relationships/chart" Target="../charts/chart22.xml"/><Relationship Id="rId23" Type="http://schemas.openxmlformats.org/officeDocument/2006/relationships/chart" Target="../charts/chart23.xml"/><Relationship Id="rId24" Type="http://schemas.openxmlformats.org/officeDocument/2006/relationships/chart" Target="../charts/chart24.xml"/><Relationship Id="rId25" Type="http://schemas.openxmlformats.org/officeDocument/2006/relationships/chart" Target="../charts/chart25.xml"/><Relationship Id="rId26" Type="http://schemas.openxmlformats.org/officeDocument/2006/relationships/chart" Target="../charts/chart26.xml"/><Relationship Id="rId27" Type="http://schemas.openxmlformats.org/officeDocument/2006/relationships/chart" Target="../charts/chart27.xml"/><Relationship Id="rId28" Type="http://schemas.openxmlformats.org/officeDocument/2006/relationships/chart" Target="../charts/chart28.xml"/><Relationship Id="rId29" Type="http://schemas.openxmlformats.org/officeDocument/2006/relationships/chart" Target="../charts/chart29.xml"/><Relationship Id="rId30" Type="http://schemas.openxmlformats.org/officeDocument/2006/relationships/chart" Target="../charts/chart30.xml"/><Relationship Id="rId31" Type="http://schemas.openxmlformats.org/officeDocument/2006/relationships/chart" Target="../charts/chart31.xml"/><Relationship Id="rId32" Type="http://schemas.openxmlformats.org/officeDocument/2006/relationships/chart" Target="../charts/chart32.xml"/><Relationship Id="rId33" Type="http://schemas.openxmlformats.org/officeDocument/2006/relationships/chart" Target="../charts/chart33.xml"/><Relationship Id="rId34" Type="http://schemas.openxmlformats.org/officeDocument/2006/relationships/chart" Target="../charts/chart34.xml"/><Relationship Id="rId35" Type="http://schemas.openxmlformats.org/officeDocument/2006/relationships/chart" Target="../charts/chart35.xml"/>
</Relationships>
</file>

<file path=xl/drawings/_rels/drawing2.xml.rels><?xml version="1.0" encoding="UTF-8"?>
<Relationships xmlns="http://schemas.openxmlformats.org/package/2006/relationships"><Relationship Id="rId1" Type="http://schemas.openxmlformats.org/officeDocument/2006/relationships/chart" Target="../charts/chart36.xml"/><Relationship Id="rId2" Type="http://schemas.openxmlformats.org/officeDocument/2006/relationships/chart" Target="../charts/chart37.xml"/><Relationship Id="rId3" Type="http://schemas.openxmlformats.org/officeDocument/2006/relationships/chart" Target="../charts/chart38.xml"/><Relationship Id="rId4" Type="http://schemas.openxmlformats.org/officeDocument/2006/relationships/chart" Target="../charts/chart39.xml"/><Relationship Id="rId5" Type="http://schemas.openxmlformats.org/officeDocument/2006/relationships/chart" Target="../charts/chart40.xml"/><Relationship Id="rId6" Type="http://schemas.openxmlformats.org/officeDocument/2006/relationships/chart" Target="../charts/chart41.xml"/><Relationship Id="rId7" Type="http://schemas.openxmlformats.org/officeDocument/2006/relationships/chart" Target="../charts/chart42.xml"/><Relationship Id="rId8" Type="http://schemas.openxmlformats.org/officeDocument/2006/relationships/chart" Target="../charts/chart43.xml"/><Relationship Id="rId9" Type="http://schemas.openxmlformats.org/officeDocument/2006/relationships/chart" Target="../charts/chart44.xml"/>
</Relationships>
</file>

<file path=xl/drawings/_rels/drawing3.xml.rels><?xml version="1.0" encoding="UTF-8"?>
<Relationships xmlns="http://schemas.openxmlformats.org/package/2006/relationships"><Relationship Id="rId1" Type="http://schemas.openxmlformats.org/officeDocument/2006/relationships/chart" Target="../charts/chart45.xml"/><Relationship Id="rId2" Type="http://schemas.openxmlformats.org/officeDocument/2006/relationships/chart" Target="../charts/chart46.xml"/><Relationship Id="rId3" Type="http://schemas.openxmlformats.org/officeDocument/2006/relationships/chart" Target="../charts/chart47.xml"/><Relationship Id="rId4" Type="http://schemas.openxmlformats.org/officeDocument/2006/relationships/chart" Target="../charts/chart48.xml"/><Relationship Id="rId5" Type="http://schemas.openxmlformats.org/officeDocument/2006/relationships/chart" Target="../charts/chart49.xml"/><Relationship Id="rId6" Type="http://schemas.openxmlformats.org/officeDocument/2006/relationships/chart" Target="../charts/chart50.xml"/><Relationship Id="rId7" Type="http://schemas.openxmlformats.org/officeDocument/2006/relationships/chart" Target="../charts/chart51.xml"/><Relationship Id="rId8" Type="http://schemas.openxmlformats.org/officeDocument/2006/relationships/chart" Target="../charts/chart52.xml"/><Relationship Id="rId9" Type="http://schemas.openxmlformats.org/officeDocument/2006/relationships/chart" Target="../charts/chart53.xml"/><Relationship Id="rId10" Type="http://schemas.openxmlformats.org/officeDocument/2006/relationships/chart" Target="../charts/chart54.xml"/><Relationship Id="rId11" Type="http://schemas.openxmlformats.org/officeDocument/2006/relationships/chart" Target="../charts/chart55.xml"/>
</Relationships>
</file>

<file path=xl/drawings/_rels/drawing6.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
</Relationships>
</file>

<file path=xl/drawings/_rels/drawing7.xml.rels><?xml version="1.0" encoding="UTF-8"?>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4.png"/>
</Relationships>
</file>

<file path=xl/drawings/_rels/drawing8.xml.rels><?xml version="1.0" encoding="UTF-8"?>
<Relationships xmlns="http://schemas.openxmlformats.org/package/2006/relationships"><Relationship Id="rId1" Type="http://schemas.openxmlformats.org/officeDocument/2006/relationships/image" Target="../media/image3.png"/>
</Relationships>
</file>

<file path=xl/drawings/_rels/drawing10.xml.rels><?xml version="1.0" encoding="UTF-8"?>
<Relationships xmlns="http://schemas.openxmlformats.org/package/2006/relationships"><Relationship Id="rId1" Type="http://schemas.openxmlformats.org/officeDocument/2006/relationships/image" Target="../media/image2.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38160</xdr:colOff>
      <xdr:row>2</xdr:row>
      <xdr:rowOff>38160</xdr:rowOff>
    </xdr:from>
    <xdr:to>
      <xdr:col>4</xdr:col>
      <xdr:colOff>3960</xdr:colOff>
      <xdr:row>15</xdr:row>
      <xdr:rowOff>16560</xdr:rowOff>
    </xdr:to>
    <xdr:graphicFrame>
      <xdr:nvGraphicFramePr>
        <xdr:cNvPr id="1" name="Chart 4"/>
        <xdr:cNvGraphicFramePr/>
      </xdr:nvGraphicFramePr>
      <xdr:xfrm>
        <a:off x="38160" y="419040"/>
        <a:ext cx="4806360" cy="38170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95400</xdr:colOff>
      <xdr:row>2</xdr:row>
      <xdr:rowOff>28440</xdr:rowOff>
    </xdr:from>
    <xdr:to>
      <xdr:col>11</xdr:col>
      <xdr:colOff>480240</xdr:colOff>
      <xdr:row>15</xdr:row>
      <xdr:rowOff>27720</xdr:rowOff>
    </xdr:to>
    <xdr:graphicFrame>
      <xdr:nvGraphicFramePr>
        <xdr:cNvPr id="2" name="Chart 6"/>
        <xdr:cNvGraphicFramePr/>
      </xdr:nvGraphicFramePr>
      <xdr:xfrm>
        <a:off x="4935960" y="409320"/>
        <a:ext cx="4665600" cy="383796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31</xdr:row>
      <xdr:rowOff>28440</xdr:rowOff>
    </xdr:from>
    <xdr:to>
      <xdr:col>11</xdr:col>
      <xdr:colOff>442080</xdr:colOff>
      <xdr:row>45</xdr:row>
      <xdr:rowOff>99000</xdr:rowOff>
    </xdr:to>
    <xdr:graphicFrame>
      <xdr:nvGraphicFramePr>
        <xdr:cNvPr id="3" name="Chart 9"/>
        <xdr:cNvGraphicFramePr/>
      </xdr:nvGraphicFramePr>
      <xdr:xfrm>
        <a:off x="0" y="7296120"/>
        <a:ext cx="9563400" cy="27374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28440</xdr:colOff>
      <xdr:row>48</xdr:row>
      <xdr:rowOff>76320</xdr:rowOff>
    </xdr:from>
    <xdr:to>
      <xdr:col>11</xdr:col>
      <xdr:colOff>432360</xdr:colOff>
      <xdr:row>62</xdr:row>
      <xdr:rowOff>156240</xdr:rowOff>
    </xdr:to>
    <xdr:graphicFrame>
      <xdr:nvGraphicFramePr>
        <xdr:cNvPr id="4" name="Chart 11"/>
        <xdr:cNvGraphicFramePr/>
      </xdr:nvGraphicFramePr>
      <xdr:xfrm>
        <a:off x="28440" y="10582560"/>
        <a:ext cx="9525240" cy="274680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9360</xdr:colOff>
      <xdr:row>64</xdr:row>
      <xdr:rowOff>19080</xdr:rowOff>
    </xdr:from>
    <xdr:to>
      <xdr:col>11</xdr:col>
      <xdr:colOff>413280</xdr:colOff>
      <xdr:row>78</xdr:row>
      <xdr:rowOff>89640</xdr:rowOff>
    </xdr:to>
    <xdr:graphicFrame>
      <xdr:nvGraphicFramePr>
        <xdr:cNvPr id="5" name="Chart 13"/>
        <xdr:cNvGraphicFramePr/>
      </xdr:nvGraphicFramePr>
      <xdr:xfrm>
        <a:off x="9360" y="13573080"/>
        <a:ext cx="9525240" cy="273780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76320</xdr:colOff>
      <xdr:row>16</xdr:row>
      <xdr:rowOff>38160</xdr:rowOff>
    </xdr:from>
    <xdr:to>
      <xdr:col>3</xdr:col>
      <xdr:colOff>1283400</xdr:colOff>
      <xdr:row>28</xdr:row>
      <xdr:rowOff>175320</xdr:rowOff>
    </xdr:to>
    <xdr:graphicFrame>
      <xdr:nvGraphicFramePr>
        <xdr:cNvPr id="6" name="Chart 15"/>
        <xdr:cNvGraphicFramePr/>
      </xdr:nvGraphicFramePr>
      <xdr:xfrm>
        <a:off x="76320" y="4448160"/>
        <a:ext cx="4758480" cy="242316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4</xdr:col>
      <xdr:colOff>104760</xdr:colOff>
      <xdr:row>16</xdr:row>
      <xdr:rowOff>19080</xdr:rowOff>
    </xdr:from>
    <xdr:to>
      <xdr:col>11</xdr:col>
      <xdr:colOff>451440</xdr:colOff>
      <xdr:row>28</xdr:row>
      <xdr:rowOff>156240</xdr:rowOff>
    </xdr:to>
    <xdr:graphicFrame>
      <xdr:nvGraphicFramePr>
        <xdr:cNvPr id="7" name="Chart 16"/>
        <xdr:cNvGraphicFramePr/>
      </xdr:nvGraphicFramePr>
      <xdr:xfrm>
        <a:off x="4945320" y="4429080"/>
        <a:ext cx="4627440" cy="242316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11</xdr:col>
      <xdr:colOff>526680</xdr:colOff>
      <xdr:row>31</xdr:row>
      <xdr:rowOff>52200</xdr:rowOff>
    </xdr:from>
    <xdr:to>
      <xdr:col>14</xdr:col>
      <xdr:colOff>192960</xdr:colOff>
      <xdr:row>45</xdr:row>
      <xdr:rowOff>122760</xdr:rowOff>
    </xdr:to>
    <xdr:graphicFrame>
      <xdr:nvGraphicFramePr>
        <xdr:cNvPr id="8" name="Chart 18"/>
        <xdr:cNvGraphicFramePr/>
      </xdr:nvGraphicFramePr>
      <xdr:xfrm>
        <a:off x="9648000" y="7319880"/>
        <a:ext cx="2241000" cy="273744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12</xdr:col>
      <xdr:colOff>0</xdr:colOff>
      <xdr:row>48</xdr:row>
      <xdr:rowOff>76320</xdr:rowOff>
    </xdr:from>
    <xdr:to>
      <xdr:col>15</xdr:col>
      <xdr:colOff>1213200</xdr:colOff>
      <xdr:row>62</xdr:row>
      <xdr:rowOff>146880</xdr:rowOff>
    </xdr:to>
    <xdr:graphicFrame>
      <xdr:nvGraphicFramePr>
        <xdr:cNvPr id="9" name="Chart 19"/>
        <xdr:cNvGraphicFramePr/>
      </xdr:nvGraphicFramePr>
      <xdr:xfrm>
        <a:off x="9732600" y="10582560"/>
        <a:ext cx="4687200" cy="273744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11</xdr:col>
      <xdr:colOff>609480</xdr:colOff>
      <xdr:row>64</xdr:row>
      <xdr:rowOff>9360</xdr:rowOff>
    </xdr:from>
    <xdr:to>
      <xdr:col>15</xdr:col>
      <xdr:colOff>1241640</xdr:colOff>
      <xdr:row>78</xdr:row>
      <xdr:rowOff>79920</xdr:rowOff>
    </xdr:to>
    <xdr:graphicFrame>
      <xdr:nvGraphicFramePr>
        <xdr:cNvPr id="10" name="Chart 20"/>
        <xdr:cNvGraphicFramePr/>
      </xdr:nvGraphicFramePr>
      <xdr:xfrm>
        <a:off x="9730800" y="13563360"/>
        <a:ext cx="4717440" cy="273780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0</xdr:col>
      <xdr:colOff>19080</xdr:colOff>
      <xdr:row>81</xdr:row>
      <xdr:rowOff>28440</xdr:rowOff>
    </xdr:from>
    <xdr:to>
      <xdr:col>11</xdr:col>
      <xdr:colOff>403920</xdr:colOff>
      <xdr:row>97</xdr:row>
      <xdr:rowOff>22680</xdr:rowOff>
    </xdr:to>
    <xdr:graphicFrame>
      <xdr:nvGraphicFramePr>
        <xdr:cNvPr id="11" name="Chart 12"/>
        <xdr:cNvGraphicFramePr/>
      </xdr:nvGraphicFramePr>
      <xdr:xfrm>
        <a:off x="19080" y="16850880"/>
        <a:ext cx="9506160" cy="304236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12</xdr:col>
      <xdr:colOff>4320</xdr:colOff>
      <xdr:row>81</xdr:row>
      <xdr:rowOff>28440</xdr:rowOff>
    </xdr:from>
    <xdr:to>
      <xdr:col>15</xdr:col>
      <xdr:colOff>1222560</xdr:colOff>
      <xdr:row>97</xdr:row>
      <xdr:rowOff>22680</xdr:rowOff>
    </xdr:to>
    <xdr:graphicFrame>
      <xdr:nvGraphicFramePr>
        <xdr:cNvPr id="12" name="Chart 13"/>
        <xdr:cNvGraphicFramePr/>
      </xdr:nvGraphicFramePr>
      <xdr:xfrm>
        <a:off x="9736920" y="16850880"/>
        <a:ext cx="4692240" cy="304236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0</xdr:col>
      <xdr:colOff>91440</xdr:colOff>
      <xdr:row>98</xdr:row>
      <xdr:rowOff>0</xdr:rowOff>
    </xdr:from>
    <xdr:to>
      <xdr:col>2</xdr:col>
      <xdr:colOff>897120</xdr:colOff>
      <xdr:row>112</xdr:row>
      <xdr:rowOff>41760</xdr:rowOff>
    </xdr:to>
    <xdr:graphicFrame>
      <xdr:nvGraphicFramePr>
        <xdr:cNvPr id="13" name="Chart 14"/>
        <xdr:cNvGraphicFramePr/>
      </xdr:nvGraphicFramePr>
      <xdr:xfrm>
        <a:off x="91440" y="20061000"/>
        <a:ext cx="2856600" cy="270864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2</xdr:col>
      <xdr:colOff>1013400</xdr:colOff>
      <xdr:row>98</xdr:row>
      <xdr:rowOff>8280</xdr:rowOff>
    </xdr:from>
    <xdr:to>
      <xdr:col>5</xdr:col>
      <xdr:colOff>358560</xdr:colOff>
      <xdr:row>112</xdr:row>
      <xdr:rowOff>50040</xdr:rowOff>
    </xdr:to>
    <xdr:graphicFrame>
      <xdr:nvGraphicFramePr>
        <xdr:cNvPr id="14" name="Chart 15"/>
        <xdr:cNvGraphicFramePr/>
      </xdr:nvGraphicFramePr>
      <xdr:xfrm>
        <a:off x="3064320" y="20069280"/>
        <a:ext cx="2746440" cy="270864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5</xdr:col>
      <xdr:colOff>466200</xdr:colOff>
      <xdr:row>98</xdr:row>
      <xdr:rowOff>8280</xdr:rowOff>
    </xdr:from>
    <xdr:to>
      <xdr:col>13</xdr:col>
      <xdr:colOff>1298880</xdr:colOff>
      <xdr:row>112</xdr:row>
      <xdr:rowOff>69120</xdr:rowOff>
    </xdr:to>
    <xdr:graphicFrame>
      <xdr:nvGraphicFramePr>
        <xdr:cNvPr id="15" name="Chart 16"/>
        <xdr:cNvGraphicFramePr/>
      </xdr:nvGraphicFramePr>
      <xdr:xfrm>
        <a:off x="5918400" y="20069280"/>
        <a:ext cx="5505480" cy="272772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0</xdr:col>
      <xdr:colOff>66600</xdr:colOff>
      <xdr:row>115</xdr:row>
      <xdr:rowOff>85680</xdr:rowOff>
    </xdr:from>
    <xdr:to>
      <xdr:col>11</xdr:col>
      <xdr:colOff>394200</xdr:colOff>
      <xdr:row>131</xdr:row>
      <xdr:rowOff>175320</xdr:rowOff>
    </xdr:to>
    <xdr:graphicFrame>
      <xdr:nvGraphicFramePr>
        <xdr:cNvPr id="16" name="Chart 1"/>
        <xdr:cNvGraphicFramePr/>
      </xdr:nvGraphicFramePr>
      <xdr:xfrm>
        <a:off x="66600" y="23415120"/>
        <a:ext cx="9448920" cy="313740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12</xdr:col>
      <xdr:colOff>57240</xdr:colOff>
      <xdr:row>115</xdr:row>
      <xdr:rowOff>76320</xdr:rowOff>
    </xdr:from>
    <xdr:to>
      <xdr:col>15</xdr:col>
      <xdr:colOff>1241640</xdr:colOff>
      <xdr:row>131</xdr:row>
      <xdr:rowOff>184680</xdr:rowOff>
    </xdr:to>
    <xdr:graphicFrame>
      <xdr:nvGraphicFramePr>
        <xdr:cNvPr id="17" name="Chart 2"/>
        <xdr:cNvGraphicFramePr/>
      </xdr:nvGraphicFramePr>
      <xdr:xfrm>
        <a:off x="9789840" y="23405760"/>
        <a:ext cx="4658400" cy="315612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0</xdr:col>
      <xdr:colOff>57240</xdr:colOff>
      <xdr:row>132</xdr:row>
      <xdr:rowOff>76320</xdr:rowOff>
    </xdr:from>
    <xdr:to>
      <xdr:col>2</xdr:col>
      <xdr:colOff>851760</xdr:colOff>
      <xdr:row>146</xdr:row>
      <xdr:rowOff>146880</xdr:rowOff>
    </xdr:to>
    <xdr:graphicFrame>
      <xdr:nvGraphicFramePr>
        <xdr:cNvPr id="18" name="Chart 3"/>
        <xdr:cNvGraphicFramePr/>
      </xdr:nvGraphicFramePr>
      <xdr:xfrm>
        <a:off x="57240" y="26643960"/>
        <a:ext cx="2845440" cy="273780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2</xdr:col>
      <xdr:colOff>961920</xdr:colOff>
      <xdr:row>132</xdr:row>
      <xdr:rowOff>85680</xdr:rowOff>
    </xdr:from>
    <xdr:to>
      <xdr:col>5</xdr:col>
      <xdr:colOff>317880</xdr:colOff>
      <xdr:row>146</xdr:row>
      <xdr:rowOff>156240</xdr:rowOff>
    </xdr:to>
    <xdr:graphicFrame>
      <xdr:nvGraphicFramePr>
        <xdr:cNvPr id="19" name="Chart 4"/>
        <xdr:cNvGraphicFramePr/>
      </xdr:nvGraphicFramePr>
      <xdr:xfrm>
        <a:off x="3012840" y="26653320"/>
        <a:ext cx="2757240" cy="273780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oneCell">
    <xdr:from>
      <xdr:col>5</xdr:col>
      <xdr:colOff>399960</xdr:colOff>
      <xdr:row>132</xdr:row>
      <xdr:rowOff>76320</xdr:rowOff>
    </xdr:from>
    <xdr:to>
      <xdr:col>13</xdr:col>
      <xdr:colOff>1299240</xdr:colOff>
      <xdr:row>146</xdr:row>
      <xdr:rowOff>146880</xdr:rowOff>
    </xdr:to>
    <xdr:graphicFrame>
      <xdr:nvGraphicFramePr>
        <xdr:cNvPr id="20" name="Chart 5"/>
        <xdr:cNvGraphicFramePr/>
      </xdr:nvGraphicFramePr>
      <xdr:xfrm>
        <a:off x="5852160" y="26643960"/>
        <a:ext cx="5572080" cy="273780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editAs="oneCell">
    <xdr:from>
      <xdr:col>0</xdr:col>
      <xdr:colOff>76320</xdr:colOff>
      <xdr:row>150</xdr:row>
      <xdr:rowOff>47520</xdr:rowOff>
    </xdr:from>
    <xdr:to>
      <xdr:col>11</xdr:col>
      <xdr:colOff>423000</xdr:colOff>
      <xdr:row>164</xdr:row>
      <xdr:rowOff>118080</xdr:rowOff>
    </xdr:to>
    <xdr:graphicFrame>
      <xdr:nvGraphicFramePr>
        <xdr:cNvPr id="21" name="Chart 1"/>
        <xdr:cNvGraphicFramePr/>
      </xdr:nvGraphicFramePr>
      <xdr:xfrm>
        <a:off x="76320" y="30044160"/>
        <a:ext cx="9468000" cy="273780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editAs="oneCell">
    <xdr:from>
      <xdr:col>12</xdr:col>
      <xdr:colOff>0</xdr:colOff>
      <xdr:row>150</xdr:row>
      <xdr:rowOff>47520</xdr:rowOff>
    </xdr:from>
    <xdr:to>
      <xdr:col>15</xdr:col>
      <xdr:colOff>1213200</xdr:colOff>
      <xdr:row>164</xdr:row>
      <xdr:rowOff>118080</xdr:rowOff>
    </xdr:to>
    <xdr:graphicFrame>
      <xdr:nvGraphicFramePr>
        <xdr:cNvPr id="22" name="Chart 2"/>
        <xdr:cNvGraphicFramePr/>
      </xdr:nvGraphicFramePr>
      <xdr:xfrm>
        <a:off x="9732600" y="30044160"/>
        <a:ext cx="4687200" cy="273780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editAs="oneCell">
    <xdr:from>
      <xdr:col>0</xdr:col>
      <xdr:colOff>57240</xdr:colOff>
      <xdr:row>165</xdr:row>
      <xdr:rowOff>9360</xdr:rowOff>
    </xdr:from>
    <xdr:to>
      <xdr:col>11</xdr:col>
      <xdr:colOff>423000</xdr:colOff>
      <xdr:row>179</xdr:row>
      <xdr:rowOff>79920</xdr:rowOff>
    </xdr:to>
    <xdr:graphicFrame>
      <xdr:nvGraphicFramePr>
        <xdr:cNvPr id="23" name="Chart 3"/>
        <xdr:cNvGraphicFramePr/>
      </xdr:nvGraphicFramePr>
      <xdr:xfrm>
        <a:off x="57240" y="32863680"/>
        <a:ext cx="9487080" cy="273744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editAs="oneCell">
    <xdr:from>
      <xdr:col>11</xdr:col>
      <xdr:colOff>590400</xdr:colOff>
      <xdr:row>165</xdr:row>
      <xdr:rowOff>0</xdr:rowOff>
    </xdr:from>
    <xdr:to>
      <xdr:col>15</xdr:col>
      <xdr:colOff>1174680</xdr:colOff>
      <xdr:row>179</xdr:row>
      <xdr:rowOff>70560</xdr:rowOff>
    </xdr:to>
    <xdr:graphicFrame>
      <xdr:nvGraphicFramePr>
        <xdr:cNvPr id="24" name="Chart 4"/>
        <xdr:cNvGraphicFramePr/>
      </xdr:nvGraphicFramePr>
      <xdr:xfrm>
        <a:off x="9711720" y="32854320"/>
        <a:ext cx="4669560" cy="273744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editAs="oneCell">
    <xdr:from>
      <xdr:col>0</xdr:col>
      <xdr:colOff>33120</xdr:colOff>
      <xdr:row>182</xdr:row>
      <xdr:rowOff>49680</xdr:rowOff>
    </xdr:from>
    <xdr:to>
      <xdr:col>11</xdr:col>
      <xdr:colOff>408240</xdr:colOff>
      <xdr:row>196</xdr:row>
      <xdr:rowOff>126720</xdr:rowOff>
    </xdr:to>
    <xdr:graphicFrame>
      <xdr:nvGraphicFramePr>
        <xdr:cNvPr id="25" name="Chart 1"/>
        <xdr:cNvGraphicFramePr/>
      </xdr:nvGraphicFramePr>
      <xdr:xfrm>
        <a:off x="33120" y="36172440"/>
        <a:ext cx="9496440" cy="274392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editAs="oneCell">
    <xdr:from>
      <xdr:col>11</xdr:col>
      <xdr:colOff>591480</xdr:colOff>
      <xdr:row>182</xdr:row>
      <xdr:rowOff>57960</xdr:rowOff>
    </xdr:from>
    <xdr:to>
      <xdr:col>15</xdr:col>
      <xdr:colOff>1165320</xdr:colOff>
      <xdr:row>196</xdr:row>
      <xdr:rowOff>128520</xdr:rowOff>
    </xdr:to>
    <xdr:graphicFrame>
      <xdr:nvGraphicFramePr>
        <xdr:cNvPr id="26" name="Chart 2"/>
        <xdr:cNvGraphicFramePr/>
      </xdr:nvGraphicFramePr>
      <xdr:xfrm>
        <a:off x="9712800" y="36180720"/>
        <a:ext cx="4659120" cy="273744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editAs="oneCell">
    <xdr:from>
      <xdr:col>0</xdr:col>
      <xdr:colOff>33120</xdr:colOff>
      <xdr:row>197</xdr:row>
      <xdr:rowOff>16560</xdr:rowOff>
    </xdr:from>
    <xdr:to>
      <xdr:col>2</xdr:col>
      <xdr:colOff>965880</xdr:colOff>
      <xdr:row>211</xdr:row>
      <xdr:rowOff>87120</xdr:rowOff>
    </xdr:to>
    <xdr:graphicFrame>
      <xdr:nvGraphicFramePr>
        <xdr:cNvPr id="27" name="Chart 3"/>
        <xdr:cNvGraphicFramePr/>
      </xdr:nvGraphicFramePr>
      <xdr:xfrm>
        <a:off x="33120" y="38996640"/>
        <a:ext cx="2983680" cy="273744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editAs="oneCell">
    <xdr:from>
      <xdr:col>2</xdr:col>
      <xdr:colOff>1082880</xdr:colOff>
      <xdr:row>197</xdr:row>
      <xdr:rowOff>25920</xdr:rowOff>
    </xdr:from>
    <xdr:to>
      <xdr:col>5</xdr:col>
      <xdr:colOff>451440</xdr:colOff>
      <xdr:row>211</xdr:row>
      <xdr:rowOff>96480</xdr:rowOff>
    </xdr:to>
    <xdr:graphicFrame>
      <xdr:nvGraphicFramePr>
        <xdr:cNvPr id="28" name="Chart 4"/>
        <xdr:cNvGraphicFramePr/>
      </xdr:nvGraphicFramePr>
      <xdr:xfrm>
        <a:off x="3133800" y="39006000"/>
        <a:ext cx="2769840" cy="273744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editAs="oneCell">
    <xdr:from>
      <xdr:col>5</xdr:col>
      <xdr:colOff>529560</xdr:colOff>
      <xdr:row>197</xdr:row>
      <xdr:rowOff>35640</xdr:rowOff>
    </xdr:from>
    <xdr:to>
      <xdr:col>13</xdr:col>
      <xdr:colOff>1317960</xdr:colOff>
      <xdr:row>211</xdr:row>
      <xdr:rowOff>106200</xdr:rowOff>
    </xdr:to>
    <xdr:graphicFrame>
      <xdr:nvGraphicFramePr>
        <xdr:cNvPr id="29" name="Chart 5"/>
        <xdr:cNvGraphicFramePr/>
      </xdr:nvGraphicFramePr>
      <xdr:xfrm>
        <a:off x="5981760" y="39015720"/>
        <a:ext cx="5461200" cy="273744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editAs="oneCell">
    <xdr:from>
      <xdr:col>0</xdr:col>
      <xdr:colOff>23760</xdr:colOff>
      <xdr:row>213</xdr:row>
      <xdr:rowOff>31680</xdr:rowOff>
    </xdr:from>
    <xdr:to>
      <xdr:col>11</xdr:col>
      <xdr:colOff>414720</xdr:colOff>
      <xdr:row>227</xdr:row>
      <xdr:rowOff>102240</xdr:rowOff>
    </xdr:to>
    <xdr:graphicFrame>
      <xdr:nvGraphicFramePr>
        <xdr:cNvPr id="30" name="Chart 6"/>
        <xdr:cNvGraphicFramePr/>
      </xdr:nvGraphicFramePr>
      <xdr:xfrm>
        <a:off x="23760" y="42089760"/>
        <a:ext cx="9512280" cy="2737440"/>
      </xdr:xfrm>
      <a:graphic>
        <a:graphicData uri="http://schemas.openxmlformats.org/drawingml/2006/chart">
          <c:chart xmlns:c="http://schemas.openxmlformats.org/drawingml/2006/chart" xmlns:r="http://schemas.openxmlformats.org/officeDocument/2006/relationships" r:id="rId30"/>
        </a:graphicData>
      </a:graphic>
    </xdr:graphicFrame>
    <xdr:clientData/>
  </xdr:twoCellAnchor>
  <xdr:twoCellAnchor editAs="oneCell">
    <xdr:from>
      <xdr:col>12</xdr:col>
      <xdr:colOff>15840</xdr:colOff>
      <xdr:row>213</xdr:row>
      <xdr:rowOff>31680</xdr:rowOff>
    </xdr:from>
    <xdr:to>
      <xdr:col>15</xdr:col>
      <xdr:colOff>1251000</xdr:colOff>
      <xdr:row>227</xdr:row>
      <xdr:rowOff>102240</xdr:rowOff>
    </xdr:to>
    <xdr:graphicFrame>
      <xdr:nvGraphicFramePr>
        <xdr:cNvPr id="31" name="Chart 7"/>
        <xdr:cNvGraphicFramePr/>
      </xdr:nvGraphicFramePr>
      <xdr:xfrm>
        <a:off x="9748440" y="42089760"/>
        <a:ext cx="4709160" cy="2737440"/>
      </xdr:xfrm>
      <a:graphic>
        <a:graphicData uri="http://schemas.openxmlformats.org/drawingml/2006/chart">
          <c:chart xmlns:c="http://schemas.openxmlformats.org/drawingml/2006/chart" xmlns:r="http://schemas.openxmlformats.org/officeDocument/2006/relationships" r:id="rId31"/>
        </a:graphicData>
      </a:graphic>
    </xdr:graphicFrame>
    <xdr:clientData/>
  </xdr:twoCellAnchor>
  <xdr:twoCellAnchor editAs="oneCell">
    <xdr:from>
      <xdr:col>0</xdr:col>
      <xdr:colOff>23760</xdr:colOff>
      <xdr:row>228</xdr:row>
      <xdr:rowOff>15840</xdr:rowOff>
    </xdr:from>
    <xdr:to>
      <xdr:col>2</xdr:col>
      <xdr:colOff>908640</xdr:colOff>
      <xdr:row>242</xdr:row>
      <xdr:rowOff>86400</xdr:rowOff>
    </xdr:to>
    <xdr:graphicFrame>
      <xdr:nvGraphicFramePr>
        <xdr:cNvPr id="32" name="Chart 8"/>
        <xdr:cNvGraphicFramePr/>
      </xdr:nvGraphicFramePr>
      <xdr:xfrm>
        <a:off x="23760" y="44931240"/>
        <a:ext cx="2935800" cy="2737440"/>
      </xdr:xfrm>
      <a:graphic>
        <a:graphicData uri="http://schemas.openxmlformats.org/drawingml/2006/chart">
          <c:chart xmlns:c="http://schemas.openxmlformats.org/drawingml/2006/chart" xmlns:r="http://schemas.openxmlformats.org/officeDocument/2006/relationships" r:id="rId32"/>
        </a:graphicData>
      </a:graphic>
    </xdr:graphicFrame>
    <xdr:clientData/>
  </xdr:twoCellAnchor>
  <xdr:twoCellAnchor editAs="oneCell">
    <xdr:from>
      <xdr:col>2</xdr:col>
      <xdr:colOff>981000</xdr:colOff>
      <xdr:row>228</xdr:row>
      <xdr:rowOff>36360</xdr:rowOff>
    </xdr:from>
    <xdr:to>
      <xdr:col>5</xdr:col>
      <xdr:colOff>470520</xdr:colOff>
      <xdr:row>242</xdr:row>
      <xdr:rowOff>106920</xdr:rowOff>
    </xdr:to>
    <xdr:graphicFrame>
      <xdr:nvGraphicFramePr>
        <xdr:cNvPr id="33" name="Chart 9"/>
        <xdr:cNvGraphicFramePr/>
      </xdr:nvGraphicFramePr>
      <xdr:xfrm>
        <a:off x="3031920" y="44951760"/>
        <a:ext cx="2890800" cy="2737440"/>
      </xdr:xfrm>
      <a:graphic>
        <a:graphicData uri="http://schemas.openxmlformats.org/drawingml/2006/chart">
          <c:chart xmlns:c="http://schemas.openxmlformats.org/drawingml/2006/chart" xmlns:r="http://schemas.openxmlformats.org/officeDocument/2006/relationships" r:id="rId33"/>
        </a:graphicData>
      </a:graphic>
    </xdr:graphicFrame>
    <xdr:clientData/>
  </xdr:twoCellAnchor>
  <xdr:twoCellAnchor editAs="oneCell">
    <xdr:from>
      <xdr:col>5</xdr:col>
      <xdr:colOff>571680</xdr:colOff>
      <xdr:row>228</xdr:row>
      <xdr:rowOff>38160</xdr:rowOff>
    </xdr:from>
    <xdr:to>
      <xdr:col>13</xdr:col>
      <xdr:colOff>1289880</xdr:colOff>
      <xdr:row>242</xdr:row>
      <xdr:rowOff>108720</xdr:rowOff>
    </xdr:to>
    <xdr:graphicFrame>
      <xdr:nvGraphicFramePr>
        <xdr:cNvPr id="34" name="Chart 10"/>
        <xdr:cNvGraphicFramePr/>
      </xdr:nvGraphicFramePr>
      <xdr:xfrm>
        <a:off x="6023880" y="44953560"/>
        <a:ext cx="5391000" cy="2737440"/>
      </xdr:xfrm>
      <a:graphic>
        <a:graphicData uri="http://schemas.openxmlformats.org/drawingml/2006/chart">
          <c:chart xmlns:c="http://schemas.openxmlformats.org/drawingml/2006/chart" xmlns:r="http://schemas.openxmlformats.org/officeDocument/2006/relationships" r:id="rId34"/>
        </a:graphicData>
      </a:graphic>
    </xdr:graphicFrame>
    <xdr:clientData/>
  </xdr:twoCellAnchor>
  <xdr:twoCellAnchor editAs="oneCell">
    <xdr:from>
      <xdr:col>14</xdr:col>
      <xdr:colOff>281520</xdr:colOff>
      <xdr:row>31</xdr:row>
      <xdr:rowOff>49680</xdr:rowOff>
    </xdr:from>
    <xdr:to>
      <xdr:col>15</xdr:col>
      <xdr:colOff>1269360</xdr:colOff>
      <xdr:row>45</xdr:row>
      <xdr:rowOff>120240</xdr:rowOff>
    </xdr:to>
    <xdr:graphicFrame>
      <xdr:nvGraphicFramePr>
        <xdr:cNvPr id="35" name="Chart 35"/>
        <xdr:cNvGraphicFramePr/>
      </xdr:nvGraphicFramePr>
      <xdr:xfrm>
        <a:off x="11977560" y="7317360"/>
        <a:ext cx="2498400" cy="2737440"/>
      </xdr:xfrm>
      <a:graphic>
        <a:graphicData uri="http://schemas.openxmlformats.org/drawingml/2006/chart">
          <c:chart xmlns:c="http://schemas.openxmlformats.org/drawingml/2006/chart" xmlns:r="http://schemas.openxmlformats.org/officeDocument/2006/relationships" r:id="rId35"/>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38160</xdr:colOff>
      <xdr:row>1</xdr:row>
      <xdr:rowOff>38160</xdr:rowOff>
    </xdr:from>
    <xdr:to>
      <xdr:col>4</xdr:col>
      <xdr:colOff>156240</xdr:colOff>
      <xdr:row>8</xdr:row>
      <xdr:rowOff>146880</xdr:rowOff>
    </xdr:to>
    <xdr:graphicFrame>
      <xdr:nvGraphicFramePr>
        <xdr:cNvPr id="36" name="Chart 4"/>
        <xdr:cNvGraphicFramePr/>
      </xdr:nvGraphicFramePr>
      <xdr:xfrm>
        <a:off x="38160" y="288360"/>
        <a:ext cx="4958640" cy="21160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303480</xdr:colOff>
      <xdr:row>1</xdr:row>
      <xdr:rowOff>41400</xdr:rowOff>
    </xdr:from>
    <xdr:to>
      <xdr:col>9</xdr:col>
      <xdr:colOff>1440720</xdr:colOff>
      <xdr:row>8</xdr:row>
      <xdr:rowOff>178560</xdr:rowOff>
    </xdr:to>
    <xdr:graphicFrame>
      <xdr:nvGraphicFramePr>
        <xdr:cNvPr id="37" name="Chart 6"/>
        <xdr:cNvGraphicFramePr/>
      </xdr:nvGraphicFramePr>
      <xdr:xfrm>
        <a:off x="5144040" y="291600"/>
        <a:ext cx="5128920" cy="214452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74</xdr:row>
      <xdr:rowOff>28440</xdr:rowOff>
    </xdr:from>
    <xdr:to>
      <xdr:col>9</xdr:col>
      <xdr:colOff>1432440</xdr:colOff>
      <xdr:row>87</xdr:row>
      <xdr:rowOff>137160</xdr:rowOff>
    </xdr:to>
    <xdr:graphicFrame>
      <xdr:nvGraphicFramePr>
        <xdr:cNvPr id="38" name="Chart 9"/>
        <xdr:cNvGraphicFramePr/>
      </xdr:nvGraphicFramePr>
      <xdr:xfrm>
        <a:off x="0" y="15810840"/>
        <a:ext cx="10264680" cy="25851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95400</xdr:colOff>
      <xdr:row>8</xdr:row>
      <xdr:rowOff>237960</xdr:rowOff>
    </xdr:from>
    <xdr:to>
      <xdr:col>4</xdr:col>
      <xdr:colOff>165960</xdr:colOff>
      <xdr:row>15</xdr:row>
      <xdr:rowOff>12960</xdr:rowOff>
    </xdr:to>
    <xdr:graphicFrame>
      <xdr:nvGraphicFramePr>
        <xdr:cNvPr id="39" name="Chart 15"/>
        <xdr:cNvGraphicFramePr/>
      </xdr:nvGraphicFramePr>
      <xdr:xfrm>
        <a:off x="95400" y="2495520"/>
        <a:ext cx="4911120" cy="175212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4</xdr:col>
      <xdr:colOff>304920</xdr:colOff>
      <xdr:row>8</xdr:row>
      <xdr:rowOff>237960</xdr:rowOff>
    </xdr:from>
    <xdr:to>
      <xdr:col>9</xdr:col>
      <xdr:colOff>1423080</xdr:colOff>
      <xdr:row>15</xdr:row>
      <xdr:rowOff>22680</xdr:rowOff>
    </xdr:to>
    <xdr:graphicFrame>
      <xdr:nvGraphicFramePr>
        <xdr:cNvPr id="40" name="Chart 16"/>
        <xdr:cNvGraphicFramePr/>
      </xdr:nvGraphicFramePr>
      <xdr:xfrm>
        <a:off x="5145480" y="2495520"/>
        <a:ext cx="5109840" cy="176184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266760</xdr:colOff>
      <xdr:row>17</xdr:row>
      <xdr:rowOff>170280</xdr:rowOff>
    </xdr:from>
    <xdr:to>
      <xdr:col>7</xdr:col>
      <xdr:colOff>289440</xdr:colOff>
      <xdr:row>30</xdr:row>
      <xdr:rowOff>3960</xdr:rowOff>
    </xdr:to>
    <xdr:graphicFrame>
      <xdr:nvGraphicFramePr>
        <xdr:cNvPr id="41" name="Chart 16"/>
        <xdr:cNvGraphicFramePr/>
      </xdr:nvGraphicFramePr>
      <xdr:xfrm>
        <a:off x="266760" y="4845960"/>
        <a:ext cx="6760800" cy="234936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257040</xdr:colOff>
      <xdr:row>31</xdr:row>
      <xdr:rowOff>181080</xdr:rowOff>
    </xdr:from>
    <xdr:to>
      <xdr:col>7</xdr:col>
      <xdr:colOff>260640</xdr:colOff>
      <xdr:row>43</xdr:row>
      <xdr:rowOff>175320</xdr:rowOff>
    </xdr:to>
    <xdr:graphicFrame>
      <xdr:nvGraphicFramePr>
        <xdr:cNvPr id="42" name="Chart 5"/>
        <xdr:cNvGraphicFramePr/>
      </xdr:nvGraphicFramePr>
      <xdr:xfrm>
        <a:off x="257040" y="7562880"/>
        <a:ext cx="6741720" cy="231012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266760</xdr:colOff>
      <xdr:row>47</xdr:row>
      <xdr:rowOff>12600</xdr:rowOff>
    </xdr:from>
    <xdr:to>
      <xdr:col>7</xdr:col>
      <xdr:colOff>299160</xdr:colOff>
      <xdr:row>58</xdr:row>
      <xdr:rowOff>181080</xdr:rowOff>
    </xdr:to>
    <xdr:graphicFrame>
      <xdr:nvGraphicFramePr>
        <xdr:cNvPr id="43" name="Chart 29"/>
        <xdr:cNvGraphicFramePr/>
      </xdr:nvGraphicFramePr>
      <xdr:xfrm>
        <a:off x="266760" y="10532160"/>
        <a:ext cx="6770520" cy="229356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295200</xdr:colOff>
      <xdr:row>59</xdr:row>
      <xdr:rowOff>171360</xdr:rowOff>
    </xdr:from>
    <xdr:to>
      <xdr:col>7</xdr:col>
      <xdr:colOff>298800</xdr:colOff>
      <xdr:row>71</xdr:row>
      <xdr:rowOff>174960</xdr:rowOff>
    </xdr:to>
    <xdr:graphicFrame>
      <xdr:nvGraphicFramePr>
        <xdr:cNvPr id="44" name="Chart 34"/>
        <xdr:cNvGraphicFramePr/>
      </xdr:nvGraphicFramePr>
      <xdr:xfrm>
        <a:off x="295200" y="13006440"/>
        <a:ext cx="6741720" cy="231948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38160</xdr:colOff>
      <xdr:row>2</xdr:row>
      <xdr:rowOff>38160</xdr:rowOff>
    </xdr:from>
    <xdr:to>
      <xdr:col>4</xdr:col>
      <xdr:colOff>156240</xdr:colOff>
      <xdr:row>9</xdr:row>
      <xdr:rowOff>146880</xdr:rowOff>
    </xdr:to>
    <xdr:graphicFrame>
      <xdr:nvGraphicFramePr>
        <xdr:cNvPr id="45" name="Chart 4"/>
        <xdr:cNvGraphicFramePr/>
      </xdr:nvGraphicFramePr>
      <xdr:xfrm>
        <a:off x="38160" y="478800"/>
        <a:ext cx="4958640" cy="21160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303480</xdr:colOff>
      <xdr:row>2</xdr:row>
      <xdr:rowOff>41400</xdr:rowOff>
    </xdr:from>
    <xdr:to>
      <xdr:col>9</xdr:col>
      <xdr:colOff>1440720</xdr:colOff>
      <xdr:row>9</xdr:row>
      <xdr:rowOff>178560</xdr:rowOff>
    </xdr:to>
    <xdr:graphicFrame>
      <xdr:nvGraphicFramePr>
        <xdr:cNvPr id="46" name="Chart 6"/>
        <xdr:cNvGraphicFramePr/>
      </xdr:nvGraphicFramePr>
      <xdr:xfrm>
        <a:off x="5144040" y="482040"/>
        <a:ext cx="5013360" cy="214452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83</xdr:row>
      <xdr:rowOff>28440</xdr:rowOff>
    </xdr:from>
    <xdr:to>
      <xdr:col>9</xdr:col>
      <xdr:colOff>1432440</xdr:colOff>
      <xdr:row>96</xdr:row>
      <xdr:rowOff>137160</xdr:rowOff>
    </xdr:to>
    <xdr:graphicFrame>
      <xdr:nvGraphicFramePr>
        <xdr:cNvPr id="47" name="Chart 9"/>
        <xdr:cNvGraphicFramePr/>
      </xdr:nvGraphicFramePr>
      <xdr:xfrm>
        <a:off x="0" y="17551440"/>
        <a:ext cx="10149120" cy="25851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95400</xdr:colOff>
      <xdr:row>9</xdr:row>
      <xdr:rowOff>237960</xdr:rowOff>
    </xdr:from>
    <xdr:to>
      <xdr:col>4</xdr:col>
      <xdr:colOff>165960</xdr:colOff>
      <xdr:row>16</xdr:row>
      <xdr:rowOff>12960</xdr:rowOff>
    </xdr:to>
    <xdr:graphicFrame>
      <xdr:nvGraphicFramePr>
        <xdr:cNvPr id="48" name="Chart 15"/>
        <xdr:cNvGraphicFramePr/>
      </xdr:nvGraphicFramePr>
      <xdr:xfrm>
        <a:off x="95400" y="2685960"/>
        <a:ext cx="4911120" cy="175248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4</xdr:col>
      <xdr:colOff>304920</xdr:colOff>
      <xdr:row>9</xdr:row>
      <xdr:rowOff>237960</xdr:rowOff>
    </xdr:from>
    <xdr:to>
      <xdr:col>9</xdr:col>
      <xdr:colOff>1423080</xdr:colOff>
      <xdr:row>16</xdr:row>
      <xdr:rowOff>22680</xdr:rowOff>
    </xdr:to>
    <xdr:graphicFrame>
      <xdr:nvGraphicFramePr>
        <xdr:cNvPr id="49" name="Chart 16"/>
        <xdr:cNvGraphicFramePr/>
      </xdr:nvGraphicFramePr>
      <xdr:xfrm>
        <a:off x="5145480" y="2685960"/>
        <a:ext cx="4994280" cy="176220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66600</xdr:colOff>
      <xdr:row>97</xdr:row>
      <xdr:rowOff>95400</xdr:rowOff>
    </xdr:from>
    <xdr:to>
      <xdr:col>4</xdr:col>
      <xdr:colOff>184680</xdr:colOff>
      <xdr:row>109</xdr:row>
      <xdr:rowOff>5760</xdr:rowOff>
    </xdr:to>
    <xdr:graphicFrame>
      <xdr:nvGraphicFramePr>
        <xdr:cNvPr id="50" name="Chart 18"/>
        <xdr:cNvGraphicFramePr/>
      </xdr:nvGraphicFramePr>
      <xdr:xfrm>
        <a:off x="66600" y="20285280"/>
        <a:ext cx="4958640" cy="219636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266760</xdr:colOff>
      <xdr:row>56</xdr:row>
      <xdr:rowOff>12600</xdr:rowOff>
    </xdr:from>
    <xdr:to>
      <xdr:col>7</xdr:col>
      <xdr:colOff>299160</xdr:colOff>
      <xdr:row>67</xdr:row>
      <xdr:rowOff>180720</xdr:rowOff>
    </xdr:to>
    <xdr:graphicFrame>
      <xdr:nvGraphicFramePr>
        <xdr:cNvPr id="51" name="Chart 9"/>
        <xdr:cNvGraphicFramePr/>
      </xdr:nvGraphicFramePr>
      <xdr:xfrm>
        <a:off x="266760" y="12272400"/>
        <a:ext cx="6707520" cy="229356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295200</xdr:colOff>
      <xdr:row>68</xdr:row>
      <xdr:rowOff>171360</xdr:rowOff>
    </xdr:from>
    <xdr:to>
      <xdr:col>7</xdr:col>
      <xdr:colOff>298800</xdr:colOff>
      <xdr:row>80</xdr:row>
      <xdr:rowOff>174960</xdr:rowOff>
    </xdr:to>
    <xdr:graphicFrame>
      <xdr:nvGraphicFramePr>
        <xdr:cNvPr id="52" name="Chart 10"/>
        <xdr:cNvGraphicFramePr/>
      </xdr:nvGraphicFramePr>
      <xdr:xfrm>
        <a:off x="295200" y="14747040"/>
        <a:ext cx="6678720" cy="231948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4</xdr:col>
      <xdr:colOff>466560</xdr:colOff>
      <xdr:row>97</xdr:row>
      <xdr:rowOff>66600</xdr:rowOff>
    </xdr:from>
    <xdr:to>
      <xdr:col>9</xdr:col>
      <xdr:colOff>1548000</xdr:colOff>
      <xdr:row>109</xdr:row>
      <xdr:rowOff>5400</xdr:rowOff>
    </xdr:to>
    <xdr:graphicFrame>
      <xdr:nvGraphicFramePr>
        <xdr:cNvPr id="53" name="Chart 11"/>
        <xdr:cNvGraphicFramePr/>
      </xdr:nvGraphicFramePr>
      <xdr:xfrm>
        <a:off x="5307120" y="20256480"/>
        <a:ext cx="4957560" cy="222480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4</xdr:col>
      <xdr:colOff>173880</xdr:colOff>
      <xdr:row>19</xdr:row>
      <xdr:rowOff>66240</xdr:rowOff>
    </xdr:from>
    <xdr:to>
      <xdr:col>9</xdr:col>
      <xdr:colOff>1385640</xdr:colOff>
      <xdr:row>33</xdr:row>
      <xdr:rowOff>87120</xdr:rowOff>
    </xdr:to>
    <xdr:graphicFrame>
      <xdr:nvGraphicFramePr>
        <xdr:cNvPr id="54" name="Chart 15"/>
        <xdr:cNvGraphicFramePr/>
      </xdr:nvGraphicFramePr>
      <xdr:xfrm>
        <a:off x="5014440" y="5122800"/>
        <a:ext cx="5087880" cy="273528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0</xdr:col>
      <xdr:colOff>52560</xdr:colOff>
      <xdr:row>19</xdr:row>
      <xdr:rowOff>39240</xdr:rowOff>
    </xdr:from>
    <xdr:to>
      <xdr:col>4</xdr:col>
      <xdr:colOff>7560</xdr:colOff>
      <xdr:row>33</xdr:row>
      <xdr:rowOff>63720</xdr:rowOff>
    </xdr:to>
    <xdr:graphicFrame>
      <xdr:nvGraphicFramePr>
        <xdr:cNvPr id="55" name="Chart 17"/>
        <xdr:cNvGraphicFramePr/>
      </xdr:nvGraphicFramePr>
      <xdr:xfrm>
        <a:off x="52560" y="5095800"/>
        <a:ext cx="4795560" cy="273888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oneCell">
    <xdr:from>
      <xdr:col>17</xdr:col>
      <xdr:colOff>138240</xdr:colOff>
      <xdr:row>91</xdr:row>
      <xdr:rowOff>86760</xdr:rowOff>
    </xdr:from>
    <xdr:to>
      <xdr:col>23</xdr:col>
      <xdr:colOff>615960</xdr:colOff>
      <xdr:row>101</xdr:row>
      <xdr:rowOff>128520</xdr:rowOff>
    </xdr:to>
    <xdr:pic>
      <xdr:nvPicPr>
        <xdr:cNvPr id="56" name="Picture 1"/>
        <xdr:cNvPicPr/>
      </xdr:nvPicPr>
      <xdr:blipFill>
        <a:blip r:embed="rId1"/>
        <a:stretch/>
      </xdr:blipFill>
      <xdr:spPr>
        <a:xfrm>
          <a:off x="26518680" y="20836800"/>
          <a:ext cx="4344840" cy="1946520"/>
        </a:xfrm>
        <a:prstGeom prst="rect">
          <a:avLst/>
        </a:prstGeom>
        <a:noFill/>
        <a:ln w="0">
          <a:noFill/>
        </a:ln>
      </xdr:spPr>
    </xdr:pic>
    <xdr:clientData/>
  </xdr:twoCellAnchor>
  <xdr:twoCellAnchor editAs="oneCell">
    <xdr:from>
      <xdr:col>17</xdr:col>
      <xdr:colOff>167400</xdr:colOff>
      <xdr:row>53</xdr:row>
      <xdr:rowOff>123840</xdr:rowOff>
    </xdr:from>
    <xdr:to>
      <xdr:col>21</xdr:col>
      <xdr:colOff>326520</xdr:colOff>
      <xdr:row>66</xdr:row>
      <xdr:rowOff>289440</xdr:rowOff>
    </xdr:to>
    <xdr:pic>
      <xdr:nvPicPr>
        <xdr:cNvPr id="57" name="Picture 2"/>
        <xdr:cNvPicPr/>
      </xdr:nvPicPr>
      <xdr:blipFill>
        <a:blip r:embed="rId2"/>
        <a:stretch/>
      </xdr:blipFill>
      <xdr:spPr>
        <a:xfrm>
          <a:off x="26547840" y="11418120"/>
          <a:ext cx="2737080" cy="3243960"/>
        </a:xfrm>
        <a:prstGeom prst="rect">
          <a:avLst/>
        </a:prstGeom>
        <a:noFill/>
        <a:ln w="0">
          <a:noFill/>
        </a:ln>
      </xdr:spPr>
    </xdr:pic>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oneCell">
    <xdr:from>
      <xdr:col>14</xdr:col>
      <xdr:colOff>7560</xdr:colOff>
      <xdr:row>12</xdr:row>
      <xdr:rowOff>39600</xdr:rowOff>
    </xdr:from>
    <xdr:to>
      <xdr:col>22</xdr:col>
      <xdr:colOff>58680</xdr:colOff>
      <xdr:row>28</xdr:row>
      <xdr:rowOff>23760</xdr:rowOff>
    </xdr:to>
    <xdr:pic>
      <xdr:nvPicPr>
        <xdr:cNvPr id="58" name="Picture 1"/>
        <xdr:cNvPicPr/>
      </xdr:nvPicPr>
      <xdr:blipFill>
        <a:blip r:embed="rId1"/>
        <a:stretch/>
      </xdr:blipFill>
      <xdr:spPr>
        <a:xfrm>
          <a:off x="17214840" y="2325600"/>
          <a:ext cx="5613120" cy="3032280"/>
        </a:xfrm>
        <a:prstGeom prst="rect">
          <a:avLst/>
        </a:prstGeom>
        <a:noFill/>
        <a:ln w="0">
          <a:noFill/>
        </a:ln>
      </xdr:spPr>
    </xdr:pic>
    <xdr:clientData/>
  </xdr:twoCellAnchor>
  <xdr:twoCellAnchor editAs="oneCell">
    <xdr:from>
      <xdr:col>14</xdr:col>
      <xdr:colOff>29520</xdr:colOff>
      <xdr:row>30</xdr:row>
      <xdr:rowOff>147240</xdr:rowOff>
    </xdr:from>
    <xdr:to>
      <xdr:col>22</xdr:col>
      <xdr:colOff>56160</xdr:colOff>
      <xdr:row>41</xdr:row>
      <xdr:rowOff>90720</xdr:rowOff>
    </xdr:to>
    <xdr:pic>
      <xdr:nvPicPr>
        <xdr:cNvPr id="59" name="Picture 2"/>
        <xdr:cNvPicPr/>
      </xdr:nvPicPr>
      <xdr:blipFill>
        <a:blip r:embed="rId2"/>
        <a:stretch/>
      </xdr:blipFill>
      <xdr:spPr>
        <a:xfrm>
          <a:off x="17236800" y="5862240"/>
          <a:ext cx="5588640" cy="2039040"/>
        </a:xfrm>
        <a:prstGeom prst="rect">
          <a:avLst/>
        </a:prstGeom>
        <a:noFill/>
        <a:ln w="0">
          <a:noFill/>
        </a:ln>
      </xdr:spPr>
    </xdr:pic>
    <xdr:clientData/>
  </xdr:twoCellAnchor>
</xdr:wsDr>
</file>

<file path=xl/drawings/drawing8.xml><?xml version="1.0" encoding="utf-8"?>
<xdr:wsDr xmlns:xdr="http://schemas.openxmlformats.org/drawingml/2006/spreadsheetDrawing" xmlns:a="http://schemas.openxmlformats.org/drawingml/2006/main" xmlns:r="http://schemas.openxmlformats.org/officeDocument/2006/relationships">
  <xdr:twoCellAnchor editAs="absolute">
    <xdr:from>
      <xdr:col>8</xdr:col>
      <xdr:colOff>181440</xdr:colOff>
      <xdr:row>3</xdr:row>
      <xdr:rowOff>10080</xdr:rowOff>
    </xdr:from>
    <xdr:to>
      <xdr:col>14</xdr:col>
      <xdr:colOff>524880</xdr:colOff>
      <xdr:row>18</xdr:row>
      <xdr:rowOff>185040</xdr:rowOff>
    </xdr:to>
    <xdr:pic>
      <xdr:nvPicPr>
        <xdr:cNvPr id="60" name="Picture 1" hidden="1"/>
        <xdr:cNvPicPr/>
      </xdr:nvPicPr>
      <xdr:blipFill>
        <a:blip r:embed="rId1"/>
        <a:stretch/>
      </xdr:blipFill>
      <xdr:spPr>
        <a:xfrm>
          <a:off x="12648240" y="581760"/>
          <a:ext cx="5626800" cy="3032280"/>
        </a:xfrm>
        <a:prstGeom prst="rect">
          <a:avLst/>
        </a:prstGeom>
        <a:noFill/>
        <a:ln w="0">
          <a:noFill/>
        </a:ln>
      </xdr:spPr>
    </xdr:pic>
    <xdr:clientData/>
  </xdr:twoCellAnchor>
</xdr:wsDr>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xdr:twoCellAnchor editAs="oneCell">
    <xdr:from>
      <xdr:col>15</xdr:col>
      <xdr:colOff>234720</xdr:colOff>
      <xdr:row>10</xdr:row>
      <xdr:rowOff>4680</xdr:rowOff>
    </xdr:from>
    <xdr:to>
      <xdr:col>19</xdr:col>
      <xdr:colOff>536040</xdr:colOff>
      <xdr:row>28</xdr:row>
      <xdr:rowOff>40320</xdr:rowOff>
    </xdr:to>
    <xdr:pic>
      <xdr:nvPicPr>
        <xdr:cNvPr id="61" name="Picture 1"/>
        <xdr:cNvPicPr/>
      </xdr:nvPicPr>
      <xdr:blipFill>
        <a:blip r:embed="rId1"/>
        <a:stretch/>
      </xdr:blipFill>
      <xdr:spPr>
        <a:xfrm>
          <a:off x="19750320" y="1909800"/>
          <a:ext cx="2747160" cy="346464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4.xml"/><Relationship Id="rId3" Type="http://schemas.openxmlformats.org/officeDocument/2006/relationships/vmlDrawing" Target="../drawings/vmlDrawing1.v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5.xml"/><Relationship Id="rId3" Type="http://schemas.openxmlformats.org/officeDocument/2006/relationships/vmlDrawing" Target="../drawings/vmlDrawing2.vml"/>
</Relationships>
</file>

<file path=xl/worksheets/_rels/sheet11.xml.rels><?xml version="1.0" encoding="UTF-8"?>
<Relationships xmlns="http://schemas.openxmlformats.org/package/2006/relationships"><Relationship Id="rId1" Type="http://schemas.openxmlformats.org/officeDocument/2006/relationships/drawing" Target="../drawings/drawing6.xml"/>
</Relationships>
</file>

<file path=xl/worksheets/_rels/sheet12.xml.rels><?xml version="1.0" encoding="UTF-8"?>
<Relationships xmlns="http://schemas.openxmlformats.org/package/2006/relationships"><Relationship Id="rId1" Type="http://schemas.openxmlformats.org/officeDocument/2006/relationships/drawing" Target="../drawings/drawing7.xml"/>
</Relationships>
</file>

<file path=xl/worksheets/_rels/sheet13.xml.rels><?xml version="1.0" encoding="UTF-8"?>
<Relationships xmlns="http://schemas.openxmlformats.org/package/2006/relationships"><Relationship Id="rId1" Type="http://schemas.openxmlformats.org/officeDocument/2006/relationships/drawing" Target="../drawings/drawing8.xml"/>
</Relationships>
</file>

<file path=xl/worksheets/_rels/sheet14.xml.rels><?xml version="1.0" encoding="UTF-8"?>
<Relationships xmlns="http://schemas.openxmlformats.org/package/2006/relationships"><Relationship Id="rId1" Type="http://schemas.openxmlformats.org/officeDocument/2006/relationships/drawing" Target="../drawings/drawing9.xml"/>
</Relationships>
</file>

<file path=xl/worksheets/_rels/sheet16.xml.rels><?xml version="1.0" encoding="UTF-8"?>
<Relationships xmlns="http://schemas.openxmlformats.org/package/2006/relationships"><Relationship Id="rId1" Type="http://schemas.openxmlformats.org/officeDocument/2006/relationships/drawing" Target="../drawings/drawing10.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52"/>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selection pane="topLeft" activeCell="B2" activeCellId="0" sqref="B2"/>
    </sheetView>
  </sheetViews>
  <sheetFormatPr defaultColWidth="8.6796875" defaultRowHeight="15" customHeight="false" zeroHeight="false" outlineLevelRow="0" outlineLevelCol="0"/>
  <cols>
    <col collapsed="false" customWidth="true" hidden="false" outlineLevel="0" max="1" min="1" style="1" width="6.57"/>
    <col collapsed="false" customWidth="true" hidden="false" outlineLevel="0" max="2" min="2" style="1" width="12.86"/>
    <col collapsed="false" customWidth="true" hidden="false" outlineLevel="0" max="3" min="3" style="1" width="14.57"/>
    <col collapsed="false" customWidth="true" hidden="false" outlineLevel="0" max="4" min="4" style="1" width="15.29"/>
    <col collapsed="false" customWidth="true" hidden="false" outlineLevel="0" max="12" min="5" style="1" width="14.57"/>
    <col collapsed="false" customWidth="true" hidden="false" outlineLevel="0" max="13" min="13" style="1" width="15.29"/>
    <col collapsed="false" customWidth="true" hidden="false" outlineLevel="0" max="14" min="14" style="1" width="15.14"/>
    <col collapsed="false" customWidth="true" hidden="false" outlineLevel="0" max="16" min="15" style="1" width="13.57"/>
  </cols>
  <sheetData>
    <row r="1" customFormat="false" ht="15" hidden="false" customHeight="false" outlineLevel="0" collapsed="false">
      <c r="A1" s="2" t="s">
        <v>0</v>
      </c>
      <c r="B1" s="2" t="n">
        <v>2026</v>
      </c>
    </row>
    <row r="2" customFormat="false" ht="15" hidden="false" customHeight="false" outlineLevel="0" collapsed="false">
      <c r="A2" s="3" t="s">
        <v>1</v>
      </c>
    </row>
    <row r="3" customFormat="false" ht="15" hidden="false" customHeight="false" outlineLevel="0" collapsed="false">
      <c r="D3" s="3" t="s">
        <v>2</v>
      </c>
      <c r="E3" s="3"/>
      <c r="G3" s="3" t="s">
        <v>3</v>
      </c>
      <c r="H3" s="3"/>
      <c r="J3" s="3" t="s">
        <v>4</v>
      </c>
      <c r="K3" s="3"/>
      <c r="M3" s="3" t="s">
        <v>5</v>
      </c>
    </row>
    <row r="4" customFormat="false" ht="15" hidden="false" customHeight="false" outlineLevel="0" collapsed="false">
      <c r="A4" s="3" t="s">
        <v>6</v>
      </c>
      <c r="B4" s="3" t="s">
        <v>7</v>
      </c>
      <c r="D4" s="4" t="s">
        <v>8</v>
      </c>
      <c r="E4" s="4" t="s">
        <v>9</v>
      </c>
      <c r="G4" s="4" t="s">
        <v>8</v>
      </c>
      <c r="H4" s="4" t="s">
        <v>9</v>
      </c>
      <c r="J4" s="4" t="s">
        <v>8</v>
      </c>
      <c r="K4" s="4" t="s">
        <v>9</v>
      </c>
      <c r="M4" s="4" t="s">
        <v>8</v>
      </c>
      <c r="N4" s="4" t="s">
        <v>9</v>
      </c>
    </row>
    <row r="5" customFormat="false" ht="15" hidden="false" customHeight="false" outlineLevel="0" collapsed="false">
      <c r="A5" s="1" t="n">
        <v>1</v>
      </c>
      <c r="B5" s="5" t="s">
        <v>10</v>
      </c>
      <c r="D5" s="6" t="e">
        <f aca="false">#ref!</f>
        <v>#NAME?</v>
      </c>
      <c r="E5" s="6" t="e">
        <f aca="false">#ref!</f>
        <v>#NAME?</v>
      </c>
      <c r="G5" s="6" t="e">
        <f aca="false">#ref!</f>
        <v>#NAME?</v>
      </c>
      <c r="H5" s="6" t="e">
        <f aca="false">#ref!</f>
        <v>#NAME?</v>
      </c>
      <c r="J5" s="6" t="e">
        <f aca="false">#ref!</f>
        <v>#NAME?</v>
      </c>
      <c r="K5" s="6" t="e">
        <f aca="false">#ref!</f>
        <v>#NAME?</v>
      </c>
      <c r="M5" s="6" t="e">
        <f aca="false">#ref!</f>
        <v>#NAME?</v>
      </c>
      <c r="N5" s="6" t="e">
        <f aca="false">#ref!</f>
        <v>#NAME?</v>
      </c>
    </row>
    <row r="6" customFormat="false" ht="15" hidden="false" customHeight="false" outlineLevel="0" collapsed="false">
      <c r="A6" s="1" t="n">
        <v>2</v>
      </c>
      <c r="B6" s="5" t="str">
        <f aca="true">IF(YEAR(TODAY())=$B$1, IF(A6&lt;MONTH(TODAY()), "","X"), IF(A6&lt;&gt;12, "","X"))</f>
        <v/>
      </c>
      <c r="D6" s="6" t="e">
        <f aca="false">#ref!</f>
        <v>#NAME?</v>
      </c>
      <c r="E6" s="6" t="e">
        <f aca="false">#ref!</f>
        <v>#NAME?</v>
      </c>
      <c r="G6" s="6" t="e">
        <f aca="false">#ref!</f>
        <v>#NAME?</v>
      </c>
      <c r="H6" s="6" t="e">
        <f aca="false">#ref!</f>
        <v>#NAME?</v>
      </c>
      <c r="J6" s="6" t="e">
        <f aca="false">#ref!</f>
        <v>#NAME?</v>
      </c>
      <c r="K6" s="6" t="e">
        <f aca="false">#ref!</f>
        <v>#NAME?</v>
      </c>
      <c r="M6" s="6" t="e">
        <f aca="false">#ref!</f>
        <v>#NAME?</v>
      </c>
      <c r="N6" s="6" t="e">
        <f aca="false">#ref!</f>
        <v>#NAME?</v>
      </c>
    </row>
    <row r="7" customFormat="false" ht="15" hidden="false" customHeight="false" outlineLevel="0" collapsed="false">
      <c r="A7" s="1" t="n">
        <v>3</v>
      </c>
      <c r="B7" s="5" t="str">
        <f aca="true">IF(YEAR(TODAY())=$B$1, IF(A7&lt;MONTH(TODAY()), "","X"), IF(A7&lt;&gt;12, "","X"))</f>
        <v/>
      </c>
      <c r="D7" s="6" t="e">
        <f aca="false">#ref!</f>
        <v>#NAME?</v>
      </c>
      <c r="E7" s="6" t="e">
        <f aca="false">#ref!</f>
        <v>#NAME?</v>
      </c>
      <c r="G7" s="6" t="e">
        <f aca="false">#ref!</f>
        <v>#NAME?</v>
      </c>
      <c r="H7" s="6" t="e">
        <f aca="false">#ref!</f>
        <v>#NAME?</v>
      </c>
      <c r="J7" s="6" t="e">
        <f aca="false">#ref!</f>
        <v>#NAME?</v>
      </c>
      <c r="K7" s="6" t="e">
        <f aca="false">#ref!</f>
        <v>#NAME?</v>
      </c>
      <c r="M7" s="6" t="e">
        <f aca="false">#ref!</f>
        <v>#NAME?</v>
      </c>
      <c r="N7" s="6" t="e">
        <f aca="false">#ref!</f>
        <v>#NAME?</v>
      </c>
    </row>
    <row r="8" customFormat="false" ht="15" hidden="false" customHeight="false" outlineLevel="0" collapsed="false">
      <c r="A8" s="1" t="n">
        <v>4</v>
      </c>
      <c r="B8" s="5" t="str">
        <f aca="true">IF(YEAR(TODAY())=$B$1, IF(A8&lt;MONTH(TODAY()), "","X"), IF(A8&lt;&gt;12, "","X"))</f>
        <v/>
      </c>
      <c r="D8" s="6" t="e">
        <f aca="false">#ref!</f>
        <v>#NAME?</v>
      </c>
      <c r="E8" s="6" t="e">
        <f aca="false">#ref!</f>
        <v>#NAME?</v>
      </c>
      <c r="G8" s="6" t="e">
        <f aca="false">#ref!</f>
        <v>#NAME?</v>
      </c>
      <c r="H8" s="6" t="e">
        <f aca="false">#ref!</f>
        <v>#NAME?</v>
      </c>
      <c r="J8" s="6" t="e">
        <f aca="false">#ref!</f>
        <v>#NAME?</v>
      </c>
      <c r="K8" s="6" t="e">
        <f aca="false">#ref!</f>
        <v>#NAME?</v>
      </c>
      <c r="M8" s="6" t="e">
        <f aca="false">#ref!</f>
        <v>#NAME?</v>
      </c>
      <c r="N8" s="6" t="e">
        <f aca="false">#ref!</f>
        <v>#NAME?</v>
      </c>
    </row>
    <row r="9" customFormat="false" ht="15" hidden="false" customHeight="false" outlineLevel="0" collapsed="false">
      <c r="A9" s="1" t="n">
        <v>5</v>
      </c>
      <c r="B9" s="5" t="str">
        <f aca="true">IF(YEAR(TODAY())=$B$1, IF(A9&lt;MONTH(TODAY()), "","X"), IF(A9&lt;&gt;12, "","X"))</f>
        <v/>
      </c>
      <c r="D9" s="6" t="e">
        <f aca="false">#ref!</f>
        <v>#NAME?</v>
      </c>
      <c r="E9" s="6" t="e">
        <f aca="false">#ref!</f>
        <v>#NAME?</v>
      </c>
      <c r="G9" s="6" t="e">
        <f aca="false">#ref!</f>
        <v>#NAME?</v>
      </c>
      <c r="H9" s="6" t="e">
        <f aca="false">#ref!</f>
        <v>#NAME?</v>
      </c>
      <c r="J9" s="6" t="e">
        <f aca="false">#ref!</f>
        <v>#NAME?</v>
      </c>
      <c r="K9" s="6" t="e">
        <f aca="false">#ref!</f>
        <v>#NAME?</v>
      </c>
      <c r="M9" s="6" t="e">
        <f aca="false">#ref!</f>
        <v>#NAME?</v>
      </c>
      <c r="N9" s="6" t="e">
        <f aca="false">#ref!</f>
        <v>#NAME?</v>
      </c>
    </row>
    <row r="10" customFormat="false" ht="15" hidden="false" customHeight="false" outlineLevel="0" collapsed="false">
      <c r="A10" s="1" t="n">
        <v>6</v>
      </c>
      <c r="B10" s="5" t="str">
        <f aca="true">IF(YEAR(TODAY())=$B$1, IF(A10&lt;MONTH(TODAY()), "","X"), IF(A10&lt;&gt;12, "","X"))</f>
        <v/>
      </c>
      <c r="D10" s="6" t="e">
        <f aca="false">#ref!</f>
        <v>#NAME?</v>
      </c>
      <c r="E10" s="6" t="e">
        <f aca="false">#ref!</f>
        <v>#NAME?</v>
      </c>
      <c r="G10" s="6" t="e">
        <f aca="false">#ref!</f>
        <v>#NAME?</v>
      </c>
      <c r="H10" s="6" t="e">
        <f aca="false">#ref!</f>
        <v>#NAME?</v>
      </c>
      <c r="J10" s="6" t="e">
        <f aca="false">#ref!</f>
        <v>#NAME?</v>
      </c>
      <c r="K10" s="6" t="e">
        <f aca="false">#ref!</f>
        <v>#NAME?</v>
      </c>
      <c r="M10" s="6" t="e">
        <f aca="false">#ref!</f>
        <v>#NAME?</v>
      </c>
      <c r="N10" s="6" t="e">
        <f aca="false">#ref!</f>
        <v>#NAME?</v>
      </c>
    </row>
    <row r="11" customFormat="false" ht="15" hidden="false" customHeight="false" outlineLevel="0" collapsed="false">
      <c r="A11" s="1" t="n">
        <v>7</v>
      </c>
      <c r="B11" s="5" t="str">
        <f aca="true">IF(YEAR(TODAY())=$B$1, IF(A11&lt;MONTH(TODAY()), "","X"), IF(A11&lt;&gt;12, "","X"))</f>
        <v/>
      </c>
      <c r="D11" s="6" t="e">
        <f aca="false">#ref!</f>
        <v>#NAME?</v>
      </c>
      <c r="E11" s="6" t="e">
        <f aca="false">#ref!</f>
        <v>#NAME?</v>
      </c>
      <c r="G11" s="6" t="e">
        <f aca="false">#ref!</f>
        <v>#NAME?</v>
      </c>
      <c r="H11" s="6" t="e">
        <f aca="false">#ref!</f>
        <v>#NAME?</v>
      </c>
      <c r="J11" s="6" t="e">
        <f aca="false">#ref!</f>
        <v>#NAME?</v>
      </c>
      <c r="K11" s="6" t="e">
        <f aca="false">#ref!</f>
        <v>#NAME?</v>
      </c>
      <c r="M11" s="6" t="e">
        <f aca="false">#ref!</f>
        <v>#NAME?</v>
      </c>
      <c r="N11" s="6" t="e">
        <f aca="false">#ref!</f>
        <v>#NAME?</v>
      </c>
    </row>
    <row r="12" customFormat="false" ht="15" hidden="false" customHeight="false" outlineLevel="0" collapsed="false">
      <c r="A12" s="1" t="n">
        <v>8</v>
      </c>
      <c r="B12" s="5" t="str">
        <f aca="true">IF(YEAR(TODAY())=$B$1, IF(A12&lt;MONTH(TODAY()), "","X"), IF(A12&lt;&gt;12, "","X"))</f>
        <v/>
      </c>
      <c r="D12" s="6" t="e">
        <f aca="false">#ref!</f>
        <v>#NAME?</v>
      </c>
      <c r="E12" s="6" t="e">
        <f aca="false">#ref!</f>
        <v>#NAME?</v>
      </c>
      <c r="G12" s="6" t="e">
        <f aca="false">#ref!</f>
        <v>#NAME?</v>
      </c>
      <c r="H12" s="6" t="e">
        <f aca="false">#ref!</f>
        <v>#NAME?</v>
      </c>
      <c r="J12" s="6" t="e">
        <f aca="false">#ref!</f>
        <v>#NAME?</v>
      </c>
      <c r="K12" s="6" t="e">
        <f aca="false">#ref!</f>
        <v>#NAME?</v>
      </c>
      <c r="M12" s="6" t="e">
        <f aca="false">#ref!</f>
        <v>#NAME?</v>
      </c>
      <c r="N12" s="6" t="e">
        <f aca="false">#ref!</f>
        <v>#NAME?</v>
      </c>
    </row>
    <row r="13" customFormat="false" ht="15" hidden="false" customHeight="false" outlineLevel="0" collapsed="false">
      <c r="A13" s="1" t="n">
        <v>9</v>
      </c>
      <c r="B13" s="5" t="str">
        <f aca="true">IF(YEAR(TODAY())=$B$1, IF(A13&lt;MONTH(TODAY()), "","X"), IF(A13&lt;&gt;12, "","X"))</f>
        <v>X</v>
      </c>
      <c r="D13" s="6" t="e">
        <f aca="false">#ref!</f>
        <v>#NAME?</v>
      </c>
      <c r="E13" s="6" t="e">
        <f aca="false">#ref!</f>
        <v>#NAME?</v>
      </c>
      <c r="G13" s="6" t="e">
        <f aca="false">#ref!</f>
        <v>#NAME?</v>
      </c>
      <c r="H13" s="6" t="e">
        <f aca="false">#ref!</f>
        <v>#NAME?</v>
      </c>
      <c r="J13" s="6" t="e">
        <f aca="false">#ref!</f>
        <v>#NAME?</v>
      </c>
      <c r="K13" s="6" t="e">
        <f aca="false">#ref!</f>
        <v>#NAME?</v>
      </c>
      <c r="M13" s="6" t="e">
        <f aca="false">#ref!</f>
        <v>#NAME?</v>
      </c>
      <c r="N13" s="6" t="e">
        <f aca="false">#ref!</f>
        <v>#NAME?</v>
      </c>
    </row>
    <row r="14" customFormat="false" ht="15" hidden="false" customHeight="false" outlineLevel="0" collapsed="false">
      <c r="A14" s="1" t="n">
        <v>10</v>
      </c>
      <c r="B14" s="5" t="str">
        <f aca="true">IF(YEAR(TODAY())=$B$1, IF(A14&lt;MONTH(TODAY()), "","X"), IF(A14&lt;&gt;12, "","X"))</f>
        <v>X</v>
      </c>
      <c r="D14" s="6" t="e">
        <f aca="false">#ref!</f>
        <v>#NAME?</v>
      </c>
      <c r="E14" s="6" t="e">
        <f aca="false">#ref!</f>
        <v>#NAME?</v>
      </c>
      <c r="G14" s="6" t="e">
        <f aca="false">#ref!</f>
        <v>#NAME?</v>
      </c>
      <c r="H14" s="6" t="e">
        <f aca="false">#ref!</f>
        <v>#NAME?</v>
      </c>
      <c r="J14" s="6" t="e">
        <f aca="false">#ref!</f>
        <v>#NAME?</v>
      </c>
      <c r="K14" s="6" t="e">
        <f aca="false">#ref!</f>
        <v>#NAME?</v>
      </c>
      <c r="M14" s="6" t="e">
        <f aca="false">#ref!</f>
        <v>#NAME?</v>
      </c>
      <c r="N14" s="6" t="e">
        <f aca="false">#ref!</f>
        <v>#NAME?</v>
      </c>
    </row>
    <row r="15" customFormat="false" ht="15" hidden="false" customHeight="false" outlineLevel="0" collapsed="false">
      <c r="A15" s="1" t="n">
        <v>11</v>
      </c>
      <c r="B15" s="5" t="str">
        <f aca="true">IF(YEAR(TODAY())=$B$1, IF(A15&lt;MONTH(TODAY()), "","X"), IF(A15&lt;&gt;12, "","X"))</f>
        <v>X</v>
      </c>
      <c r="D15" s="6" t="e">
        <f aca="false">#ref!</f>
        <v>#NAME?</v>
      </c>
      <c r="E15" s="6" t="e">
        <f aca="false">#ref!</f>
        <v>#NAME?</v>
      </c>
      <c r="G15" s="6" t="e">
        <f aca="false">#ref!</f>
        <v>#NAME?</v>
      </c>
      <c r="H15" s="6" t="e">
        <f aca="false">#ref!</f>
        <v>#NAME?</v>
      </c>
      <c r="J15" s="6" t="e">
        <f aca="false">#ref!</f>
        <v>#NAME?</v>
      </c>
      <c r="K15" s="6" t="e">
        <f aca="false">#ref!</f>
        <v>#NAME?</v>
      </c>
      <c r="M15" s="6" t="e">
        <f aca="false">#ref!</f>
        <v>#NAME?</v>
      </c>
      <c r="N15" s="6" t="e">
        <f aca="false">#ref!</f>
        <v>#NAME?</v>
      </c>
    </row>
    <row r="16" customFormat="false" ht="15" hidden="false" customHeight="false" outlineLevel="0" collapsed="false">
      <c r="A16" s="1" t="n">
        <v>12</v>
      </c>
      <c r="B16" s="5" t="str">
        <f aca="true">IF(YEAR(TODAY())=$B$1, IF(A16&lt;MONTH(TODAY()), "","X"), IF(A16&lt;&gt;12, "","X"))</f>
        <v>X</v>
      </c>
      <c r="D16" s="6" t="e">
        <f aca="false">#ref!</f>
        <v>#NAME?</v>
      </c>
      <c r="E16" s="6" t="e">
        <f aca="false">#ref!</f>
        <v>#NAME?</v>
      </c>
      <c r="G16" s="6" t="e">
        <f aca="false">#ref!</f>
        <v>#NAME?</v>
      </c>
      <c r="H16" s="6" t="e">
        <f aca="false">#ref!</f>
        <v>#NAME?</v>
      </c>
      <c r="J16" s="6" t="e">
        <f aca="false">#ref!</f>
        <v>#NAME?</v>
      </c>
      <c r="K16" s="6" t="e">
        <f aca="false">#ref!</f>
        <v>#NAME?</v>
      </c>
      <c r="M16" s="6" t="e">
        <f aca="false">#ref!</f>
        <v>#NAME?</v>
      </c>
      <c r="N16" s="6" t="e">
        <f aca="false">#ref!</f>
        <v>#NAME?</v>
      </c>
    </row>
    <row r="17" customFormat="false" ht="15" hidden="false" customHeight="false" outlineLevel="0" collapsed="false">
      <c r="A17" s="3" t="s">
        <v>11</v>
      </c>
      <c r="B17" s="3"/>
      <c r="D17" s="7" t="e">
        <f aca="false">SUMIF($B$5:$B$16, "X", D5:D16)</f>
        <v>#NAME?</v>
      </c>
      <c r="E17" s="7" t="e">
        <f aca="false">SUMIF($B$5:$B$16, "", E5:E16)</f>
        <v>#NAME?</v>
      </c>
      <c r="G17" s="7" t="e">
        <f aca="false">SUMIF($B$5:$B$16, "X", G5:G16)</f>
        <v>#NAME?</v>
      </c>
      <c r="H17" s="7" t="e">
        <f aca="false">SUMIF($B$5:$B$16, "", H5:H16)</f>
        <v>#NAME?</v>
      </c>
      <c r="J17" s="7" t="e">
        <f aca="false">SUMIF($B$5:$B$16, "X", J5:J16)</f>
        <v>#NAME?</v>
      </c>
      <c r="K17" s="7" t="e">
        <f aca="false">SUMIF($B$5:$B$16, "", K5:K16)</f>
        <v>#NAME?</v>
      </c>
      <c r="M17" s="7" t="e">
        <f aca="false">SUMIF($B$5:$B$16, "X", M5:M16)</f>
        <v>#NAME?</v>
      </c>
      <c r="N17" s="7" t="e">
        <f aca="false">SUMIF($B$5:$B$16, "", N5:N16)</f>
        <v>#NAME?</v>
      </c>
    </row>
    <row r="19" customFormat="false" ht="15" hidden="false" customHeight="false" outlineLevel="0" collapsed="false">
      <c r="A19" s="3" t="s">
        <v>12</v>
      </c>
    </row>
    <row r="20" customFormat="false" ht="15" hidden="false" customHeight="false" outlineLevel="0" collapsed="false">
      <c r="D20" s="3" t="s">
        <v>2</v>
      </c>
      <c r="E20" s="3"/>
      <c r="G20" s="3" t="s">
        <v>3</v>
      </c>
      <c r="H20" s="3"/>
      <c r="J20" s="3" t="s">
        <v>4</v>
      </c>
      <c r="K20" s="3"/>
      <c r="M20" s="3" t="s">
        <v>5</v>
      </c>
    </row>
    <row r="21" customFormat="false" ht="15" hidden="false" customHeight="false" outlineLevel="0" collapsed="false">
      <c r="A21" s="3" t="s">
        <v>6</v>
      </c>
      <c r="B21" s="3" t="s">
        <v>7</v>
      </c>
      <c r="D21" s="4" t="s">
        <v>8</v>
      </c>
      <c r="E21" s="4" t="s">
        <v>9</v>
      </c>
      <c r="G21" s="4" t="s">
        <v>8</v>
      </c>
      <c r="H21" s="4" t="s">
        <v>9</v>
      </c>
      <c r="J21" s="4" t="s">
        <v>8</v>
      </c>
      <c r="K21" s="4" t="s">
        <v>9</v>
      </c>
      <c r="M21" s="4" t="s">
        <v>8</v>
      </c>
      <c r="N21" s="4" t="s">
        <v>9</v>
      </c>
    </row>
    <row r="22" customFormat="false" ht="15" hidden="false" customHeight="false" outlineLevel="0" collapsed="false">
      <c r="A22" s="1" t="n">
        <v>1</v>
      </c>
      <c r="B22" s="5" t="s">
        <v>10</v>
      </c>
      <c r="D22" s="6" t="e">
        <f aca="false">#ref!</f>
        <v>#NAME?</v>
      </c>
      <c r="E22" s="6" t="e">
        <f aca="false">#ref!</f>
        <v>#NAME?</v>
      </c>
      <c r="G22" s="6" t="e">
        <f aca="false">#ref!</f>
        <v>#NAME?</v>
      </c>
      <c r="H22" s="6" t="e">
        <f aca="false">#ref!</f>
        <v>#NAME?</v>
      </c>
      <c r="J22" s="6" t="e">
        <f aca="false">#ref!</f>
        <v>#NAME?</v>
      </c>
      <c r="K22" s="6" t="e">
        <f aca="false">#ref!</f>
        <v>#NAME?</v>
      </c>
      <c r="M22" s="6" t="e">
        <f aca="false">#ref!</f>
        <v>#NAME?</v>
      </c>
      <c r="N22" s="6" t="e">
        <f aca="false">#ref!</f>
        <v>#NAME?</v>
      </c>
    </row>
    <row r="23" customFormat="false" ht="15" hidden="false" customHeight="false" outlineLevel="0" collapsed="false">
      <c r="A23" s="1" t="n">
        <v>2</v>
      </c>
      <c r="B23" s="5" t="str">
        <f aca="true">IF(YEAR(TODAY())=$B$1, IF(A23&lt;MONTH(TODAY()), "","X"), IF(A23&lt;&gt;12, "","X"))</f>
        <v/>
      </c>
      <c r="D23" s="6" t="e">
        <f aca="false">#ref!</f>
        <v>#NAME?</v>
      </c>
      <c r="E23" s="6" t="e">
        <f aca="false">#ref!</f>
        <v>#NAME?</v>
      </c>
      <c r="G23" s="6" t="e">
        <f aca="false">#ref!</f>
        <v>#NAME?</v>
      </c>
      <c r="H23" s="6" t="e">
        <f aca="false">#ref!</f>
        <v>#NAME?</v>
      </c>
      <c r="J23" s="6" t="e">
        <f aca="false">#ref!</f>
        <v>#NAME?</v>
      </c>
      <c r="K23" s="6" t="e">
        <f aca="false">#ref!</f>
        <v>#NAME?</v>
      </c>
      <c r="M23" s="6" t="e">
        <f aca="false">#ref!</f>
        <v>#NAME?</v>
      </c>
      <c r="N23" s="6" t="e">
        <f aca="false">#ref!</f>
        <v>#NAME?</v>
      </c>
    </row>
    <row r="24" customFormat="false" ht="15" hidden="false" customHeight="false" outlineLevel="0" collapsed="false">
      <c r="A24" s="1" t="n">
        <v>3</v>
      </c>
      <c r="B24" s="5" t="str">
        <f aca="true">IF(YEAR(TODAY())=$B$1, IF(A24&lt;MONTH(TODAY()), "","X"), IF(A24&lt;&gt;12, "","X"))</f>
        <v/>
      </c>
      <c r="D24" s="6" t="e">
        <f aca="false">#ref!</f>
        <v>#NAME?</v>
      </c>
      <c r="E24" s="6" t="e">
        <f aca="false">#ref!</f>
        <v>#NAME?</v>
      </c>
      <c r="G24" s="6" t="e">
        <f aca="false">#ref!</f>
        <v>#NAME?</v>
      </c>
      <c r="H24" s="6" t="e">
        <f aca="false">#ref!</f>
        <v>#NAME?</v>
      </c>
      <c r="J24" s="6" t="e">
        <f aca="false">#ref!</f>
        <v>#NAME?</v>
      </c>
      <c r="K24" s="6" t="e">
        <f aca="false">#ref!</f>
        <v>#NAME?</v>
      </c>
      <c r="M24" s="6" t="e">
        <f aca="false">#ref!</f>
        <v>#NAME?</v>
      </c>
      <c r="N24" s="6" t="e">
        <f aca="false">#ref!</f>
        <v>#NAME?</v>
      </c>
    </row>
    <row r="25" customFormat="false" ht="15" hidden="false" customHeight="false" outlineLevel="0" collapsed="false">
      <c r="A25" s="1" t="n">
        <v>4</v>
      </c>
      <c r="B25" s="5" t="str">
        <f aca="true">IF(YEAR(TODAY())=$B$1, IF(A25&lt;MONTH(TODAY()), "","X"), IF(A25&lt;&gt;12, "","X"))</f>
        <v/>
      </c>
      <c r="D25" s="6" t="e">
        <f aca="false">#ref!</f>
        <v>#NAME?</v>
      </c>
      <c r="E25" s="6" t="e">
        <f aca="false">#ref!</f>
        <v>#NAME?</v>
      </c>
      <c r="G25" s="6" t="e">
        <f aca="false">#ref!</f>
        <v>#NAME?</v>
      </c>
      <c r="H25" s="6" t="e">
        <f aca="false">#ref!</f>
        <v>#NAME?</v>
      </c>
      <c r="J25" s="6" t="e">
        <f aca="false">#ref!</f>
        <v>#NAME?</v>
      </c>
      <c r="K25" s="6" t="e">
        <f aca="false">#ref!</f>
        <v>#NAME?</v>
      </c>
      <c r="M25" s="6" t="e">
        <f aca="false">#ref!</f>
        <v>#NAME?</v>
      </c>
      <c r="N25" s="6" t="e">
        <f aca="false">#ref!</f>
        <v>#NAME?</v>
      </c>
    </row>
    <row r="26" customFormat="false" ht="15" hidden="false" customHeight="false" outlineLevel="0" collapsed="false">
      <c r="A26" s="1" t="n">
        <v>5</v>
      </c>
      <c r="B26" s="5" t="str">
        <f aca="true">IF(YEAR(TODAY())=$B$1, IF(A26&lt;MONTH(TODAY()), "","X"), IF(A26&lt;&gt;12, "","X"))</f>
        <v/>
      </c>
      <c r="D26" s="6" t="e">
        <f aca="false">#ref!</f>
        <v>#NAME?</v>
      </c>
      <c r="E26" s="6" t="e">
        <f aca="false">#ref!</f>
        <v>#NAME?</v>
      </c>
      <c r="G26" s="6" t="e">
        <f aca="false">#ref!</f>
        <v>#NAME?</v>
      </c>
      <c r="H26" s="6" t="e">
        <f aca="false">#ref!</f>
        <v>#NAME?</v>
      </c>
      <c r="J26" s="6" t="e">
        <f aca="false">#ref!</f>
        <v>#NAME?</v>
      </c>
      <c r="K26" s="6" t="e">
        <f aca="false">#ref!</f>
        <v>#NAME?</v>
      </c>
      <c r="M26" s="6" t="e">
        <f aca="false">#ref!</f>
        <v>#NAME?</v>
      </c>
      <c r="N26" s="6" t="e">
        <f aca="false">#ref!</f>
        <v>#NAME?</v>
      </c>
    </row>
    <row r="27" customFormat="false" ht="15" hidden="false" customHeight="false" outlineLevel="0" collapsed="false">
      <c r="A27" s="1" t="n">
        <v>6</v>
      </c>
      <c r="B27" s="5" t="str">
        <f aca="true">IF(YEAR(TODAY())=$B$1, IF(A27&lt;MONTH(TODAY()), "","X"), IF(A27&lt;&gt;12, "","X"))</f>
        <v/>
      </c>
      <c r="D27" s="6" t="e">
        <f aca="false">#ref!</f>
        <v>#NAME?</v>
      </c>
      <c r="E27" s="6" t="e">
        <f aca="false">#ref!</f>
        <v>#NAME?</v>
      </c>
      <c r="G27" s="6" t="e">
        <f aca="false">#ref!</f>
        <v>#NAME?</v>
      </c>
      <c r="H27" s="6" t="e">
        <f aca="false">#ref!</f>
        <v>#NAME?</v>
      </c>
      <c r="J27" s="6" t="e">
        <f aca="false">#ref!</f>
        <v>#NAME?</v>
      </c>
      <c r="K27" s="6" t="e">
        <f aca="false">#ref!</f>
        <v>#NAME?</v>
      </c>
      <c r="M27" s="6" t="e">
        <f aca="false">#ref!</f>
        <v>#NAME?</v>
      </c>
      <c r="N27" s="6" t="e">
        <f aca="false">#ref!</f>
        <v>#NAME?</v>
      </c>
    </row>
    <row r="28" customFormat="false" ht="15" hidden="false" customHeight="false" outlineLevel="0" collapsed="false">
      <c r="A28" s="1" t="n">
        <v>7</v>
      </c>
      <c r="B28" s="5" t="str">
        <f aca="true">IF(YEAR(TODAY())=$B$1, IF(A28&lt;MONTH(TODAY()), "","X"), IF(A28&lt;&gt;12, "","X"))</f>
        <v/>
      </c>
      <c r="D28" s="6" t="e">
        <f aca="false">#ref!</f>
        <v>#NAME?</v>
      </c>
      <c r="E28" s="6" t="e">
        <f aca="false">#ref!</f>
        <v>#NAME?</v>
      </c>
      <c r="G28" s="6" t="e">
        <f aca="false">#ref!</f>
        <v>#NAME?</v>
      </c>
      <c r="H28" s="6" t="e">
        <f aca="false">#ref!</f>
        <v>#NAME?</v>
      </c>
      <c r="J28" s="6" t="e">
        <f aca="false">#ref!</f>
        <v>#NAME?</v>
      </c>
      <c r="K28" s="6" t="e">
        <f aca="false">#ref!</f>
        <v>#NAME?</v>
      </c>
      <c r="M28" s="6" t="e">
        <f aca="false">#ref!</f>
        <v>#NAME?</v>
      </c>
      <c r="N28" s="6" t="e">
        <f aca="false">#ref!</f>
        <v>#NAME?</v>
      </c>
    </row>
    <row r="29" customFormat="false" ht="15" hidden="false" customHeight="false" outlineLevel="0" collapsed="false">
      <c r="A29" s="1" t="n">
        <v>8</v>
      </c>
      <c r="B29" s="5" t="str">
        <f aca="true">IF(YEAR(TODAY())=$B$1, IF(A29&lt;MONTH(TODAY()), "","X"), IF(A29&lt;&gt;12, "","X"))</f>
        <v/>
      </c>
      <c r="D29" s="6" t="e">
        <f aca="false">#ref!</f>
        <v>#NAME?</v>
      </c>
      <c r="E29" s="6" t="e">
        <f aca="false">#ref!</f>
        <v>#NAME?</v>
      </c>
      <c r="G29" s="6" t="e">
        <f aca="false">#ref!</f>
        <v>#NAME?</v>
      </c>
      <c r="H29" s="6" t="e">
        <f aca="false">#ref!</f>
        <v>#NAME?</v>
      </c>
      <c r="J29" s="6" t="e">
        <f aca="false">#ref!</f>
        <v>#NAME?</v>
      </c>
      <c r="K29" s="6" t="e">
        <f aca="false">#ref!</f>
        <v>#NAME?</v>
      </c>
      <c r="M29" s="6" t="e">
        <f aca="false">#ref!</f>
        <v>#NAME?</v>
      </c>
      <c r="N29" s="6" t="e">
        <f aca="false">#ref!</f>
        <v>#NAME?</v>
      </c>
    </row>
    <row r="30" customFormat="false" ht="15" hidden="false" customHeight="false" outlineLevel="0" collapsed="false">
      <c r="A30" s="1" t="n">
        <v>9</v>
      </c>
      <c r="B30" s="5" t="str">
        <f aca="true">IF(YEAR(TODAY())=$B$1, IF(A30&lt;MONTH(TODAY()), "","X"), IF(A30&lt;&gt;12, "","X"))</f>
        <v>X</v>
      </c>
      <c r="D30" s="6" t="e">
        <f aca="false">#ref!</f>
        <v>#NAME?</v>
      </c>
      <c r="E30" s="6" t="e">
        <f aca="false">#ref!</f>
        <v>#NAME?</v>
      </c>
      <c r="G30" s="6" t="e">
        <f aca="false">#ref!</f>
        <v>#NAME?</v>
      </c>
      <c r="H30" s="6" t="e">
        <f aca="false">#ref!</f>
        <v>#NAME?</v>
      </c>
      <c r="J30" s="6" t="e">
        <f aca="false">#ref!</f>
        <v>#NAME?</v>
      </c>
      <c r="K30" s="6" t="e">
        <f aca="false">#ref!</f>
        <v>#NAME?</v>
      </c>
      <c r="M30" s="6" t="e">
        <f aca="false">#ref!</f>
        <v>#NAME?</v>
      </c>
      <c r="N30" s="6" t="e">
        <f aca="false">#ref!</f>
        <v>#NAME?</v>
      </c>
    </row>
    <row r="31" customFormat="false" ht="15" hidden="false" customHeight="false" outlineLevel="0" collapsed="false">
      <c r="A31" s="1" t="n">
        <v>10</v>
      </c>
      <c r="B31" s="5" t="str">
        <f aca="true">IF(YEAR(TODAY())=$B$1, IF(A31&lt;MONTH(TODAY()), "","X"), IF(A31&lt;&gt;12, "","X"))</f>
        <v>X</v>
      </c>
      <c r="D31" s="6" t="e">
        <f aca="false">#ref!</f>
        <v>#NAME?</v>
      </c>
      <c r="E31" s="6" t="e">
        <f aca="false">#ref!</f>
        <v>#NAME?</v>
      </c>
      <c r="G31" s="6" t="e">
        <f aca="false">#ref!</f>
        <v>#NAME?</v>
      </c>
      <c r="H31" s="6" t="e">
        <f aca="false">#ref!</f>
        <v>#NAME?</v>
      </c>
      <c r="J31" s="6" t="e">
        <f aca="false">#ref!</f>
        <v>#NAME?</v>
      </c>
      <c r="K31" s="6" t="e">
        <f aca="false">#ref!</f>
        <v>#NAME?</v>
      </c>
      <c r="M31" s="6" t="e">
        <f aca="false">#ref!</f>
        <v>#NAME?</v>
      </c>
      <c r="N31" s="6" t="e">
        <f aca="false">#ref!</f>
        <v>#NAME?</v>
      </c>
    </row>
    <row r="32" customFormat="false" ht="15" hidden="false" customHeight="false" outlineLevel="0" collapsed="false">
      <c r="A32" s="1" t="n">
        <v>11</v>
      </c>
      <c r="B32" s="5" t="str">
        <f aca="true">IF(YEAR(TODAY())=$B$1, IF(A32&lt;MONTH(TODAY()), "","X"), IF(A32&lt;&gt;12, "","X"))</f>
        <v>X</v>
      </c>
      <c r="D32" s="6" t="e">
        <f aca="false">#ref!</f>
        <v>#NAME?</v>
      </c>
      <c r="E32" s="6" t="e">
        <f aca="false">#ref!</f>
        <v>#NAME?</v>
      </c>
      <c r="G32" s="6" t="e">
        <f aca="false">#ref!</f>
        <v>#NAME?</v>
      </c>
      <c r="H32" s="6" t="e">
        <f aca="false">#ref!</f>
        <v>#NAME?</v>
      </c>
      <c r="J32" s="6" t="e">
        <f aca="false">#ref!</f>
        <v>#NAME?</v>
      </c>
      <c r="K32" s="6" t="e">
        <f aca="false">#ref!</f>
        <v>#NAME?</v>
      </c>
      <c r="M32" s="6" t="e">
        <f aca="false">#ref!</f>
        <v>#NAME?</v>
      </c>
      <c r="N32" s="6" t="e">
        <f aca="false">#ref!</f>
        <v>#NAME?</v>
      </c>
    </row>
    <row r="33" customFormat="false" ht="15" hidden="false" customHeight="false" outlineLevel="0" collapsed="false">
      <c r="A33" s="1" t="n">
        <v>12</v>
      </c>
      <c r="B33" s="5" t="str">
        <f aca="true">IF(YEAR(TODAY())=$B$1, IF(A33&lt;MONTH(TODAY()), "","X"), IF(A33&lt;&gt;12, "","X"))</f>
        <v>X</v>
      </c>
      <c r="D33" s="6" t="e">
        <f aca="false">#ref!</f>
        <v>#NAME?</v>
      </c>
      <c r="E33" s="6" t="e">
        <f aca="false">#ref!</f>
        <v>#NAME?</v>
      </c>
      <c r="G33" s="6" t="e">
        <f aca="false">#ref!</f>
        <v>#NAME?</v>
      </c>
      <c r="H33" s="6" t="e">
        <f aca="false">#ref!</f>
        <v>#NAME?</v>
      </c>
      <c r="J33" s="6" t="e">
        <f aca="false">#ref!</f>
        <v>#NAME?</v>
      </c>
      <c r="K33" s="6" t="e">
        <f aca="false">#ref!</f>
        <v>#NAME?</v>
      </c>
      <c r="M33" s="6" t="e">
        <f aca="false">#ref!</f>
        <v>#NAME?</v>
      </c>
      <c r="N33" s="6" t="e">
        <f aca="false">#ref!</f>
        <v>#NAME?</v>
      </c>
    </row>
    <row r="34" customFormat="false" ht="15" hidden="false" customHeight="false" outlineLevel="0" collapsed="false">
      <c r="A34" s="3" t="s">
        <v>11</v>
      </c>
      <c r="B34" s="3"/>
      <c r="D34" s="7" t="e">
        <f aca="false">SUMIF($B$22:$B$33, "X", D22:D33)</f>
        <v>#NAME?</v>
      </c>
      <c r="E34" s="7" t="e">
        <f aca="false">SUMIF($B$22:$B$33, "", E22:E33)</f>
        <v>#NAME?</v>
      </c>
      <c r="G34" s="7" t="e">
        <f aca="false">SUMIF($B$22:$B$33, "X", G22:G33)</f>
        <v>#NAME?</v>
      </c>
      <c r="H34" s="7" t="e">
        <f aca="false">SUMIF($B$22:$B$33, "", H22:H33)</f>
        <v>#NAME?</v>
      </c>
      <c r="J34" s="7" t="e">
        <f aca="false">SUMIF($B$22:$B$33, "X", J22:J33)</f>
        <v>#NAME?</v>
      </c>
      <c r="K34" s="7" t="e">
        <f aca="false">SUMIF($B$22:$B$33, "", K22:K33)</f>
        <v>#NAME?</v>
      </c>
      <c r="M34" s="7" t="e">
        <f aca="false">SUMIF($B$22:$B$33, "X", M22:M33)</f>
        <v>#NAME?</v>
      </c>
      <c r="N34" s="7" t="e">
        <f aca="false">SUMIF($B$22:$B$33, "", N22:N33)</f>
        <v>#NAME?</v>
      </c>
    </row>
    <row r="36" customFormat="false" ht="15" hidden="false" customHeight="false" outlineLevel="0" collapsed="false">
      <c r="A36" s="3" t="s">
        <v>13</v>
      </c>
    </row>
    <row r="37" customFormat="false" ht="15" hidden="false" customHeight="false" outlineLevel="0" collapsed="false">
      <c r="A37" s="3"/>
    </row>
    <row r="38" customFormat="false" ht="15" hidden="false" customHeight="false" outlineLevel="0" collapsed="false">
      <c r="C38" s="3" t="s">
        <v>3</v>
      </c>
      <c r="D38" s="3"/>
      <c r="E38" s="3"/>
      <c r="F38" s="3"/>
      <c r="G38" s="3" t="s">
        <v>4</v>
      </c>
      <c r="H38" s="3"/>
      <c r="I38" s="3"/>
      <c r="K38" s="3" t="s">
        <v>5</v>
      </c>
    </row>
    <row r="39" customFormat="false" ht="15" hidden="false" customHeight="false" outlineLevel="0" collapsed="false">
      <c r="A39" s="3" t="s">
        <v>6</v>
      </c>
      <c r="B39" s="3" t="s">
        <v>7</v>
      </c>
      <c r="C39" s="4" t="s">
        <v>8</v>
      </c>
      <c r="D39" s="4" t="s">
        <v>9</v>
      </c>
      <c r="E39" s="4"/>
      <c r="F39" s="4"/>
      <c r="G39" s="4" t="s">
        <v>8</v>
      </c>
      <c r="H39" s="4" t="s">
        <v>9</v>
      </c>
      <c r="I39" s="4"/>
      <c r="J39" s="4"/>
      <c r="K39" s="4" t="s">
        <v>8</v>
      </c>
      <c r="L39" s="4" t="s">
        <v>9</v>
      </c>
    </row>
    <row r="40" customFormat="false" ht="15" hidden="false" customHeight="false" outlineLevel="0" collapsed="false">
      <c r="A40" s="1" t="n">
        <v>1</v>
      </c>
      <c r="B40" s="5" t="str">
        <f aca="true">IF(YEAR(TODAY())=$B$1, IF(A40&lt;MONTH(TODAY()), "","X"), IF(A40&lt;&gt;12, "","X"))</f>
        <v/>
      </c>
      <c r="C40" s="6" t="e">
        <f aca="false">#ref!</f>
        <v>#NAME?</v>
      </c>
      <c r="D40" s="6" t="e">
        <f aca="false">#ref!</f>
        <v>#NAME?</v>
      </c>
      <c r="E40" s="6"/>
      <c r="F40" s="6"/>
      <c r="G40" s="6" t="e">
        <f aca="false">#ref!</f>
        <v>#NAME?</v>
      </c>
      <c r="H40" s="6" t="e">
        <f aca="false">#ref!</f>
        <v>#NAME?</v>
      </c>
      <c r="I40" s="6"/>
      <c r="J40" s="6"/>
      <c r="K40" s="6" t="e">
        <f aca="false">#ref!</f>
        <v>#NAME?</v>
      </c>
      <c r="L40" s="6" t="e">
        <f aca="false">#ref!</f>
        <v>#NAME?</v>
      </c>
    </row>
    <row r="41" customFormat="false" ht="15" hidden="false" customHeight="false" outlineLevel="0" collapsed="false">
      <c r="A41" s="1" t="n">
        <v>2</v>
      </c>
      <c r="B41" s="5" t="str">
        <f aca="true">IF(YEAR(TODAY())=$B$1, IF(A41&lt;MONTH(TODAY()), "","X"), IF(A41&lt;&gt;12, "","X"))</f>
        <v/>
      </c>
      <c r="C41" s="6" t="e">
        <f aca="false">#ref!</f>
        <v>#NAME?</v>
      </c>
      <c r="D41" s="6" t="e">
        <f aca="false">#ref!</f>
        <v>#NAME?</v>
      </c>
      <c r="E41" s="6"/>
      <c r="F41" s="6"/>
      <c r="G41" s="6" t="e">
        <f aca="false">#ref!</f>
        <v>#NAME?</v>
      </c>
      <c r="H41" s="6" t="e">
        <f aca="false">#ref!</f>
        <v>#NAME?</v>
      </c>
      <c r="I41" s="6"/>
      <c r="J41" s="6"/>
      <c r="K41" s="6" t="e">
        <f aca="false">#ref!</f>
        <v>#NAME?</v>
      </c>
      <c r="L41" s="6" t="e">
        <f aca="false">#ref!</f>
        <v>#NAME?</v>
      </c>
    </row>
    <row r="42" customFormat="false" ht="15" hidden="false" customHeight="false" outlineLevel="0" collapsed="false">
      <c r="A42" s="1" t="n">
        <v>3</v>
      </c>
      <c r="B42" s="5" t="str">
        <f aca="true">IF(YEAR(TODAY())=$B$1, IF(A42&lt;MONTH(TODAY()), "","X"), IF(A42&lt;&gt;12, "","X"))</f>
        <v/>
      </c>
      <c r="C42" s="6" t="e">
        <f aca="false">#ref!</f>
        <v>#NAME?</v>
      </c>
      <c r="D42" s="6" t="e">
        <f aca="false">#ref!</f>
        <v>#NAME?</v>
      </c>
      <c r="E42" s="6"/>
      <c r="F42" s="6"/>
      <c r="G42" s="6" t="e">
        <f aca="false">#ref!</f>
        <v>#NAME?</v>
      </c>
      <c r="H42" s="6" t="e">
        <f aca="false">#ref!</f>
        <v>#NAME?</v>
      </c>
      <c r="I42" s="6"/>
      <c r="J42" s="6"/>
      <c r="K42" s="6" t="e">
        <f aca="false">#ref!</f>
        <v>#NAME?</v>
      </c>
      <c r="L42" s="6" t="e">
        <f aca="false">#ref!</f>
        <v>#NAME?</v>
      </c>
    </row>
    <row r="43" customFormat="false" ht="15" hidden="false" customHeight="false" outlineLevel="0" collapsed="false">
      <c r="A43" s="1" t="n">
        <v>4</v>
      </c>
      <c r="B43" s="5" t="str">
        <f aca="true">IF(YEAR(TODAY())=$B$1, IF(A43&lt;MONTH(TODAY()), "","X"), IF(A43&lt;&gt;12, "","X"))</f>
        <v/>
      </c>
      <c r="C43" s="6" t="e">
        <f aca="false">#ref!</f>
        <v>#NAME?</v>
      </c>
      <c r="D43" s="6" t="e">
        <f aca="false">#ref!</f>
        <v>#NAME?</v>
      </c>
      <c r="E43" s="6"/>
      <c r="F43" s="6"/>
      <c r="G43" s="6" t="e">
        <f aca="false">#ref!</f>
        <v>#NAME?</v>
      </c>
      <c r="H43" s="6" t="e">
        <f aca="false">#ref!</f>
        <v>#NAME?</v>
      </c>
      <c r="I43" s="6"/>
      <c r="J43" s="6"/>
      <c r="K43" s="6" t="e">
        <f aca="false">#ref!</f>
        <v>#NAME?</v>
      </c>
      <c r="L43" s="6" t="e">
        <f aca="false">#ref!</f>
        <v>#NAME?</v>
      </c>
    </row>
    <row r="44" customFormat="false" ht="15" hidden="false" customHeight="false" outlineLevel="0" collapsed="false">
      <c r="A44" s="1" t="n">
        <v>5</v>
      </c>
      <c r="B44" s="5" t="str">
        <f aca="true">IF(YEAR(TODAY())=$B$1, IF(A44&lt;MONTH(TODAY()), "","X"), IF(A44&lt;&gt;12, "","X"))</f>
        <v/>
      </c>
      <c r="C44" s="6" t="e">
        <f aca="false">#ref!</f>
        <v>#NAME?</v>
      </c>
      <c r="D44" s="6" t="e">
        <f aca="false">#ref!</f>
        <v>#NAME?</v>
      </c>
      <c r="E44" s="6"/>
      <c r="F44" s="6"/>
      <c r="G44" s="6" t="e">
        <f aca="false">#ref!</f>
        <v>#NAME?</v>
      </c>
      <c r="H44" s="6" t="e">
        <f aca="false">#ref!</f>
        <v>#NAME?</v>
      </c>
      <c r="I44" s="6"/>
      <c r="J44" s="6"/>
      <c r="K44" s="6" t="e">
        <f aca="false">#ref!</f>
        <v>#NAME?</v>
      </c>
      <c r="L44" s="6" t="e">
        <f aca="false">#ref!</f>
        <v>#NAME?</v>
      </c>
    </row>
    <row r="45" customFormat="false" ht="15" hidden="false" customHeight="false" outlineLevel="0" collapsed="false">
      <c r="A45" s="1" t="n">
        <v>6</v>
      </c>
      <c r="B45" s="5" t="str">
        <f aca="true">IF(YEAR(TODAY())=$B$1, IF(A45&lt;MONTH(TODAY()), "","X"), IF(A45&lt;&gt;12, "","X"))</f>
        <v/>
      </c>
      <c r="C45" s="6" t="e">
        <f aca="false">#ref!</f>
        <v>#NAME?</v>
      </c>
      <c r="D45" s="6" t="e">
        <f aca="false">#ref!</f>
        <v>#NAME?</v>
      </c>
      <c r="E45" s="6"/>
      <c r="F45" s="6"/>
      <c r="G45" s="6" t="e">
        <f aca="false">#ref!</f>
        <v>#NAME?</v>
      </c>
      <c r="H45" s="6" t="e">
        <f aca="false">#ref!</f>
        <v>#NAME?</v>
      </c>
      <c r="I45" s="6"/>
      <c r="J45" s="6"/>
      <c r="K45" s="6" t="e">
        <f aca="false">#ref!</f>
        <v>#NAME?</v>
      </c>
      <c r="L45" s="6" t="e">
        <f aca="false">#ref!</f>
        <v>#NAME?</v>
      </c>
    </row>
    <row r="46" customFormat="false" ht="15" hidden="false" customHeight="false" outlineLevel="0" collapsed="false">
      <c r="A46" s="1" t="n">
        <v>7</v>
      </c>
      <c r="B46" s="5" t="str">
        <f aca="true">IF(YEAR(TODAY())=$B$1, IF(A46&lt;MONTH(TODAY()), "","X"), IF(A46&lt;&gt;12, "","X"))</f>
        <v/>
      </c>
      <c r="C46" s="6" t="e">
        <f aca="false">#ref!</f>
        <v>#NAME?</v>
      </c>
      <c r="D46" s="6" t="e">
        <f aca="false">#ref!</f>
        <v>#NAME?</v>
      </c>
      <c r="E46" s="6"/>
      <c r="F46" s="6"/>
      <c r="G46" s="6" t="e">
        <f aca="false">#ref!</f>
        <v>#NAME?</v>
      </c>
      <c r="H46" s="6" t="e">
        <f aca="false">#ref!</f>
        <v>#NAME?</v>
      </c>
      <c r="I46" s="6"/>
      <c r="J46" s="6"/>
      <c r="K46" s="6" t="e">
        <f aca="false">#ref!</f>
        <v>#NAME?</v>
      </c>
      <c r="L46" s="6" t="e">
        <f aca="false">#ref!</f>
        <v>#NAME?</v>
      </c>
    </row>
    <row r="47" customFormat="false" ht="15" hidden="false" customHeight="false" outlineLevel="0" collapsed="false">
      <c r="A47" s="1" t="n">
        <v>8</v>
      </c>
      <c r="B47" s="5" t="str">
        <f aca="true">IF(YEAR(TODAY())=$B$1, IF(A47&lt;MONTH(TODAY()), "","X"), IF(A47&lt;&gt;12, "","X"))</f>
        <v/>
      </c>
      <c r="C47" s="6" t="e">
        <f aca="false">#ref!</f>
        <v>#NAME?</v>
      </c>
      <c r="D47" s="6" t="e">
        <f aca="false">#ref!</f>
        <v>#NAME?</v>
      </c>
      <c r="E47" s="6"/>
      <c r="F47" s="6"/>
      <c r="G47" s="6" t="e">
        <f aca="false">#ref!</f>
        <v>#NAME?</v>
      </c>
      <c r="H47" s="6" t="e">
        <f aca="false">#ref!</f>
        <v>#NAME?</v>
      </c>
      <c r="I47" s="6"/>
      <c r="J47" s="6"/>
      <c r="K47" s="6" t="e">
        <f aca="false">#ref!</f>
        <v>#NAME?</v>
      </c>
      <c r="L47" s="6" t="e">
        <f aca="false">#ref!</f>
        <v>#NAME?</v>
      </c>
    </row>
    <row r="48" customFormat="false" ht="15" hidden="false" customHeight="false" outlineLevel="0" collapsed="false">
      <c r="A48" s="1" t="n">
        <v>9</v>
      </c>
      <c r="B48" s="5" t="str">
        <f aca="true">IF(YEAR(TODAY())=$B$1, IF(A48&lt;MONTH(TODAY()), "","X"), IF(A48&lt;&gt;12, "","X"))</f>
        <v>X</v>
      </c>
      <c r="C48" s="6" t="e">
        <f aca="false">#ref!</f>
        <v>#NAME?</v>
      </c>
      <c r="D48" s="6" t="e">
        <f aca="false">#ref!</f>
        <v>#NAME?</v>
      </c>
      <c r="E48" s="6"/>
      <c r="F48" s="6"/>
      <c r="G48" s="6" t="e">
        <f aca="false">#ref!</f>
        <v>#NAME?</v>
      </c>
      <c r="H48" s="6" t="e">
        <f aca="false">#ref!</f>
        <v>#NAME?</v>
      </c>
      <c r="I48" s="6"/>
      <c r="J48" s="6"/>
      <c r="K48" s="6" t="e">
        <f aca="false">#ref!</f>
        <v>#NAME?</v>
      </c>
      <c r="L48" s="6" t="e">
        <f aca="false">#ref!</f>
        <v>#NAME?</v>
      </c>
    </row>
    <row r="49" customFormat="false" ht="15" hidden="false" customHeight="false" outlineLevel="0" collapsed="false">
      <c r="A49" s="1" t="n">
        <v>10</v>
      </c>
      <c r="B49" s="5" t="str">
        <f aca="true">IF(YEAR(TODAY())=$B$1, IF(A49&lt;MONTH(TODAY()), "","X"), IF(A49&lt;&gt;12, "","X"))</f>
        <v>X</v>
      </c>
      <c r="C49" s="6" t="e">
        <f aca="false">#ref!</f>
        <v>#NAME?</v>
      </c>
      <c r="D49" s="6" t="e">
        <f aca="false">#ref!</f>
        <v>#NAME?</v>
      </c>
      <c r="E49" s="6"/>
      <c r="F49" s="6"/>
      <c r="G49" s="6" t="e">
        <f aca="false">#ref!</f>
        <v>#NAME?</v>
      </c>
      <c r="H49" s="6" t="e">
        <f aca="false">#ref!</f>
        <v>#NAME?</v>
      </c>
      <c r="I49" s="6"/>
      <c r="J49" s="6"/>
      <c r="K49" s="6" t="e">
        <f aca="false">#ref!</f>
        <v>#NAME?</v>
      </c>
      <c r="L49" s="6" t="e">
        <f aca="false">#ref!</f>
        <v>#NAME?</v>
      </c>
    </row>
    <row r="50" customFormat="false" ht="15" hidden="false" customHeight="false" outlineLevel="0" collapsed="false">
      <c r="A50" s="1" t="n">
        <v>11</v>
      </c>
      <c r="B50" s="5" t="str">
        <f aca="true">IF(YEAR(TODAY())=$B$1, IF(A50&lt;MONTH(TODAY()), "","X"), IF(A50&lt;&gt;12, "","X"))</f>
        <v>X</v>
      </c>
      <c r="C50" s="6" t="e">
        <f aca="false">#ref!</f>
        <v>#NAME?</v>
      </c>
      <c r="D50" s="6" t="e">
        <f aca="false">#ref!</f>
        <v>#NAME?</v>
      </c>
      <c r="E50" s="6"/>
      <c r="F50" s="6"/>
      <c r="G50" s="6" t="e">
        <f aca="false">#ref!</f>
        <v>#NAME?</v>
      </c>
      <c r="H50" s="6" t="e">
        <f aca="false">#ref!</f>
        <v>#NAME?</v>
      </c>
      <c r="I50" s="6"/>
      <c r="J50" s="6"/>
      <c r="K50" s="6" t="e">
        <f aca="false">#ref!</f>
        <v>#NAME?</v>
      </c>
      <c r="L50" s="6" t="e">
        <f aca="false">#ref!</f>
        <v>#NAME?</v>
      </c>
    </row>
    <row r="51" customFormat="false" ht="15" hidden="false" customHeight="false" outlineLevel="0" collapsed="false">
      <c r="A51" s="1" t="n">
        <v>12</v>
      </c>
      <c r="B51" s="5" t="str">
        <f aca="true">IF(YEAR(TODAY())=$B$1, IF(A51&lt;MONTH(TODAY()), "","X"), IF(A51&lt;&gt;12, "","X"))</f>
        <v>X</v>
      </c>
      <c r="C51" s="6" t="e">
        <f aca="false">#ref!</f>
        <v>#NAME?</v>
      </c>
      <c r="D51" s="6" t="e">
        <f aca="false">#ref!</f>
        <v>#NAME?</v>
      </c>
      <c r="E51" s="6"/>
      <c r="F51" s="6"/>
      <c r="G51" s="6" t="e">
        <f aca="false">#ref!</f>
        <v>#NAME?</v>
      </c>
      <c r="H51" s="6" t="e">
        <f aca="false">#ref!</f>
        <v>#NAME?</v>
      </c>
      <c r="I51" s="6"/>
      <c r="J51" s="6"/>
      <c r="K51" s="6" t="e">
        <f aca="false">#ref!</f>
        <v>#NAME?</v>
      </c>
      <c r="L51" s="6" t="e">
        <f aca="false">#ref!</f>
        <v>#NAME?</v>
      </c>
    </row>
    <row r="52" customFormat="false" ht="15" hidden="false" customHeight="false" outlineLevel="0" collapsed="false">
      <c r="A52" s="3" t="s">
        <v>11</v>
      </c>
      <c r="B52" s="3"/>
      <c r="C52" s="7" t="e">
        <f aca="false">SUMIF($B$40:$B$51, "X", C40:C51)</f>
        <v>#NAME?</v>
      </c>
      <c r="D52" s="7" t="e">
        <f aca="false">SUMIF($B$40:$B$51, "", D40:D51)</f>
        <v>#NAME?</v>
      </c>
      <c r="E52" s="7"/>
      <c r="F52" s="7"/>
      <c r="G52" s="7" t="e">
        <f aca="false">SUMIF($B$40:$B$51, "X", G40:G51)</f>
        <v>#NAME?</v>
      </c>
      <c r="H52" s="7" t="e">
        <f aca="false">SUMIF($B$40:$B$51, "", H40:H51)</f>
        <v>#NAME?</v>
      </c>
      <c r="I52" s="7"/>
      <c r="J52" s="7"/>
      <c r="K52" s="7" t="e">
        <f aca="false">SUMIF($B$40:$B$51, "X", K40:K51)</f>
        <v>#NAME?</v>
      </c>
      <c r="L52" s="7" t="e">
        <f aca="false">SUMIF($B$40:$B$51, "", L40:L51)</f>
        <v>#NAME?</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7"/>
  <sheetViews>
    <sheetView showFormulas="false" showGridLines="true" showRowColHeaders="true" showZeros="true" rightToLeft="false" tabSelected="false" showOutlineSymbols="true" defaultGridColor="true" view="normal" topLeftCell="A25" colorId="64" zoomScale="75" zoomScaleNormal="75" zoomScalePageLayoutView="100" workbookViewId="0">
      <selection pane="topLeft" activeCell="A20" activeCellId="0" sqref="A20"/>
    </sheetView>
  </sheetViews>
  <sheetFormatPr defaultColWidth="9.1484375" defaultRowHeight="18.75" customHeight="true" zeroHeight="false" outlineLevelRow="0" outlineLevelCol="0"/>
  <cols>
    <col collapsed="false" customWidth="true" hidden="false" outlineLevel="0" max="1" min="1" style="8" width="32"/>
    <col collapsed="false" customWidth="true" hidden="false" outlineLevel="0" max="2" min="2" style="9" width="54.85"/>
    <col collapsed="false" customWidth="true" hidden="false" outlineLevel="0" max="3" min="3" style="9" width="69.71"/>
    <col collapsed="false" customWidth="false" hidden="false" outlineLevel="0" max="16384" min="4" style="8" width="9.14"/>
  </cols>
  <sheetData>
    <row r="1" customFormat="false" ht="18.75" hidden="false" customHeight="true" outlineLevel="0" collapsed="false">
      <c r="A1" s="10" t="s">
        <v>14</v>
      </c>
    </row>
    <row r="2" customFormat="false" ht="18.75" hidden="false" customHeight="true" outlineLevel="0" collapsed="false">
      <c r="A2" s="9"/>
    </row>
    <row r="3" customFormat="false" ht="18.75" hidden="false" customHeight="true" outlineLevel="0" collapsed="false">
      <c r="A3" s="10"/>
      <c r="B3" s="11" t="s">
        <v>15</v>
      </c>
      <c r="C3" s="11" t="s">
        <v>16</v>
      </c>
    </row>
    <row r="4" customFormat="false" ht="18.75" hidden="false" customHeight="false" outlineLevel="0" collapsed="false">
      <c r="A4" s="12" t="s">
        <v>17</v>
      </c>
      <c r="B4" s="13"/>
      <c r="C4" s="13"/>
    </row>
    <row r="5" customFormat="false" ht="18.75" hidden="false" customHeight="false" outlineLevel="0" collapsed="false">
      <c r="A5" s="14" t="s">
        <v>18</v>
      </c>
      <c r="B5" s="14" t="s">
        <v>19</v>
      </c>
      <c r="C5" s="14" t="s">
        <v>20</v>
      </c>
    </row>
    <row r="6" customFormat="false" ht="18.75" hidden="false" customHeight="false" outlineLevel="0" collapsed="false">
      <c r="A6" s="14"/>
      <c r="B6" s="14"/>
      <c r="C6" s="14" t="s">
        <v>21</v>
      </c>
    </row>
    <row r="7" customFormat="false" ht="18.75" hidden="false" customHeight="false" outlineLevel="0" collapsed="false">
      <c r="A7" s="15" t="s">
        <v>22</v>
      </c>
      <c r="B7" s="16" t="s">
        <v>23</v>
      </c>
      <c r="C7" s="16" t="s">
        <v>24</v>
      </c>
    </row>
    <row r="8" customFormat="false" ht="26.85" hidden="false" customHeight="false" outlineLevel="0" collapsed="false">
      <c r="A8" s="17" t="s">
        <v>25</v>
      </c>
      <c r="B8" s="14" t="s">
        <v>26</v>
      </c>
      <c r="C8" s="14" t="s">
        <v>27</v>
      </c>
    </row>
    <row r="9" customFormat="false" ht="18.75" hidden="false" customHeight="false" outlineLevel="0" collapsed="false">
      <c r="A9" s="17"/>
      <c r="B9" s="14"/>
      <c r="C9" s="14" t="s">
        <v>28</v>
      </c>
    </row>
    <row r="10" customFormat="false" ht="18.75" hidden="false" customHeight="false" outlineLevel="0" collapsed="false">
      <c r="A10" s="17"/>
      <c r="B10" s="14"/>
      <c r="C10" s="14" t="s">
        <v>29</v>
      </c>
    </row>
    <row r="11" customFormat="false" ht="18.75" hidden="false" customHeight="false" outlineLevel="0" collapsed="false">
      <c r="A11" s="12" t="s">
        <v>30</v>
      </c>
      <c r="B11" s="12"/>
      <c r="C11" s="12"/>
    </row>
    <row r="12" customFormat="false" ht="18.75" hidden="false" customHeight="false" outlineLevel="0" collapsed="false">
      <c r="A12" s="17" t="s">
        <v>31</v>
      </c>
      <c r="B12" s="14" t="s">
        <v>32</v>
      </c>
      <c r="C12" s="14" t="s">
        <v>33</v>
      </c>
    </row>
    <row r="13" customFormat="false" ht="26.85" hidden="false" customHeight="false" outlineLevel="0" collapsed="false">
      <c r="A13" s="17"/>
      <c r="B13" s="14"/>
      <c r="C13" s="14" t="s">
        <v>34</v>
      </c>
    </row>
    <row r="14" customFormat="false" ht="18.75" hidden="false" customHeight="false" outlineLevel="0" collapsed="false">
      <c r="A14" s="17"/>
      <c r="B14" s="14"/>
      <c r="C14" s="14" t="s">
        <v>35</v>
      </c>
    </row>
    <row r="15" customFormat="false" ht="18.75" hidden="false" customHeight="false" outlineLevel="0" collapsed="false">
      <c r="A15" s="17"/>
      <c r="B15" s="14"/>
      <c r="C15" s="14" t="s">
        <v>36</v>
      </c>
    </row>
    <row r="16" customFormat="false" ht="18.75" hidden="false" customHeight="false" outlineLevel="0" collapsed="false">
      <c r="A16" s="12" t="s">
        <v>37</v>
      </c>
      <c r="B16" s="12"/>
      <c r="C16" s="12"/>
    </row>
    <row r="17" customFormat="false" ht="26.85" hidden="false" customHeight="false" outlineLevel="0" collapsed="false">
      <c r="A17" s="17" t="s">
        <v>38</v>
      </c>
      <c r="B17" s="14" t="s">
        <v>39</v>
      </c>
      <c r="C17" s="14" t="s">
        <v>40</v>
      </c>
    </row>
    <row r="18" customFormat="false" ht="18.75" hidden="false" customHeight="false" outlineLevel="0" collapsed="false">
      <c r="A18" s="15" t="s">
        <v>41</v>
      </c>
      <c r="B18" s="16" t="s">
        <v>42</v>
      </c>
      <c r="C18" s="16" t="s">
        <v>43</v>
      </c>
    </row>
    <row r="19" customFormat="false" ht="18.75" hidden="false" customHeight="false" outlineLevel="0" collapsed="false">
      <c r="A19" s="15"/>
      <c r="B19" s="16" t="s">
        <v>44</v>
      </c>
      <c r="C19" s="16"/>
    </row>
    <row r="20" customFormat="false" ht="26.85" hidden="false" customHeight="false" outlineLevel="0" collapsed="false">
      <c r="A20" s="15"/>
      <c r="B20" s="16" t="s">
        <v>45</v>
      </c>
      <c r="C20" s="16"/>
    </row>
    <row r="21" customFormat="false" ht="18.75" hidden="false" customHeight="false" outlineLevel="0" collapsed="false">
      <c r="A21" s="15"/>
      <c r="B21" s="16" t="s">
        <v>46</v>
      </c>
      <c r="C21" s="16"/>
    </row>
    <row r="22" customFormat="false" ht="18.75" hidden="false" customHeight="false" outlineLevel="0" collapsed="false">
      <c r="A22" s="15"/>
      <c r="B22" s="16" t="s">
        <v>47</v>
      </c>
      <c r="C22" s="16"/>
    </row>
    <row r="23" customFormat="false" ht="26.85" hidden="false" customHeight="false" outlineLevel="0" collapsed="false">
      <c r="A23" s="17" t="s">
        <v>48</v>
      </c>
      <c r="B23" s="14" t="s">
        <v>49</v>
      </c>
      <c r="C23" s="14" t="s">
        <v>40</v>
      </c>
    </row>
    <row r="24" customFormat="false" ht="26.85" hidden="false" customHeight="false" outlineLevel="0" collapsed="false">
      <c r="A24" s="17"/>
      <c r="B24" s="14"/>
      <c r="C24" s="14" t="s">
        <v>50</v>
      </c>
    </row>
    <row r="25" customFormat="false" ht="18.75" hidden="false" customHeight="false" outlineLevel="0" collapsed="false">
      <c r="A25" s="12" t="s">
        <v>51</v>
      </c>
      <c r="B25" s="12"/>
      <c r="C25" s="12"/>
    </row>
    <row r="26" customFormat="false" ht="26.85" hidden="false" customHeight="false" outlineLevel="0" collapsed="false">
      <c r="A26" s="17" t="s">
        <v>22</v>
      </c>
      <c r="B26" s="14" t="s">
        <v>52</v>
      </c>
      <c r="C26" s="14" t="s">
        <v>53</v>
      </c>
    </row>
    <row r="27" customFormat="false" ht="39.55" hidden="false" customHeight="false" outlineLevel="0" collapsed="false">
      <c r="A27" s="17"/>
      <c r="B27" s="14" t="s">
        <v>54</v>
      </c>
      <c r="C27" s="14" t="s">
        <v>55</v>
      </c>
    </row>
    <row r="28" customFormat="false" ht="18.75" hidden="false" customHeight="true" outlineLevel="0" collapsed="false">
      <c r="A28" s="12" t="s">
        <v>56</v>
      </c>
      <c r="B28" s="12"/>
      <c r="C28" s="12"/>
    </row>
    <row r="29" customFormat="false" ht="52.2" hidden="false" customHeight="false" outlineLevel="0" collapsed="false">
      <c r="A29" s="18" t="s">
        <v>57</v>
      </c>
      <c r="B29" s="18" t="s">
        <v>58</v>
      </c>
      <c r="C29" s="19" t="s">
        <v>59</v>
      </c>
    </row>
    <row r="30" customFormat="false" ht="18.75" hidden="false" customHeight="true" outlineLevel="0" collapsed="false">
      <c r="A30" s="16" t="s">
        <v>31</v>
      </c>
      <c r="B30" s="16" t="s">
        <v>60</v>
      </c>
      <c r="C30" s="16" t="s">
        <v>61</v>
      </c>
    </row>
    <row r="31" customFormat="false" ht="34.5" hidden="false" customHeight="true" outlineLevel="0" collapsed="false">
      <c r="A31" s="16"/>
      <c r="B31" s="16" t="s">
        <v>62</v>
      </c>
      <c r="C31" s="16" t="s">
        <v>63</v>
      </c>
    </row>
    <row r="32" customFormat="false" ht="48.75" hidden="false" customHeight="true" outlineLevel="0" collapsed="false">
      <c r="A32" s="16"/>
      <c r="B32" s="16" t="s">
        <v>64</v>
      </c>
      <c r="C32" s="16" t="s">
        <v>65</v>
      </c>
    </row>
    <row r="33" customFormat="false" ht="90.25" hidden="false" customHeight="false" outlineLevel="0" collapsed="false">
      <c r="A33" s="18" t="s">
        <v>66</v>
      </c>
      <c r="B33" s="18" t="s">
        <v>67</v>
      </c>
      <c r="C33" s="19" t="s">
        <v>68</v>
      </c>
    </row>
    <row r="34" customFormat="false" ht="77.6" hidden="false" customHeight="false" outlineLevel="0" collapsed="false">
      <c r="C34" s="20" t="s">
        <v>69</v>
      </c>
    </row>
    <row r="35" customFormat="false" ht="18.75" hidden="false" customHeight="true" outlineLevel="0" collapsed="false">
      <c r="A35" s="21" t="s">
        <v>70</v>
      </c>
      <c r="B35" s="22" t="s">
        <v>71</v>
      </c>
      <c r="C35" s="22" t="s">
        <v>72</v>
      </c>
    </row>
    <row r="36" customFormat="false" ht="26.85" hidden="false" customHeight="false" outlineLevel="0" collapsed="false">
      <c r="A36" s="23" t="s">
        <v>22</v>
      </c>
      <c r="B36" s="18" t="s">
        <v>73</v>
      </c>
      <c r="C36" s="18" t="s">
        <v>74</v>
      </c>
    </row>
    <row r="37" customFormat="false" ht="26.85" hidden="false" customHeight="false" outlineLevel="0" collapsed="false">
      <c r="A37" s="21" t="s">
        <v>75</v>
      </c>
      <c r="B37" s="22" t="s">
        <v>76</v>
      </c>
      <c r="C37" s="22" t="s">
        <v>77</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243"/>
  <sheetViews>
    <sheetView showFormulas="false" showGridLines="true" showRowColHeaders="true" showZeros="true" rightToLeft="false" tabSelected="false" showOutlineSymbols="true" defaultGridColor="true" view="normal" topLeftCell="A196" colorId="64" zoomScale="75" zoomScaleNormal="75" zoomScalePageLayoutView="100" workbookViewId="0">
      <selection pane="topLeft" activeCell="S121" activeCellId="0" sqref="S121"/>
    </sheetView>
  </sheetViews>
  <sheetFormatPr defaultColWidth="8.6796875" defaultRowHeight="15" customHeight="false" zeroHeight="false" outlineLevelRow="0" outlineLevelCol="0"/>
  <cols>
    <col collapsed="false" customWidth="true" hidden="false" outlineLevel="0" max="2" min="2" style="1" width="20.42"/>
    <col collapsed="false" customWidth="true" hidden="false" outlineLevel="0" max="3" min="3" style="1" width="21.29"/>
    <col collapsed="false" customWidth="true" hidden="false" outlineLevel="0" max="4" min="4" style="1" width="18.29"/>
    <col collapsed="false" customWidth="true" hidden="false" outlineLevel="0" max="13" min="13" style="1" width="5.57"/>
    <col collapsed="false" customWidth="true" hidden="false" outlineLevel="0" max="14" min="14" style="1" width="22.29"/>
    <col collapsed="false" customWidth="true" hidden="false" outlineLevel="0" max="15" min="15" style="1" width="21.43"/>
    <col collapsed="false" customWidth="true" hidden="false" outlineLevel="0" max="16" min="16" style="1" width="21.57"/>
    <col collapsed="false" customWidth="true" hidden="false" outlineLevel="0" max="19" min="17" style="1" width="9.14"/>
  </cols>
  <sheetData>
    <row r="1" customFormat="false" ht="15" hidden="false" customHeight="false" outlineLevel="0" collapsed="false">
      <c r="A1" s="3" t="s">
        <v>78</v>
      </c>
    </row>
    <row r="2" customFormat="false" ht="15" hidden="false" customHeight="false" outlineLevel="0" collapsed="false">
      <c r="A2" s="3" t="s">
        <v>79</v>
      </c>
      <c r="M2" s="3" t="s">
        <v>80</v>
      </c>
      <c r="N2" s="24"/>
      <c r="O2" s="24"/>
      <c r="P2" s="24"/>
    </row>
    <row r="3" customFormat="false" ht="23.25" hidden="false" customHeight="true" outlineLevel="0" collapsed="false">
      <c r="M3" s="25" t="s">
        <v>81</v>
      </c>
      <c r="N3" s="25" t="s">
        <v>82</v>
      </c>
      <c r="O3" s="26" t="s">
        <v>83</v>
      </c>
      <c r="P3" s="27" t="s">
        <v>84</v>
      </c>
    </row>
    <row r="4" customFormat="false" ht="23.25" hidden="false" customHeight="true" outlineLevel="0" collapsed="false">
      <c r="M4" s="28" t="n">
        <v>1</v>
      </c>
      <c r="N4" s="29" t="s">
        <v>9</v>
      </c>
      <c r="O4" s="30" t="e">
        <f aca="false">#ref!</f>
        <v>#NAME?</v>
      </c>
      <c r="P4" s="30" t="e">
        <f aca="false">#ref!</f>
        <v>#NAME?</v>
      </c>
    </row>
    <row r="5" customFormat="false" ht="23.25" hidden="false" customHeight="true" outlineLevel="0" collapsed="false">
      <c r="M5" s="28"/>
      <c r="N5" s="29"/>
      <c r="O5" s="31" t="n">
        <f aca="false">SUM(O6:O8)</f>
        <v>0</v>
      </c>
      <c r="P5" s="31" t="n">
        <f aca="false">SUM(P6:P8)</f>
        <v>0</v>
      </c>
    </row>
    <row r="6" customFormat="false" ht="23.25" hidden="false" customHeight="true" outlineLevel="0" collapsed="false">
      <c r="M6" s="32"/>
      <c r="N6" s="33" t="s">
        <v>85</v>
      </c>
      <c r="O6" s="34" t="n">
        <f aca="false">'KH hieu chinh'!C58</f>
        <v>0</v>
      </c>
      <c r="P6" s="34" t="n">
        <f aca="false">'KH hieu chinh'!D58</f>
        <v>0</v>
      </c>
    </row>
    <row r="7" customFormat="false" ht="23.25" hidden="false" customHeight="true" outlineLevel="0" collapsed="false">
      <c r="M7" s="32"/>
      <c r="N7" s="33" t="s">
        <v>86</v>
      </c>
      <c r="O7" s="34" t="n">
        <f aca="false">'KH hieu chinh'!C60</f>
        <v>0</v>
      </c>
      <c r="P7" s="34" t="n">
        <f aca="false">'KH hieu chinh'!D60</f>
        <v>0</v>
      </c>
    </row>
    <row r="8" customFormat="false" ht="23.25" hidden="false" customHeight="true" outlineLevel="0" collapsed="false">
      <c r="M8" s="32"/>
      <c r="N8" s="33" t="s">
        <v>87</v>
      </c>
      <c r="O8" s="34" t="n">
        <f aca="false">'KH hieu chinh'!C61</f>
        <v>0</v>
      </c>
      <c r="P8" s="34" t="n">
        <f aca="false">'KH hieu chinh'!D61</f>
        <v>0</v>
      </c>
    </row>
    <row r="9" customFormat="false" ht="23.25" hidden="false" customHeight="true" outlineLevel="0" collapsed="false">
      <c r="M9" s="25" t="n">
        <v>2</v>
      </c>
      <c r="N9" s="35" t="s">
        <v>88</v>
      </c>
      <c r="O9" s="31" t="n">
        <f aca="false">SUM(O10:O12)</f>
        <v>854990000</v>
      </c>
      <c r="P9" s="31" t="n">
        <f aca="false">SUM(P10:P12)</f>
        <v>854990000</v>
      </c>
    </row>
    <row r="10" customFormat="false" ht="23.25" hidden="false" customHeight="true" outlineLevel="0" collapsed="false">
      <c r="M10" s="32"/>
      <c r="N10" s="33" t="s">
        <v>85</v>
      </c>
      <c r="O10" s="34" t="n">
        <f aca="false">'KH hieu chinh'!C63</f>
        <v>0</v>
      </c>
      <c r="P10" s="34" t="n">
        <f aca="false">'KH hieu chinh'!D63</f>
        <v>0</v>
      </c>
    </row>
    <row r="11" customFormat="false" ht="23.25" hidden="false" customHeight="true" outlineLevel="0" collapsed="false">
      <c r="M11" s="32"/>
      <c r="N11" s="33" t="s">
        <v>86</v>
      </c>
      <c r="O11" s="34" t="n">
        <f aca="false">'KH hieu chinh'!C64</f>
        <v>854990000</v>
      </c>
      <c r="P11" s="34" t="n">
        <f aca="false">'KH hieu chinh'!D64</f>
        <v>854990000</v>
      </c>
    </row>
    <row r="12" customFormat="false" ht="23.25" hidden="false" customHeight="true" outlineLevel="0" collapsed="false">
      <c r="M12" s="32"/>
      <c r="N12" s="33" t="s">
        <v>87</v>
      </c>
      <c r="O12" s="34" t="n">
        <f aca="false">'KH hieu chinh'!C65</f>
        <v>0</v>
      </c>
      <c r="P12" s="34" t="n">
        <f aca="false">'KH hieu chinh'!D65</f>
        <v>0</v>
      </c>
    </row>
    <row r="13" customFormat="false" ht="23.25" hidden="false" customHeight="true" outlineLevel="0" collapsed="false">
      <c r="M13" s="25"/>
      <c r="N13" s="25" t="s">
        <v>89</v>
      </c>
      <c r="O13" s="31" t="n">
        <f aca="false">O5+O9</f>
        <v>854990000</v>
      </c>
      <c r="P13" s="31" t="n">
        <f aca="false">P5+P9</f>
        <v>854990000</v>
      </c>
    </row>
    <row r="14" customFormat="false" ht="23.25" hidden="false" customHeight="true" outlineLevel="0" collapsed="false">
      <c r="M14" s="36"/>
      <c r="N14" s="25" t="s">
        <v>90</v>
      </c>
      <c r="O14" s="31" t="n">
        <f aca="false">'KH hieu chinh'!C67</f>
        <v>854990000</v>
      </c>
      <c r="P14" s="31" t="n">
        <f aca="false">'KH hieu chinh'!D67</f>
        <v>854990000</v>
      </c>
    </row>
    <row r="15" customFormat="false" ht="23.25" hidden="false" customHeight="true" outlineLevel="0" collapsed="false">
      <c r="M15" s="36"/>
      <c r="N15" s="25" t="s">
        <v>91</v>
      </c>
      <c r="O15" s="30" t="n">
        <f aca="false">O13/O14</f>
        <v>1</v>
      </c>
      <c r="P15" s="30" t="n">
        <f aca="false">P13/P14</f>
        <v>1</v>
      </c>
    </row>
    <row r="31" customFormat="false" ht="15" hidden="false" customHeight="false" outlineLevel="0" collapsed="false">
      <c r="A31" s="3" t="s">
        <v>92</v>
      </c>
    </row>
    <row r="47" customFormat="false" ht="15" hidden="false" customHeight="false" outlineLevel="0" collapsed="false">
      <c r="A47" s="3" t="s">
        <v>93</v>
      </c>
    </row>
    <row r="48" customFormat="false" ht="15" hidden="false" customHeight="false" outlineLevel="0" collapsed="false">
      <c r="A48" s="3" t="s">
        <v>94</v>
      </c>
    </row>
    <row r="49" customFormat="false" ht="15" hidden="false" customHeight="false" outlineLevel="0" collapsed="false">
      <c r="A49" s="3"/>
    </row>
    <row r="50" customFormat="false" ht="15" hidden="false" customHeight="false" outlineLevel="0" collapsed="false">
      <c r="A50" s="3"/>
    </row>
    <row r="51" customFormat="false" ht="15" hidden="false" customHeight="false" outlineLevel="0" collapsed="false">
      <c r="A51" s="3"/>
    </row>
    <row r="52" customFormat="false" ht="15" hidden="false" customHeight="false" outlineLevel="0" collapsed="false">
      <c r="A52" s="3"/>
    </row>
    <row r="53" customFormat="false" ht="15" hidden="false" customHeight="false" outlineLevel="0" collapsed="false">
      <c r="A53" s="3"/>
    </row>
    <row r="54" customFormat="false" ht="15" hidden="false" customHeight="false" outlineLevel="0" collapsed="false">
      <c r="A54" s="3"/>
    </row>
    <row r="55" customFormat="false" ht="15" hidden="false" customHeight="false" outlineLevel="0" collapsed="false">
      <c r="A55" s="3"/>
    </row>
    <row r="56" customFormat="false" ht="15" hidden="false" customHeight="false" outlineLevel="0" collapsed="false">
      <c r="A56" s="3"/>
    </row>
    <row r="57" customFormat="false" ht="15" hidden="false" customHeight="false" outlineLevel="0" collapsed="false">
      <c r="A57" s="3"/>
    </row>
    <row r="58" customFormat="false" ht="15" hidden="false" customHeight="false" outlineLevel="0" collapsed="false">
      <c r="A58" s="3"/>
    </row>
    <row r="59" customFormat="false" ht="15" hidden="false" customHeight="false" outlineLevel="0" collapsed="false">
      <c r="A59" s="3"/>
    </row>
    <row r="60" customFormat="false" ht="15" hidden="false" customHeight="false" outlineLevel="0" collapsed="false">
      <c r="A60" s="3"/>
    </row>
    <row r="61" customFormat="false" ht="15" hidden="false" customHeight="false" outlineLevel="0" collapsed="false">
      <c r="A61" s="3"/>
    </row>
    <row r="62" customFormat="false" ht="15" hidden="false" customHeight="false" outlineLevel="0" collapsed="false">
      <c r="A62" s="3"/>
    </row>
    <row r="63" customFormat="false" ht="15" hidden="false" customHeight="false" outlineLevel="0" collapsed="false">
      <c r="A63" s="3"/>
    </row>
    <row r="64" customFormat="false" ht="15" hidden="false" customHeight="false" outlineLevel="0" collapsed="false">
      <c r="A64" s="3"/>
    </row>
    <row r="65" customFormat="false" ht="15" hidden="false" customHeight="false" outlineLevel="0" collapsed="false">
      <c r="A65" s="3"/>
    </row>
    <row r="66" customFormat="false" ht="15" hidden="false" customHeight="false" outlineLevel="0" collapsed="false">
      <c r="A66" s="3"/>
    </row>
    <row r="67" customFormat="false" ht="15" hidden="false" customHeight="false" outlineLevel="0" collapsed="false">
      <c r="A67" s="3"/>
    </row>
    <row r="68" customFormat="false" ht="15" hidden="false" customHeight="false" outlineLevel="0" collapsed="false">
      <c r="A68" s="3"/>
    </row>
    <row r="69" customFormat="false" ht="15" hidden="false" customHeight="false" outlineLevel="0" collapsed="false">
      <c r="A69" s="3"/>
    </row>
    <row r="70" customFormat="false" ht="15" hidden="false" customHeight="false" outlineLevel="0" collapsed="false">
      <c r="A70" s="3"/>
    </row>
    <row r="71" customFormat="false" ht="15" hidden="false" customHeight="false" outlineLevel="0" collapsed="false">
      <c r="A71" s="3"/>
    </row>
    <row r="72" customFormat="false" ht="15" hidden="false" customHeight="false" outlineLevel="0" collapsed="false">
      <c r="A72" s="3"/>
    </row>
    <row r="73" customFormat="false" ht="15" hidden="false" customHeight="false" outlineLevel="0" collapsed="false">
      <c r="A73" s="3"/>
    </row>
    <row r="74" customFormat="false" ht="15" hidden="false" customHeight="false" outlineLevel="0" collapsed="false">
      <c r="A74" s="3"/>
    </row>
    <row r="75" customFormat="false" ht="15" hidden="false" customHeight="false" outlineLevel="0" collapsed="false">
      <c r="A75" s="3"/>
    </row>
    <row r="76" customFormat="false" ht="15" hidden="false" customHeight="false" outlineLevel="0" collapsed="false">
      <c r="A76" s="3"/>
    </row>
    <row r="77" customFormat="false" ht="15" hidden="false" customHeight="false" outlineLevel="0" collapsed="false">
      <c r="A77" s="3"/>
    </row>
    <row r="78" customFormat="false" ht="15" hidden="false" customHeight="false" outlineLevel="0" collapsed="false">
      <c r="A78" s="3"/>
    </row>
    <row r="79" customFormat="false" ht="15" hidden="false" customHeight="false" outlineLevel="0" collapsed="false">
      <c r="A79" s="3"/>
    </row>
    <row r="80" customFormat="false" ht="15" hidden="false" customHeight="false" outlineLevel="0" collapsed="false">
      <c r="A80" s="3" t="s">
        <v>95</v>
      </c>
    </row>
    <row r="81" customFormat="false" ht="17.35" hidden="false" customHeight="false" outlineLevel="0" collapsed="false">
      <c r="A81" s="37" t="s">
        <v>96</v>
      </c>
      <c r="B81" s="37"/>
      <c r="C81" s="38" t="e">
        <f aca="false">'kh hieu chinh' #ref!</f>
        <v>#VALUE!</v>
      </c>
      <c r="D81" s="39" t="s">
        <v>97</v>
      </c>
    </row>
    <row r="82" customFormat="false" ht="15" hidden="false" customHeight="false" outlineLevel="0" collapsed="false">
      <c r="A82" s="3"/>
    </row>
    <row r="83" customFormat="false" ht="15" hidden="false" customHeight="false" outlineLevel="0" collapsed="false">
      <c r="A83" s="3"/>
    </row>
    <row r="84" customFormat="false" ht="15" hidden="false" customHeight="false" outlineLevel="0" collapsed="false">
      <c r="A84" s="3"/>
    </row>
    <row r="85" customFormat="false" ht="15" hidden="false" customHeight="false" outlineLevel="0" collapsed="false">
      <c r="A85" s="3"/>
    </row>
    <row r="86" customFormat="false" ht="15" hidden="false" customHeight="false" outlineLevel="0" collapsed="false">
      <c r="A86" s="3"/>
    </row>
    <row r="87" customFormat="false" ht="15" hidden="false" customHeight="false" outlineLevel="0" collapsed="false">
      <c r="A87" s="3"/>
    </row>
    <row r="88" customFormat="false" ht="15" hidden="false" customHeight="false" outlineLevel="0" collapsed="false">
      <c r="A88" s="3"/>
    </row>
    <row r="89" customFormat="false" ht="15" hidden="false" customHeight="false" outlineLevel="0" collapsed="false">
      <c r="A89" s="3"/>
    </row>
    <row r="90" customFormat="false" ht="15" hidden="false" customHeight="false" outlineLevel="0" collapsed="false">
      <c r="A90" s="3"/>
    </row>
    <row r="91" customFormat="false" ht="15" hidden="false" customHeight="false" outlineLevel="0" collapsed="false">
      <c r="A91" s="3"/>
    </row>
    <row r="92" customFormat="false" ht="15" hidden="false" customHeight="false" outlineLevel="0" collapsed="false">
      <c r="A92" s="3"/>
    </row>
    <row r="93" customFormat="false" ht="15" hidden="false" customHeight="false" outlineLevel="0" collapsed="false">
      <c r="A93" s="3"/>
    </row>
    <row r="94" customFormat="false" ht="15" hidden="false" customHeight="false" outlineLevel="0" collapsed="false">
      <c r="A94" s="3"/>
    </row>
    <row r="95" customFormat="false" ht="15" hidden="false" customHeight="false" outlineLevel="0" collapsed="false">
      <c r="A95" s="3"/>
    </row>
    <row r="96" customFormat="false" ht="15" hidden="false" customHeight="false" outlineLevel="0" collapsed="false">
      <c r="A96" s="3"/>
    </row>
    <row r="97" customFormat="false" ht="15" hidden="false" customHeight="false" outlineLevel="0" collapsed="false">
      <c r="A97" s="3"/>
    </row>
    <row r="98" customFormat="false" ht="15" hidden="false" customHeight="false" outlineLevel="0" collapsed="false">
      <c r="A98" s="3"/>
    </row>
    <row r="99" customFormat="false" ht="15" hidden="false" customHeight="true" outlineLevel="0" collapsed="false">
      <c r="A99" s="3"/>
      <c r="O99" s="40" t="s">
        <v>98</v>
      </c>
      <c r="P99" s="40"/>
    </row>
    <row r="100" customFormat="false" ht="15" hidden="false" customHeight="true" outlineLevel="0" collapsed="false">
      <c r="O100" s="41" t="n">
        <f aca="false">'KH hieu chinh'!C25</f>
        <v>0</v>
      </c>
      <c r="P100" s="41"/>
    </row>
    <row r="101" customFormat="false" ht="15" hidden="false" customHeight="true" outlineLevel="0" collapsed="false">
      <c r="O101" s="41"/>
      <c r="P101" s="41"/>
    </row>
    <row r="103" customFormat="false" ht="15" hidden="false" customHeight="false" outlineLevel="0" collapsed="false">
      <c r="O103" s="40" t="s">
        <v>99</v>
      </c>
      <c r="P103" s="40"/>
    </row>
    <row r="104" customFormat="false" ht="15" hidden="false" customHeight="true" outlineLevel="0" collapsed="false">
      <c r="O104" s="41" t="n">
        <f aca="false">'KH hieu chinh'!E25</f>
        <v>0</v>
      </c>
      <c r="P104" s="41"/>
    </row>
    <row r="105" customFormat="false" ht="15" hidden="false" customHeight="true" outlineLevel="0" collapsed="false">
      <c r="O105" s="41"/>
      <c r="P105" s="41"/>
    </row>
    <row r="107" customFormat="false" ht="15" hidden="false" customHeight="true" outlineLevel="0" collapsed="false">
      <c r="O107" s="42" t="s">
        <v>100</v>
      </c>
      <c r="P107" s="42"/>
    </row>
    <row r="108" customFormat="false" ht="15" hidden="false" customHeight="true" outlineLevel="0" collapsed="false">
      <c r="O108" s="42"/>
      <c r="P108" s="42"/>
    </row>
    <row r="109" customFormat="false" ht="15" hidden="false" customHeight="true" outlineLevel="0" collapsed="false">
      <c r="O109" s="42"/>
      <c r="P109" s="42"/>
    </row>
    <row r="110" customFormat="false" ht="15" hidden="false" customHeight="true" outlineLevel="0" collapsed="false">
      <c r="O110" s="43" t="e">
        <f aca="false">'KH hieu chinh'!E25/'KH hieu chinh'!C25</f>
        <v>#DIV/0!</v>
      </c>
      <c r="P110" s="43"/>
    </row>
    <row r="111" customFormat="false" ht="15" hidden="false" customHeight="true" outlineLevel="0" collapsed="false">
      <c r="O111" s="43"/>
      <c r="P111" s="43"/>
    </row>
    <row r="112" customFormat="false" ht="15" hidden="false" customHeight="true" outlineLevel="0" collapsed="false">
      <c r="O112" s="43"/>
      <c r="P112" s="43"/>
    </row>
    <row r="113" customFormat="false" ht="15" hidden="false" customHeight="true" outlineLevel="0" collapsed="false"/>
    <row r="114" customFormat="false" ht="15" hidden="false" customHeight="true" outlineLevel="0" collapsed="false"/>
    <row r="115" customFormat="false" ht="17.35" hidden="false" customHeight="false" outlineLevel="0" collapsed="false">
      <c r="A115" s="44" t="s">
        <v>101</v>
      </c>
      <c r="B115" s="44"/>
      <c r="C115" s="45" t="e">
        <f aca="false">'kh hieu chinh' #ref!</f>
        <v>#VALUE!</v>
      </c>
      <c r="D115" s="46" t="s">
        <v>97</v>
      </c>
    </row>
    <row r="117" customFormat="false" ht="15" hidden="false" customHeight="false" outlineLevel="0" collapsed="false">
      <c r="D117" s="47"/>
    </row>
    <row r="134" customFormat="false" ht="15" hidden="false" customHeight="false" outlineLevel="0" collapsed="false">
      <c r="O134" s="48" t="s">
        <v>98</v>
      </c>
      <c r="P134" s="48"/>
    </row>
    <row r="135" customFormat="false" ht="15" hidden="false" customHeight="true" outlineLevel="0" collapsed="false">
      <c r="O135" s="49" t="n">
        <f aca="false">'KH hieu chinh'!$F$25</f>
        <v>0</v>
      </c>
      <c r="P135" s="49"/>
    </row>
    <row r="136" customFormat="false" ht="15" hidden="false" customHeight="true" outlineLevel="0" collapsed="false">
      <c r="O136" s="49"/>
      <c r="P136" s="49"/>
    </row>
    <row r="137" customFormat="false" ht="15" hidden="false" customHeight="false" outlineLevel="0" collapsed="false">
      <c r="O137" s="50"/>
      <c r="P137" s="50"/>
    </row>
    <row r="138" customFormat="false" ht="15" hidden="false" customHeight="false" outlineLevel="0" collapsed="false">
      <c r="O138" s="48" t="s">
        <v>99</v>
      </c>
      <c r="P138" s="48"/>
    </row>
    <row r="139" customFormat="false" ht="15" hidden="false" customHeight="true" outlineLevel="0" collapsed="false">
      <c r="O139" s="49" t="n">
        <f aca="false">'KH hieu chinh'!$H$25</f>
        <v>854990000</v>
      </c>
      <c r="P139" s="49"/>
    </row>
    <row r="140" customFormat="false" ht="15" hidden="false" customHeight="true" outlineLevel="0" collapsed="false">
      <c r="O140" s="49"/>
      <c r="P140" s="49"/>
    </row>
    <row r="141" customFormat="false" ht="15" hidden="false" customHeight="false" outlineLevel="0" collapsed="false">
      <c r="O141" s="50"/>
      <c r="P141" s="50"/>
    </row>
    <row r="142" customFormat="false" ht="15" hidden="false" customHeight="true" outlineLevel="0" collapsed="false">
      <c r="O142" s="51" t="s">
        <v>102</v>
      </c>
      <c r="P142" s="51"/>
    </row>
    <row r="143" customFormat="false" ht="15" hidden="false" customHeight="true" outlineLevel="0" collapsed="false">
      <c r="O143" s="51"/>
      <c r="P143" s="51"/>
    </row>
    <row r="144" customFormat="false" ht="15" hidden="false" customHeight="true" outlineLevel="0" collapsed="false">
      <c r="O144" s="51"/>
      <c r="P144" s="51"/>
    </row>
    <row r="145" customFormat="false" ht="15" hidden="false" customHeight="true" outlineLevel="0" collapsed="false">
      <c r="O145" s="52" t="e">
        <f aca="false">'KH hieu chinh'!$H$25/'KH hieu chinh'!$F$25</f>
        <v>#DIV/0!</v>
      </c>
      <c r="P145" s="52"/>
    </row>
    <row r="146" customFormat="false" ht="15" hidden="false" customHeight="true" outlineLevel="0" collapsed="false">
      <c r="O146" s="52"/>
      <c r="P146" s="52"/>
    </row>
    <row r="147" customFormat="false" ht="15" hidden="false" customHeight="false" outlineLevel="0" collapsed="false">
      <c r="O147" s="52"/>
      <c r="P147" s="52"/>
    </row>
    <row r="149" customFormat="false" ht="15" hidden="false" customHeight="false" outlineLevel="0" collapsed="false">
      <c r="A149" s="3" t="s">
        <v>103</v>
      </c>
    </row>
    <row r="150" customFormat="false" ht="15" hidden="false" customHeight="false" outlineLevel="0" collapsed="false">
      <c r="A150" s="3" t="s">
        <v>104</v>
      </c>
    </row>
    <row r="181" customFormat="false" ht="15" hidden="false" customHeight="false" outlineLevel="0" collapsed="false">
      <c r="A181" s="3" t="s">
        <v>105</v>
      </c>
    </row>
    <row r="182" customFormat="false" ht="17.35" hidden="false" customHeight="false" outlineLevel="0" collapsed="false">
      <c r="A182" s="37" t="s">
        <v>96</v>
      </c>
      <c r="B182" s="37"/>
      <c r="C182" s="38" t="n">
        <f aca="false">'KH hieu chinh'!$C$42</f>
        <v>0</v>
      </c>
      <c r="D182" s="39" t="s">
        <v>97</v>
      </c>
    </row>
    <row r="199" customFormat="false" ht="15" hidden="false" customHeight="false" outlineLevel="0" collapsed="false">
      <c r="O199" s="53" t="s">
        <v>98</v>
      </c>
      <c r="P199" s="53"/>
    </row>
    <row r="200" customFormat="false" ht="15" hidden="false" customHeight="true" outlineLevel="0" collapsed="false">
      <c r="O200" s="41" t="n">
        <f aca="false">'KH hieu chinh'!$C$51</f>
        <v>10000000000</v>
      </c>
      <c r="P200" s="41"/>
    </row>
    <row r="201" customFormat="false" ht="15" hidden="false" customHeight="true" outlineLevel="0" collapsed="false">
      <c r="O201" s="41"/>
      <c r="P201" s="41"/>
    </row>
    <row r="202" customFormat="false" ht="15" hidden="false" customHeight="false" outlineLevel="0" collapsed="false">
      <c r="O202" s="54"/>
      <c r="P202" s="54"/>
    </row>
    <row r="203" customFormat="false" ht="15" hidden="false" customHeight="false" outlineLevel="0" collapsed="false">
      <c r="O203" s="53" t="s">
        <v>99</v>
      </c>
      <c r="P203" s="53"/>
    </row>
    <row r="204" customFormat="false" ht="15" hidden="false" customHeight="true" outlineLevel="0" collapsed="false">
      <c r="O204" s="41" t="n">
        <f aca="false">'KH hieu chinh'!$E$51</f>
        <v>0</v>
      </c>
      <c r="P204" s="41"/>
    </row>
    <row r="205" customFormat="false" ht="15" hidden="false" customHeight="true" outlineLevel="0" collapsed="false">
      <c r="O205" s="41"/>
      <c r="P205" s="41"/>
    </row>
    <row r="206" customFormat="false" ht="15" hidden="false" customHeight="false" outlineLevel="0" collapsed="false">
      <c r="O206" s="54"/>
      <c r="P206" s="54"/>
    </row>
    <row r="207" customFormat="false" ht="15" hidden="false" customHeight="true" outlineLevel="0" collapsed="false">
      <c r="O207" s="42" t="s">
        <v>100</v>
      </c>
      <c r="P207" s="42"/>
    </row>
    <row r="208" customFormat="false" ht="15" hidden="false" customHeight="true" outlineLevel="0" collapsed="false">
      <c r="O208" s="42"/>
      <c r="P208" s="42"/>
    </row>
    <row r="209" customFormat="false" ht="15" hidden="false" customHeight="true" outlineLevel="0" collapsed="false">
      <c r="O209" s="42"/>
      <c r="P209" s="42"/>
    </row>
    <row r="210" customFormat="false" ht="15" hidden="false" customHeight="true" outlineLevel="0" collapsed="false">
      <c r="O210" s="43" t="n">
        <f aca="false">'KH hieu chinh'!$E$51/'KH hieu chinh'!$C$51</f>
        <v>0</v>
      </c>
      <c r="P210" s="43"/>
    </row>
    <row r="211" customFormat="false" ht="15" hidden="false" customHeight="true" outlineLevel="0" collapsed="false">
      <c r="O211" s="43"/>
      <c r="P211" s="43"/>
    </row>
    <row r="212" customFormat="false" ht="15" hidden="false" customHeight="false" outlineLevel="0" collapsed="false">
      <c r="O212" s="43"/>
      <c r="P212" s="43"/>
    </row>
    <row r="213" customFormat="false" ht="17.35" hidden="false" customHeight="false" outlineLevel="0" collapsed="false">
      <c r="A213" s="44" t="s">
        <v>101</v>
      </c>
      <c r="B213" s="44"/>
      <c r="C213" s="45" t="n">
        <f aca="false">'KH hieu chinh'!$D$42</f>
        <v>854990000</v>
      </c>
      <c r="D213" s="46" t="s">
        <v>97</v>
      </c>
    </row>
    <row r="230" customFormat="false" ht="15" hidden="false" customHeight="false" outlineLevel="0" collapsed="false">
      <c r="O230" s="55" t="s">
        <v>98</v>
      </c>
      <c r="P230" s="55"/>
    </row>
    <row r="231" customFormat="false" ht="15" hidden="false" customHeight="true" outlineLevel="0" collapsed="false">
      <c r="O231" s="49" t="n">
        <f aca="false">'KH hieu chinh'!$F$51</f>
        <v>9000000000</v>
      </c>
      <c r="P231" s="49"/>
    </row>
    <row r="232" customFormat="false" ht="15" hidden="false" customHeight="true" outlineLevel="0" collapsed="false">
      <c r="O232" s="49"/>
      <c r="P232" s="49"/>
    </row>
    <row r="234" customFormat="false" ht="15" hidden="false" customHeight="false" outlineLevel="0" collapsed="false">
      <c r="O234" s="55" t="s">
        <v>99</v>
      </c>
      <c r="P234" s="55"/>
    </row>
    <row r="235" customFormat="false" ht="15" hidden="false" customHeight="true" outlineLevel="0" collapsed="false">
      <c r="O235" s="49" t="n">
        <f aca="false">'KH hieu chinh'!$H$51</f>
        <v>854990000</v>
      </c>
      <c r="P235" s="49"/>
    </row>
    <row r="236" customFormat="false" ht="15" hidden="false" customHeight="true" outlineLevel="0" collapsed="false">
      <c r="O236" s="49"/>
      <c r="P236" s="49"/>
    </row>
    <row r="238" customFormat="false" ht="15" hidden="false" customHeight="true" outlineLevel="0" collapsed="false">
      <c r="O238" s="51" t="s">
        <v>102</v>
      </c>
      <c r="P238" s="51"/>
    </row>
    <row r="239" customFormat="false" ht="15" hidden="false" customHeight="true" outlineLevel="0" collapsed="false">
      <c r="O239" s="51"/>
      <c r="P239" s="51"/>
    </row>
    <row r="240" customFormat="false" ht="15" hidden="false" customHeight="true" outlineLevel="0" collapsed="false">
      <c r="O240" s="51"/>
      <c r="P240" s="51"/>
    </row>
    <row r="241" customFormat="false" ht="15" hidden="false" customHeight="true" outlineLevel="0" collapsed="false">
      <c r="O241" s="56" t="n">
        <f aca="false">'KH hieu chinh'!$H$51/'KH hieu chinh'!$F$51</f>
        <v>0.0949988888888889</v>
      </c>
      <c r="P241" s="56"/>
    </row>
    <row r="242" customFormat="false" ht="15" hidden="false" customHeight="true" outlineLevel="0" collapsed="false">
      <c r="O242" s="56"/>
      <c r="P242" s="56"/>
    </row>
    <row r="243" customFormat="false" ht="15" hidden="false" customHeight="false" outlineLevel="0" collapsed="false">
      <c r="O243" s="56"/>
      <c r="P243" s="56"/>
    </row>
  </sheetData>
  <mergeCells count="30">
    <mergeCell ref="M4:M5"/>
    <mergeCell ref="N4:N5"/>
    <mergeCell ref="A81:B81"/>
    <mergeCell ref="O99:P99"/>
    <mergeCell ref="O100:P101"/>
    <mergeCell ref="O103:P103"/>
    <mergeCell ref="O104:P105"/>
    <mergeCell ref="O107:P109"/>
    <mergeCell ref="O110:P112"/>
    <mergeCell ref="A115:B115"/>
    <mergeCell ref="O134:P134"/>
    <mergeCell ref="O135:P136"/>
    <mergeCell ref="O138:P138"/>
    <mergeCell ref="O139:P140"/>
    <mergeCell ref="O142:P144"/>
    <mergeCell ref="O145:P147"/>
    <mergeCell ref="A182:B182"/>
    <mergeCell ref="O199:P199"/>
    <mergeCell ref="O200:P201"/>
    <mergeCell ref="O203:P203"/>
    <mergeCell ref="O204:P205"/>
    <mergeCell ref="O207:P209"/>
    <mergeCell ref="O210:P212"/>
    <mergeCell ref="A213:B213"/>
    <mergeCell ref="O230:P230"/>
    <mergeCell ref="O231:P232"/>
    <mergeCell ref="O234:P234"/>
    <mergeCell ref="O235:P236"/>
    <mergeCell ref="O238:P240"/>
    <mergeCell ref="O241:P243"/>
  </mergeCells>
  <printOptions headings="false" gridLines="false" gridLinesSet="true" horizontalCentered="false" verticalCentered="false"/>
  <pageMargins left="0.7" right="0.7" top="0.75" bottom="0.75" header="0.511811023622047" footer="0.511811023622047"/>
  <pageSetup paperSize="9" scale="4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O101"/>
  <sheetViews>
    <sheetView showFormulas="false" showGridLines="true" showRowColHeaders="true" showZeros="true" rightToLeft="false" tabSelected="false" showOutlineSymbols="true" defaultGridColor="true" view="normal" topLeftCell="A40" colorId="64" zoomScale="75" zoomScaleNormal="75" zoomScalePageLayoutView="100" workbookViewId="0">
      <selection pane="topLeft" activeCell="N68" activeCellId="0" sqref="N68"/>
    </sheetView>
  </sheetViews>
  <sheetFormatPr defaultColWidth="8.6796875" defaultRowHeight="15" customHeight="false" zeroHeight="false" outlineLevelRow="0" outlineLevelCol="0"/>
  <cols>
    <col collapsed="false" customWidth="true" hidden="false" outlineLevel="0" max="2" min="2" style="1" width="20.42"/>
    <col collapsed="false" customWidth="true" hidden="false" outlineLevel="0" max="3" min="3" style="1" width="21.29"/>
    <col collapsed="false" customWidth="true" hidden="false" outlineLevel="0" max="4" min="4" style="1" width="18.29"/>
    <col collapsed="false" customWidth="true" hidden="false" outlineLevel="0" max="7" min="7" style="1" width="9.57"/>
    <col collapsed="false" customWidth="true" hidden="false" outlineLevel="0" max="8" min="8" style="1" width="9.42"/>
    <col collapsed="false" customWidth="true" hidden="false" outlineLevel="0" max="9" min="9" style="1" width="20.29"/>
    <col collapsed="false" customWidth="true" hidden="false" outlineLevel="0" max="10" min="10" style="1" width="22"/>
    <col collapsed="false" customWidth="true" hidden="false" outlineLevel="0" max="11" min="11" style="1" width="8.15"/>
    <col collapsed="false" customWidth="true" hidden="false" outlineLevel="0" max="12" min="12" style="1" width="5.57"/>
    <col collapsed="false" customWidth="true" hidden="false" outlineLevel="0" max="13" min="13" style="1" width="23.14"/>
    <col collapsed="false" customWidth="true" hidden="false" outlineLevel="0" max="14" min="14" style="1" width="25.14"/>
    <col collapsed="false" customWidth="true" hidden="false" outlineLevel="0" max="15" min="15" style="1" width="24.14"/>
    <col collapsed="false" customWidth="true" hidden="false" outlineLevel="0" max="16" min="16" style="1" width="13.71"/>
    <col collapsed="false" customWidth="true" hidden="false" outlineLevel="0" max="18" min="17" style="1" width="9.14"/>
  </cols>
  <sheetData>
    <row r="1" customFormat="false" ht="19.7" hidden="false" customHeight="false" outlineLevel="0" collapsed="false">
      <c r="A1" s="57" t="s">
        <v>78</v>
      </c>
      <c r="B1" s="58"/>
      <c r="C1" s="58"/>
      <c r="D1" s="58"/>
      <c r="E1" s="59" t="s">
        <v>106</v>
      </c>
      <c r="F1" s="59"/>
      <c r="G1" s="60" t="n">
        <v>30850000000</v>
      </c>
      <c r="H1" s="60"/>
      <c r="I1" s="61" t="s">
        <v>107</v>
      </c>
      <c r="J1" s="62" t="n">
        <v>28900000000</v>
      </c>
      <c r="L1" s="63" t="s">
        <v>108</v>
      </c>
      <c r="M1" s="63"/>
      <c r="N1" s="63"/>
      <c r="O1" s="63"/>
    </row>
    <row r="2" customFormat="false" ht="17.35" hidden="false" customHeight="false" outlineLevel="0" collapsed="false">
      <c r="L2" s="64" t="s">
        <v>81</v>
      </c>
      <c r="M2" s="64" t="s">
        <v>109</v>
      </c>
      <c r="N2" s="65" t="s">
        <v>83</v>
      </c>
      <c r="O2" s="65" t="s">
        <v>84</v>
      </c>
    </row>
    <row r="3" customFormat="false" ht="24.45" hidden="false" customHeight="false" outlineLevel="0" collapsed="false">
      <c r="L3" s="66" t="n">
        <v>1</v>
      </c>
      <c r="M3" s="67" t="s">
        <v>110</v>
      </c>
      <c r="N3" s="68" t="n">
        <f aca="false">'Tong hop (TH)'!N18</f>
        <v>0</v>
      </c>
      <c r="O3" s="68" t="n">
        <f aca="false">'Tong hop (TH)'!N50</f>
        <v>0</v>
      </c>
    </row>
    <row r="4" customFormat="false" ht="23.25" hidden="false" customHeight="true" outlineLevel="0" collapsed="false">
      <c r="L4" s="66"/>
      <c r="M4" s="67"/>
      <c r="N4" s="69" t="n">
        <f aca="false">SUM(N5:N7)</f>
        <v>0</v>
      </c>
      <c r="O4" s="69" t="n">
        <f aca="false">SUM(O5:O7)</f>
        <v>0</v>
      </c>
    </row>
    <row r="5" customFormat="false" ht="23.25" hidden="false" customHeight="true" outlineLevel="0" collapsed="false">
      <c r="L5" s="70"/>
      <c r="M5" s="71" t="s">
        <v>85</v>
      </c>
      <c r="N5" s="72" t="n">
        <f aca="false">'Tong hop (TH)'!E17</f>
        <v>0</v>
      </c>
      <c r="O5" s="72" t="n">
        <f aca="false">'Tong hop (TH)'!E49</f>
        <v>0</v>
      </c>
    </row>
    <row r="6" customFormat="false" ht="23.25" hidden="false" customHeight="true" outlineLevel="0" collapsed="false">
      <c r="L6" s="70"/>
      <c r="M6" s="71" t="s">
        <v>86</v>
      </c>
      <c r="N6" s="72" t="n">
        <f aca="false">'Tong hop (TH)'!H17</f>
        <v>0</v>
      </c>
      <c r="O6" s="72" t="n">
        <f aca="false">'Tong hop (TH)'!H49</f>
        <v>0</v>
      </c>
    </row>
    <row r="7" customFormat="false" ht="23.25" hidden="false" customHeight="true" outlineLevel="0" collapsed="false">
      <c r="L7" s="70"/>
      <c r="M7" s="71" t="s">
        <v>87</v>
      </c>
      <c r="N7" s="72" t="n">
        <f aca="false">'Tong hop (TH)'!K17</f>
        <v>0</v>
      </c>
      <c r="O7" s="72" t="n">
        <f aca="false">'Tong hop (TH)'!K49</f>
        <v>0</v>
      </c>
    </row>
    <row r="8" customFormat="false" ht="23.25" hidden="false" customHeight="true" outlineLevel="0" collapsed="false">
      <c r="L8" s="73" t="n">
        <v>2</v>
      </c>
      <c r="M8" s="74" t="s">
        <v>111</v>
      </c>
      <c r="N8" s="75" t="n">
        <f aca="false">SUM(N9:N11)</f>
        <v>854990000</v>
      </c>
      <c r="O8" s="75" t="n">
        <f aca="false">SUM(O9:O11)</f>
        <v>854990000</v>
      </c>
    </row>
    <row r="9" customFormat="false" ht="23.25" hidden="false" customHeight="true" outlineLevel="0" collapsed="false">
      <c r="L9" s="76"/>
      <c r="M9" s="77" t="s">
        <v>85</v>
      </c>
      <c r="N9" s="78" t="n">
        <f aca="false">'Tong hop (TH)'!D17</f>
        <v>0</v>
      </c>
      <c r="O9" s="78" t="n">
        <f aca="false">'Tong hop (TH)'!D49</f>
        <v>0</v>
      </c>
    </row>
    <row r="10" customFormat="false" ht="23.25" hidden="false" customHeight="true" outlineLevel="0" collapsed="false">
      <c r="L10" s="76"/>
      <c r="M10" s="77" t="s">
        <v>86</v>
      </c>
      <c r="N10" s="78" t="n">
        <f aca="false">'Tong hop (TH)'!G17</f>
        <v>0</v>
      </c>
      <c r="O10" s="78" t="n">
        <f aca="false">'Tong hop (TH)'!G49</f>
        <v>0</v>
      </c>
    </row>
    <row r="11" customFormat="false" ht="23.25" hidden="false" customHeight="true" outlineLevel="0" collapsed="false">
      <c r="L11" s="76"/>
      <c r="M11" s="77" t="s">
        <v>87</v>
      </c>
      <c r="N11" s="78" t="n">
        <f aca="false">'Tong hop (TH)'!J17</f>
        <v>854990000</v>
      </c>
      <c r="O11" s="78" t="n">
        <f aca="false">'Tong hop (TH)'!J49</f>
        <v>854990000</v>
      </c>
    </row>
    <row r="12" customFormat="false" ht="23.25" hidden="false" customHeight="true" outlineLevel="0" collapsed="false">
      <c r="L12" s="79"/>
      <c r="M12" s="79" t="s">
        <v>112</v>
      </c>
      <c r="N12" s="80" t="n">
        <f aca="false">N4+N8</f>
        <v>854990000</v>
      </c>
      <c r="O12" s="80" t="n">
        <f aca="false">O4+O8</f>
        <v>854990000</v>
      </c>
    </row>
    <row r="13" customFormat="false" ht="23.25" hidden="false" customHeight="true" outlineLevel="0" collapsed="false">
      <c r="L13" s="81"/>
      <c r="M13" s="82" t="s">
        <v>98</v>
      </c>
      <c r="N13" s="83" t="n">
        <f aca="false">'Tong hop (TH)'!L17</f>
        <v>10800000000</v>
      </c>
      <c r="O13" s="83" t="n">
        <f aca="false">'Tong hop (TH)'!L49</f>
        <v>29800000000</v>
      </c>
    </row>
    <row r="14" customFormat="false" ht="24.45" hidden="false" customHeight="false" outlineLevel="0" collapsed="false">
      <c r="L14" s="81"/>
      <c r="M14" s="79" t="s">
        <v>113</v>
      </c>
      <c r="N14" s="84" t="n">
        <f aca="false">N12/N13</f>
        <v>0.0791657407407407</v>
      </c>
      <c r="O14" s="84" t="n">
        <f aca="false">O12/O13</f>
        <v>0.0286909395973154</v>
      </c>
    </row>
    <row r="15" customFormat="false" ht="15" hidden="false" customHeight="false" outlineLevel="0" collapsed="false">
      <c r="N15" s="47"/>
      <c r="O15" s="47"/>
    </row>
    <row r="17" customFormat="false" ht="19.7" hidden="false" customHeight="false" outlineLevel="0" collapsed="false">
      <c r="A17" s="85" t="s">
        <v>114</v>
      </c>
      <c r="B17" s="86"/>
      <c r="C17" s="86"/>
      <c r="D17" s="86"/>
      <c r="E17" s="86"/>
      <c r="F17" s="86"/>
      <c r="G17" s="86"/>
      <c r="H17" s="86"/>
      <c r="I17" s="86"/>
      <c r="J17" s="86"/>
    </row>
    <row r="18" customFormat="false" ht="15" hidden="false" customHeight="false" outlineLevel="0" collapsed="false">
      <c r="A18" s="3"/>
    </row>
    <row r="19" customFormat="false" ht="15" hidden="false" customHeight="true" outlineLevel="0" collapsed="false">
      <c r="A19" s="3"/>
      <c r="I19" s="40" t="s">
        <v>115</v>
      </c>
      <c r="J19" s="40"/>
    </row>
    <row r="20" customFormat="false" ht="15" hidden="false" customHeight="true" outlineLevel="0" collapsed="false">
      <c r="I20" s="41" t="n">
        <f aca="false">'KH hieu chinh'!C25</f>
        <v>0</v>
      </c>
      <c r="J20" s="41"/>
    </row>
    <row r="21" customFormat="false" ht="15" hidden="false" customHeight="true" outlineLevel="0" collapsed="false">
      <c r="I21" s="41"/>
      <c r="J21" s="41"/>
    </row>
    <row r="22" customFormat="false" ht="15" hidden="false" customHeight="true" outlineLevel="0" collapsed="false"/>
    <row r="23" customFormat="false" ht="15" hidden="false" customHeight="true" outlineLevel="0" collapsed="false">
      <c r="I23" s="40" t="s">
        <v>116</v>
      </c>
      <c r="J23" s="40"/>
    </row>
    <row r="24" customFormat="false" ht="15" hidden="false" customHeight="true" outlineLevel="0" collapsed="false">
      <c r="I24" s="41" t="n">
        <f aca="false">'KH hieu chinh'!E25</f>
        <v>0</v>
      </c>
      <c r="J24" s="41"/>
    </row>
    <row r="25" customFormat="false" ht="15" hidden="false" customHeight="true" outlineLevel="0" collapsed="false">
      <c r="I25" s="41"/>
      <c r="J25" s="41"/>
    </row>
    <row r="26" customFormat="false" ht="15.75" hidden="false" customHeight="true" outlineLevel="0" collapsed="false"/>
    <row r="27" customFormat="false" ht="17.35" hidden="false" customHeight="true" outlineLevel="0" collapsed="false">
      <c r="I27" s="42" t="s">
        <v>117</v>
      </c>
      <c r="J27" s="42"/>
    </row>
    <row r="28" customFormat="false" ht="15" hidden="false" customHeight="true" outlineLevel="0" collapsed="false">
      <c r="I28" s="43" t="e">
        <f aca="false">I24/I20</f>
        <v>#DIV/0!</v>
      </c>
      <c r="J28" s="43"/>
    </row>
    <row r="29" customFormat="false" ht="15" hidden="false" customHeight="true" outlineLevel="0" collapsed="false">
      <c r="I29" s="43"/>
      <c r="J29" s="43"/>
    </row>
    <row r="30" customFormat="false" ht="15" hidden="false" customHeight="true" outlineLevel="0" collapsed="false">
      <c r="I30" s="43"/>
      <c r="J30" s="43"/>
    </row>
    <row r="31" customFormat="false" ht="15" hidden="false" customHeight="true" outlineLevel="0" collapsed="false"/>
    <row r="32" customFormat="false" ht="15" hidden="false" customHeight="true" outlineLevel="0" collapsed="false"/>
    <row r="33" customFormat="false" ht="15" hidden="false" customHeight="false" outlineLevel="0" collapsed="false">
      <c r="I33" s="48" t="s">
        <v>118</v>
      </c>
      <c r="J33" s="48"/>
    </row>
    <row r="34" customFormat="false" ht="15" hidden="false" customHeight="true" outlineLevel="0" collapsed="false">
      <c r="I34" s="49" t="n">
        <f aca="false">'KH hieu chinh'!C51</f>
        <v>10000000000</v>
      </c>
      <c r="J34" s="49"/>
    </row>
    <row r="35" customFormat="false" ht="15" hidden="false" customHeight="true" outlineLevel="0" collapsed="false">
      <c r="I35" s="49"/>
      <c r="J35" s="49"/>
    </row>
    <row r="36" customFormat="false" ht="15" hidden="false" customHeight="false" outlineLevel="0" collapsed="false">
      <c r="I36" s="50"/>
      <c r="J36" s="50"/>
    </row>
    <row r="37" customFormat="false" ht="15" hidden="false" customHeight="false" outlineLevel="0" collapsed="false">
      <c r="I37" s="48" t="s">
        <v>119</v>
      </c>
      <c r="J37" s="48"/>
    </row>
    <row r="38" customFormat="false" ht="15" hidden="false" customHeight="true" outlineLevel="0" collapsed="false">
      <c r="I38" s="49" t="n">
        <f aca="false">'KH hieu chinh'!E51</f>
        <v>0</v>
      </c>
      <c r="J38" s="49"/>
    </row>
    <row r="39" customFormat="false" ht="15" hidden="false" customHeight="true" outlineLevel="0" collapsed="false">
      <c r="I39" s="49"/>
      <c r="J39" s="49"/>
    </row>
    <row r="40" customFormat="false" ht="15" hidden="false" customHeight="false" outlineLevel="0" collapsed="false">
      <c r="I40" s="50"/>
      <c r="J40" s="50"/>
    </row>
    <row r="41" customFormat="false" ht="17.35" hidden="false" customHeight="true" outlineLevel="0" collapsed="false">
      <c r="I41" s="51" t="s">
        <v>120</v>
      </c>
      <c r="J41" s="51"/>
    </row>
    <row r="42" customFormat="false" ht="15" hidden="false" customHeight="true" outlineLevel="0" collapsed="false">
      <c r="I42" s="52" t="n">
        <f aca="false">I38/I34</f>
        <v>0</v>
      </c>
      <c r="J42" s="52"/>
    </row>
    <row r="43" customFormat="false" ht="15" hidden="false" customHeight="true" outlineLevel="0" collapsed="false">
      <c r="I43" s="52"/>
      <c r="J43" s="52"/>
    </row>
    <row r="44" customFormat="false" ht="15" hidden="false" customHeight="false" outlineLevel="0" collapsed="false">
      <c r="I44" s="52"/>
      <c r="J44" s="52"/>
    </row>
    <row r="46" customFormat="false" ht="19.7" hidden="false" customHeight="false" outlineLevel="0" collapsed="false">
      <c r="A46" s="87" t="s">
        <v>121</v>
      </c>
      <c r="B46" s="88"/>
      <c r="C46" s="88"/>
      <c r="D46" s="88"/>
      <c r="E46" s="88"/>
      <c r="F46" s="88"/>
      <c r="G46" s="88"/>
      <c r="H46" s="88"/>
      <c r="I46" s="88"/>
      <c r="J46" s="88"/>
    </row>
    <row r="48" customFormat="false" ht="15" hidden="false" customHeight="false" outlineLevel="0" collapsed="false">
      <c r="I48" s="53" t="s">
        <v>98</v>
      </c>
      <c r="J48" s="53"/>
    </row>
    <row r="49" customFormat="false" ht="15" hidden="false" customHeight="false" outlineLevel="0" collapsed="false">
      <c r="I49" s="41" t="n">
        <f aca="false">'KH hieu chinh'!F25</f>
        <v>0</v>
      </c>
      <c r="J49" s="41"/>
    </row>
    <row r="50" customFormat="false" ht="15" hidden="false" customHeight="true" outlineLevel="0" collapsed="false">
      <c r="I50" s="41"/>
      <c r="J50" s="41"/>
    </row>
    <row r="51" customFormat="false" ht="15" hidden="false" customHeight="true" outlineLevel="0" collapsed="false">
      <c r="I51" s="54"/>
      <c r="J51" s="54"/>
    </row>
    <row r="52" customFormat="false" ht="15" hidden="false" customHeight="false" outlineLevel="0" collapsed="false">
      <c r="I52" s="53" t="s">
        <v>99</v>
      </c>
      <c r="J52" s="53"/>
    </row>
    <row r="53" customFormat="false" ht="15" hidden="false" customHeight="false" outlineLevel="0" collapsed="false">
      <c r="I53" s="41" t="n">
        <f aca="false">'KH hieu chinh'!H25</f>
        <v>854990000</v>
      </c>
      <c r="J53" s="41"/>
    </row>
    <row r="54" customFormat="false" ht="15" hidden="false" customHeight="true" outlineLevel="0" collapsed="false">
      <c r="I54" s="41"/>
      <c r="J54" s="41"/>
    </row>
    <row r="55" customFormat="false" ht="15" hidden="false" customHeight="true" outlineLevel="0" collapsed="false">
      <c r="I55" s="54"/>
      <c r="J55" s="54"/>
    </row>
    <row r="56" customFormat="false" ht="17.35" hidden="false" customHeight="true" outlineLevel="0" collapsed="false">
      <c r="I56" s="42" t="s">
        <v>120</v>
      </c>
      <c r="J56" s="42"/>
    </row>
    <row r="57" customFormat="false" ht="15" hidden="false" customHeight="true" outlineLevel="0" collapsed="false">
      <c r="I57" s="43" t="e">
        <f aca="false">I53/I49</f>
        <v>#DIV/0!</v>
      </c>
      <c r="J57" s="43"/>
    </row>
    <row r="58" customFormat="false" ht="15" hidden="false" customHeight="true" outlineLevel="0" collapsed="false">
      <c r="I58" s="43"/>
      <c r="J58" s="43"/>
      <c r="N58" s="89"/>
    </row>
    <row r="59" customFormat="false" ht="15" hidden="false" customHeight="true" outlineLevel="0" collapsed="false">
      <c r="I59" s="43"/>
      <c r="J59" s="43"/>
    </row>
    <row r="60" customFormat="false" ht="15" hidden="false" customHeight="false" outlineLevel="0" collapsed="false">
      <c r="N60" s="47"/>
    </row>
    <row r="61" customFormat="false" ht="15" hidden="false" customHeight="false" outlineLevel="0" collapsed="false">
      <c r="I61" s="55" t="s">
        <v>98</v>
      </c>
      <c r="J61" s="55"/>
    </row>
    <row r="62" customFormat="false" ht="15" hidden="false" customHeight="false" outlineLevel="0" collapsed="false">
      <c r="I62" s="49" t="n">
        <f aca="false">'KH hieu chinh'!F51</f>
        <v>9000000000</v>
      </c>
      <c r="J62" s="49"/>
    </row>
    <row r="63" customFormat="false" ht="15" hidden="false" customHeight="true" outlineLevel="0" collapsed="false">
      <c r="I63" s="49"/>
      <c r="J63" s="49"/>
    </row>
    <row r="64" customFormat="false" ht="15" hidden="false" customHeight="true" outlineLevel="0" collapsed="false"/>
    <row r="65" customFormat="false" ht="15" hidden="false" customHeight="false" outlineLevel="0" collapsed="false">
      <c r="I65" s="55" t="s">
        <v>99</v>
      </c>
      <c r="J65" s="55"/>
    </row>
    <row r="66" customFormat="false" ht="15" hidden="false" customHeight="false" outlineLevel="0" collapsed="false">
      <c r="I66" s="49" t="n">
        <f aca="false">'KH hieu chinh'!H51</f>
        <v>854990000</v>
      </c>
      <c r="J66" s="49"/>
    </row>
    <row r="67" customFormat="false" ht="15" hidden="false" customHeight="true" outlineLevel="0" collapsed="false">
      <c r="I67" s="49"/>
      <c r="J67" s="49"/>
    </row>
    <row r="68" customFormat="false" ht="15" hidden="false" customHeight="true" outlineLevel="0" collapsed="false"/>
    <row r="69" customFormat="false" ht="17.35" hidden="false" customHeight="true" outlineLevel="0" collapsed="false">
      <c r="I69" s="51" t="s">
        <v>120</v>
      </c>
      <c r="J69" s="51"/>
    </row>
    <row r="70" customFormat="false" ht="15" hidden="false" customHeight="true" outlineLevel="0" collapsed="false">
      <c r="I70" s="52" t="n">
        <f aca="false">I66/I62</f>
        <v>0.0949988888888889</v>
      </c>
      <c r="J70" s="52"/>
    </row>
    <row r="71" customFormat="false" ht="15" hidden="false" customHeight="true" outlineLevel="0" collapsed="false">
      <c r="I71" s="52"/>
      <c r="J71" s="52"/>
    </row>
    <row r="72" customFormat="false" ht="15" hidden="false" customHeight="true" outlineLevel="0" collapsed="false">
      <c r="I72" s="52"/>
      <c r="J72" s="52"/>
    </row>
    <row r="74" customFormat="false" ht="19.7" hidden="false" customHeight="false" outlineLevel="0" collapsed="false">
      <c r="A74" s="90" t="s">
        <v>122</v>
      </c>
      <c r="B74" s="91"/>
      <c r="C74" s="91"/>
      <c r="D74" s="91"/>
      <c r="E74" s="91"/>
      <c r="F74" s="91"/>
      <c r="G74" s="91"/>
      <c r="H74" s="91"/>
      <c r="I74" s="91"/>
      <c r="J74" s="91"/>
    </row>
    <row r="90" customFormat="false" ht="15" hidden="false" customHeight="false" outlineLevel="0" collapsed="false">
      <c r="I90" s="92" t="s">
        <v>98</v>
      </c>
      <c r="J90" s="92"/>
    </row>
    <row r="91" customFormat="false" ht="15" hidden="false" customHeight="false" outlineLevel="0" collapsed="false">
      <c r="I91" s="93" t="n">
        <f aca="false">'Tong hop (TH)'!C17</f>
        <v>10800000000</v>
      </c>
      <c r="J91" s="93"/>
    </row>
    <row r="92" customFormat="false" ht="15" hidden="false" customHeight="false" outlineLevel="0" collapsed="false">
      <c r="I92" s="93"/>
      <c r="J92" s="93"/>
    </row>
    <row r="93" customFormat="false" ht="15" hidden="false" customHeight="false" outlineLevel="0" collapsed="false">
      <c r="I93" s="54"/>
      <c r="J93" s="54"/>
    </row>
    <row r="94" customFormat="false" ht="15" hidden="false" customHeight="false" outlineLevel="0" collapsed="false">
      <c r="I94" s="92" t="s">
        <v>99</v>
      </c>
      <c r="J94" s="92"/>
    </row>
    <row r="95" customFormat="false" ht="15" hidden="false" customHeight="false" outlineLevel="0" collapsed="false">
      <c r="I95" s="93" t="n">
        <f aca="false">'KH hieu chinh'!N23</f>
        <v>0</v>
      </c>
      <c r="J95" s="93"/>
    </row>
    <row r="96" customFormat="false" ht="15" hidden="false" customHeight="false" outlineLevel="0" collapsed="false">
      <c r="I96" s="93"/>
      <c r="J96" s="93"/>
    </row>
    <row r="97" customFormat="false" ht="15" hidden="false" customHeight="false" outlineLevel="0" collapsed="false">
      <c r="I97" s="54"/>
      <c r="J97" s="54"/>
    </row>
    <row r="98" customFormat="false" ht="17.35" hidden="false" customHeight="true" outlineLevel="0" collapsed="false">
      <c r="I98" s="94" t="s">
        <v>120</v>
      </c>
      <c r="J98" s="94"/>
    </row>
    <row r="99" customFormat="false" ht="15" hidden="false" customHeight="false" outlineLevel="0" collapsed="false">
      <c r="I99" s="95" t="n">
        <f aca="false">I95/I91</f>
        <v>0</v>
      </c>
      <c r="J99" s="95"/>
    </row>
    <row r="100" customFormat="false" ht="15" hidden="false" customHeight="false" outlineLevel="0" collapsed="false">
      <c r="I100" s="95"/>
      <c r="J100" s="95"/>
    </row>
    <row r="101" customFormat="false" ht="15" hidden="false" customHeight="false" outlineLevel="0" collapsed="false">
      <c r="I101" s="95"/>
      <c r="J101" s="95"/>
    </row>
  </sheetData>
  <mergeCells count="35">
    <mergeCell ref="E1:F1"/>
    <mergeCell ref="G1:H1"/>
    <mergeCell ref="L1:O1"/>
    <mergeCell ref="L3:L4"/>
    <mergeCell ref="M3:M4"/>
    <mergeCell ref="I19:J19"/>
    <mergeCell ref="I20:J21"/>
    <mergeCell ref="I23:J23"/>
    <mergeCell ref="I24:J25"/>
    <mergeCell ref="I27:J27"/>
    <mergeCell ref="I28:J30"/>
    <mergeCell ref="I33:J33"/>
    <mergeCell ref="I34:J35"/>
    <mergeCell ref="I37:J37"/>
    <mergeCell ref="I38:J39"/>
    <mergeCell ref="I41:J41"/>
    <mergeCell ref="I42:J44"/>
    <mergeCell ref="I48:J48"/>
    <mergeCell ref="I49:J50"/>
    <mergeCell ref="I52:J52"/>
    <mergeCell ref="I53:J54"/>
    <mergeCell ref="I56:J56"/>
    <mergeCell ref="I57:J59"/>
    <mergeCell ref="I61:J61"/>
    <mergeCell ref="I62:J63"/>
    <mergeCell ref="I65:J65"/>
    <mergeCell ref="I66:J67"/>
    <mergeCell ref="I69:J69"/>
    <mergeCell ref="I70:J72"/>
    <mergeCell ref="I90:J90"/>
    <mergeCell ref="I91:J92"/>
    <mergeCell ref="I94:J94"/>
    <mergeCell ref="I95:J96"/>
    <mergeCell ref="I98:J98"/>
    <mergeCell ref="I99:J101"/>
  </mergeCells>
  <printOptions headings="false" gridLines="false" gridLinesSet="true" horizontalCentered="false" verticalCentered="false"/>
  <pageMargins left="0.7" right="0.7" top="0.75" bottom="0.75"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O83"/>
  <sheetViews>
    <sheetView showFormulas="false" showGridLines="true" showRowColHeaders="true" showZeros="true" rightToLeft="false" tabSelected="false" showOutlineSymbols="true" defaultGridColor="true" view="normal" topLeftCell="A13" colorId="64" zoomScale="75" zoomScaleNormal="75" zoomScalePageLayoutView="100" workbookViewId="0">
      <selection pane="topLeft" activeCell="C39" activeCellId="0" sqref="C39"/>
    </sheetView>
  </sheetViews>
  <sheetFormatPr defaultColWidth="8.6796875" defaultRowHeight="15" customHeight="false" zeroHeight="false" outlineLevelRow="0" outlineLevelCol="0"/>
  <cols>
    <col collapsed="false" customWidth="true" hidden="false" outlineLevel="0" max="2" min="2" style="1" width="20.42"/>
    <col collapsed="false" customWidth="true" hidden="false" outlineLevel="0" max="3" min="3" style="1" width="21.29"/>
    <col collapsed="false" customWidth="true" hidden="false" outlineLevel="0" max="4" min="4" style="1" width="18.29"/>
    <col collapsed="false" customWidth="true" hidden="false" outlineLevel="0" max="9" min="9" style="1" width="20.29"/>
    <col collapsed="false" customWidth="true" hidden="false" outlineLevel="0" max="10" min="10" style="1" width="22"/>
    <col collapsed="false" customWidth="true" hidden="false" outlineLevel="0" max="11" min="11" style="1" width="8.15"/>
    <col collapsed="false" customWidth="true" hidden="false" outlineLevel="0" max="12" min="12" style="1" width="5.57"/>
    <col collapsed="false" customWidth="true" hidden="false" outlineLevel="0" max="13" min="13" style="1" width="23.14"/>
    <col collapsed="false" customWidth="true" hidden="false" outlineLevel="0" max="14" min="14" style="1" width="25.14"/>
    <col collapsed="false" customWidth="true" hidden="false" outlineLevel="0" max="15" min="15" style="1" width="24.14"/>
    <col collapsed="false" customWidth="true" hidden="false" outlineLevel="0" max="16" min="16" style="1" width="13.71"/>
    <col collapsed="false" customWidth="true" hidden="false" outlineLevel="0" max="18" min="17" style="1" width="9.14"/>
  </cols>
  <sheetData>
    <row r="1" customFormat="false" ht="15" hidden="false" customHeight="false" outlineLevel="0" collapsed="false">
      <c r="A1" s="3"/>
      <c r="D1" s="96" t="s">
        <v>123</v>
      </c>
      <c r="E1" s="97" t="e">
        <f aca="false">#ref!</f>
        <v>#NAME?</v>
      </c>
      <c r="F1" s="97"/>
      <c r="G1" s="98" t="s">
        <v>124</v>
      </c>
      <c r="H1" s="98"/>
      <c r="I1" s="99" t="e">
        <f aca="false">#ref!</f>
        <v>#NAME?</v>
      </c>
    </row>
    <row r="2" customFormat="false" ht="19.7" hidden="false" customHeight="false" outlineLevel="0" collapsed="false">
      <c r="A2" s="57" t="s">
        <v>78</v>
      </c>
      <c r="B2" s="58"/>
      <c r="C2" s="58"/>
      <c r="D2" s="58"/>
      <c r="E2" s="100"/>
      <c r="F2" s="100"/>
      <c r="G2" s="58"/>
      <c r="H2" s="58"/>
      <c r="I2" s="58"/>
      <c r="J2" s="58"/>
      <c r="L2" s="101" t="s">
        <v>125</v>
      </c>
      <c r="M2" s="101"/>
      <c r="N2" s="101"/>
      <c r="O2" s="101"/>
    </row>
    <row r="3" customFormat="false" ht="17.35" hidden="false" customHeight="false" outlineLevel="0" collapsed="false">
      <c r="L3" s="64" t="s">
        <v>81</v>
      </c>
      <c r="M3" s="64" t="s">
        <v>82</v>
      </c>
      <c r="N3" s="65" t="s">
        <v>83</v>
      </c>
      <c r="O3" s="65" t="s">
        <v>84</v>
      </c>
    </row>
    <row r="4" customFormat="false" ht="24.45" hidden="false" customHeight="false" outlineLevel="0" collapsed="false">
      <c r="L4" s="66" t="n">
        <v>1</v>
      </c>
      <c r="M4" s="67" t="s">
        <v>9</v>
      </c>
      <c r="N4" s="68" t="e">
        <f aca="false">#ref!</f>
        <v>#NAME?</v>
      </c>
      <c r="O4" s="68" t="e">
        <f aca="false">#ref!</f>
        <v>#NAME?</v>
      </c>
    </row>
    <row r="5" customFormat="false" ht="23.25" hidden="false" customHeight="true" outlineLevel="0" collapsed="false">
      <c r="L5" s="66"/>
      <c r="M5" s="67"/>
      <c r="N5" s="69" t="n">
        <f aca="false">SUM(N6:N8)</f>
        <v>0</v>
      </c>
      <c r="O5" s="69" t="n">
        <f aca="false">SUM(O6:O8)</f>
        <v>0</v>
      </c>
    </row>
    <row r="6" customFormat="false" ht="23.25" hidden="false" customHeight="true" outlineLevel="0" collapsed="false">
      <c r="L6" s="70"/>
      <c r="M6" s="71" t="s">
        <v>85</v>
      </c>
      <c r="N6" s="72" t="n">
        <f aca="false">'KH hieu chinh'!C58</f>
        <v>0</v>
      </c>
      <c r="O6" s="72" t="n">
        <f aca="false">'KH hieu chinh'!D58</f>
        <v>0</v>
      </c>
    </row>
    <row r="7" customFormat="false" ht="23.25" hidden="false" customHeight="true" outlineLevel="0" collapsed="false">
      <c r="L7" s="70"/>
      <c r="M7" s="71" t="s">
        <v>86</v>
      </c>
      <c r="N7" s="72" t="n">
        <f aca="false">'KH hieu chinh'!C60</f>
        <v>0</v>
      </c>
      <c r="O7" s="72" t="n">
        <f aca="false">'KH hieu chinh'!D60</f>
        <v>0</v>
      </c>
    </row>
    <row r="8" customFormat="false" ht="23.25" hidden="false" customHeight="true" outlineLevel="0" collapsed="false">
      <c r="L8" s="70"/>
      <c r="M8" s="71" t="s">
        <v>87</v>
      </c>
      <c r="N8" s="72" t="n">
        <f aca="false">'KH hieu chinh'!C61</f>
        <v>0</v>
      </c>
      <c r="O8" s="72" t="n">
        <f aca="false">'KH hieu chinh'!D61</f>
        <v>0</v>
      </c>
    </row>
    <row r="9" customFormat="false" ht="23.25" hidden="false" customHeight="true" outlineLevel="0" collapsed="false">
      <c r="L9" s="73" t="n">
        <v>2</v>
      </c>
      <c r="M9" s="74" t="s">
        <v>88</v>
      </c>
      <c r="N9" s="75" t="n">
        <f aca="false">SUM(N10:N12)</f>
        <v>854990000</v>
      </c>
      <c r="O9" s="75" t="n">
        <f aca="false">SUM(O10:O12)</f>
        <v>854990000</v>
      </c>
    </row>
    <row r="10" customFormat="false" ht="23.25" hidden="false" customHeight="true" outlineLevel="0" collapsed="false">
      <c r="L10" s="76"/>
      <c r="M10" s="77" t="s">
        <v>85</v>
      </c>
      <c r="N10" s="78" t="n">
        <f aca="false">'KH hieu chinh'!C63</f>
        <v>0</v>
      </c>
      <c r="O10" s="78" t="n">
        <f aca="false">'KH hieu chinh'!D63</f>
        <v>0</v>
      </c>
    </row>
    <row r="11" customFormat="false" ht="23.25" hidden="false" customHeight="true" outlineLevel="0" collapsed="false">
      <c r="L11" s="76"/>
      <c r="M11" s="77" t="s">
        <v>86</v>
      </c>
      <c r="N11" s="78" t="n">
        <f aca="false">'KH hieu chinh'!C64</f>
        <v>854990000</v>
      </c>
      <c r="O11" s="78" t="n">
        <f aca="false">'KH hieu chinh'!D64</f>
        <v>854990000</v>
      </c>
    </row>
    <row r="12" customFormat="false" ht="23.25" hidden="false" customHeight="true" outlineLevel="0" collapsed="false">
      <c r="L12" s="76"/>
      <c r="M12" s="77" t="s">
        <v>87</v>
      </c>
      <c r="N12" s="78" t="n">
        <f aca="false">'KH hieu chinh'!C65</f>
        <v>0</v>
      </c>
      <c r="O12" s="78" t="n">
        <f aca="false">'KH hieu chinh'!D65</f>
        <v>0</v>
      </c>
    </row>
    <row r="13" customFormat="false" ht="23.25" hidden="false" customHeight="true" outlineLevel="0" collapsed="false">
      <c r="L13" s="79"/>
      <c r="M13" s="79" t="s">
        <v>89</v>
      </c>
      <c r="N13" s="80" t="n">
        <f aca="false">N5+N9</f>
        <v>854990000</v>
      </c>
      <c r="O13" s="80" t="n">
        <f aca="false">O5+O9</f>
        <v>854990000</v>
      </c>
    </row>
    <row r="14" customFormat="false" ht="23.25" hidden="false" customHeight="true" outlineLevel="0" collapsed="false">
      <c r="L14" s="81"/>
      <c r="M14" s="82" t="s">
        <v>90</v>
      </c>
      <c r="N14" s="83" t="n">
        <f aca="false">'KH hieu chinh'!C67</f>
        <v>854990000</v>
      </c>
      <c r="O14" s="83" t="n">
        <f aca="false">'KH hieu chinh'!D67</f>
        <v>854990000</v>
      </c>
    </row>
    <row r="15" customFormat="false" ht="24.45" hidden="false" customHeight="false" outlineLevel="0" collapsed="false">
      <c r="L15" s="81"/>
      <c r="M15" s="79" t="s">
        <v>91</v>
      </c>
      <c r="N15" s="84" t="n">
        <f aca="false">N13/N14</f>
        <v>1</v>
      </c>
      <c r="O15" s="84" t="n">
        <f aca="false">O13/O14</f>
        <v>1</v>
      </c>
    </row>
    <row r="16" customFormat="false" ht="15" hidden="false" customHeight="false" outlineLevel="0" collapsed="false">
      <c r="N16" s="47"/>
      <c r="O16" s="47"/>
    </row>
    <row r="17" customFormat="false" ht="15" hidden="false" customHeight="false" outlineLevel="0" collapsed="false">
      <c r="N17" s="47"/>
      <c r="O17" s="47"/>
    </row>
    <row r="18" customFormat="false" ht="19.7" hidden="false" customHeight="false" outlineLevel="0" collapsed="false">
      <c r="A18" s="85" t="s">
        <v>126</v>
      </c>
      <c r="B18" s="86"/>
      <c r="C18" s="86"/>
      <c r="D18" s="86"/>
      <c r="E18" s="86"/>
      <c r="F18" s="86"/>
      <c r="G18" s="86"/>
      <c r="H18" s="86"/>
      <c r="I18" s="86"/>
      <c r="J18" s="86"/>
      <c r="N18" s="47"/>
      <c r="O18" s="47"/>
    </row>
    <row r="19" customFormat="false" ht="15" hidden="false" customHeight="true" outlineLevel="0" collapsed="false">
      <c r="A19" s="102" t="s">
        <v>127</v>
      </c>
      <c r="B19" s="103"/>
      <c r="C19" s="103"/>
      <c r="D19" s="103"/>
      <c r="E19" s="103"/>
      <c r="F19" s="103"/>
      <c r="G19" s="103"/>
      <c r="H19" s="103"/>
      <c r="I19" s="103"/>
      <c r="J19" s="103"/>
    </row>
    <row r="20" customFormat="false" ht="15" hidden="false" customHeight="true" outlineLevel="0" collapsed="false"/>
    <row r="21" customFormat="false" ht="15" hidden="false" customHeight="true" outlineLevel="0" collapsed="false"/>
    <row r="22" customFormat="false" ht="15" hidden="false" customHeight="false" outlineLevel="0" collapsed="false">
      <c r="O22" s="104"/>
    </row>
    <row r="23" customFormat="false" ht="15" hidden="false" customHeight="false" outlineLevel="0" collapsed="false">
      <c r="N23" s="105"/>
    </row>
    <row r="24" customFormat="false" ht="15" hidden="false" customHeight="true" outlineLevel="0" collapsed="false">
      <c r="N24" s="105"/>
    </row>
    <row r="25" customFormat="false" ht="15" hidden="false" customHeight="true" outlineLevel="0" collapsed="false"/>
    <row r="27" customFormat="false" ht="18.75" hidden="false" customHeight="true" outlineLevel="0" collapsed="false"/>
    <row r="28" customFormat="false" ht="15" hidden="false" customHeight="true" outlineLevel="0" collapsed="false"/>
    <row r="29" customFormat="false" ht="15" hidden="false" customHeight="true" outlineLevel="0" collapsed="false"/>
    <row r="30" customFormat="false" ht="15" hidden="false" customHeight="true" outlineLevel="0" collapsed="false"/>
    <row r="31" customFormat="false" ht="15" hidden="false" customHeight="true" outlineLevel="0" collapsed="false"/>
    <row r="32" customFormat="false" ht="15" hidden="false" customHeight="true" outlineLevel="0" collapsed="false"/>
    <row r="34" customFormat="false" ht="15" hidden="false" customHeight="true" outlineLevel="0" collapsed="false"/>
    <row r="35" customFormat="false" ht="15" hidden="false" customHeight="true" outlineLevel="0" collapsed="false"/>
    <row r="36" customFormat="false" ht="15" hidden="false" customHeight="true" outlineLevel="0" collapsed="false"/>
    <row r="37" customFormat="false" ht="15" hidden="false" customHeight="true" outlineLevel="0" collapsed="false"/>
    <row r="38" customFormat="false" ht="15" hidden="false" customHeight="true" outlineLevel="0" collapsed="false"/>
    <row r="39" customFormat="false" ht="15" hidden="false" customHeight="true" outlineLevel="0" collapsed="false"/>
    <row r="40" customFormat="false" ht="15" hidden="false" customHeight="true" outlineLevel="0" collapsed="false"/>
    <row r="41" customFormat="false" ht="15" hidden="false" customHeight="true" outlineLevel="0" collapsed="false"/>
    <row r="42" customFormat="false" ht="15" hidden="false" customHeight="true" outlineLevel="0" collapsed="false"/>
    <row r="43" customFormat="false" ht="15" hidden="false" customHeight="true" outlineLevel="0" collapsed="false"/>
    <row r="44" customFormat="false" ht="15" hidden="false" customHeight="true" outlineLevel="0" collapsed="false"/>
    <row r="47" customFormat="false" ht="15" hidden="false" customHeight="true" outlineLevel="0" collapsed="false"/>
    <row r="48" customFormat="false" ht="15" hidden="false" customHeight="true" outlineLevel="0" collapsed="false"/>
    <row r="50" customFormat="false" ht="18.75" hidden="false" customHeight="true" outlineLevel="0" collapsed="false"/>
    <row r="51" customFormat="false" ht="15" hidden="false" customHeight="true" outlineLevel="0" collapsed="false"/>
    <row r="52" customFormat="false" ht="15" hidden="false" customHeight="true" outlineLevel="0" collapsed="false"/>
    <row r="53" customFormat="false" ht="15" hidden="false" customHeight="true" outlineLevel="0" collapsed="false"/>
    <row r="55" customFormat="false" ht="19.7" hidden="false" customHeight="false" outlineLevel="0" collapsed="false">
      <c r="A55" s="106" t="s">
        <v>121</v>
      </c>
      <c r="B55" s="107"/>
      <c r="C55" s="107"/>
      <c r="D55" s="107"/>
      <c r="E55" s="107"/>
      <c r="F55" s="107"/>
      <c r="G55" s="107"/>
      <c r="H55" s="107"/>
      <c r="I55" s="107"/>
      <c r="J55" s="107"/>
    </row>
    <row r="57" customFormat="false" ht="15" hidden="false" customHeight="false" outlineLevel="0" collapsed="false">
      <c r="I57" s="53" t="s">
        <v>98</v>
      </c>
      <c r="J57" s="53"/>
    </row>
    <row r="58" customFormat="false" ht="15" hidden="false" customHeight="false" outlineLevel="0" collapsed="false">
      <c r="I58" s="41" t="n">
        <f aca="false">'KH hieu chinh'!$C$51</f>
        <v>10000000000</v>
      </c>
      <c r="J58" s="41"/>
    </row>
    <row r="59" customFormat="false" ht="15" hidden="false" customHeight="true" outlineLevel="0" collapsed="false">
      <c r="I59" s="41"/>
      <c r="J59" s="41"/>
    </row>
    <row r="60" customFormat="false" ht="15" hidden="false" customHeight="true" outlineLevel="0" collapsed="false">
      <c r="I60" s="54"/>
      <c r="J60" s="54"/>
    </row>
    <row r="61" customFormat="false" ht="15" hidden="false" customHeight="false" outlineLevel="0" collapsed="false">
      <c r="I61" s="53" t="s">
        <v>99</v>
      </c>
      <c r="J61" s="53"/>
    </row>
    <row r="62" customFormat="false" ht="15" hidden="false" customHeight="false" outlineLevel="0" collapsed="false">
      <c r="I62" s="41" t="n">
        <f aca="false">'KH hieu chinh'!$E$51</f>
        <v>0</v>
      </c>
      <c r="J62" s="41"/>
    </row>
    <row r="63" customFormat="false" ht="15" hidden="false" customHeight="true" outlineLevel="0" collapsed="false">
      <c r="I63" s="41"/>
      <c r="J63" s="41"/>
    </row>
    <row r="64" customFormat="false" ht="15" hidden="false" customHeight="true" outlineLevel="0" collapsed="false">
      <c r="I64" s="54"/>
      <c r="J64" s="54"/>
    </row>
    <row r="65" customFormat="false" ht="17.35" hidden="false" customHeight="true" outlineLevel="0" collapsed="false">
      <c r="I65" s="42" t="s">
        <v>120</v>
      </c>
      <c r="J65" s="42"/>
    </row>
    <row r="66" customFormat="false" ht="15" hidden="false" customHeight="true" outlineLevel="0" collapsed="false">
      <c r="I66" s="43" t="n">
        <f aca="false">'KH hieu chinh'!$E$51/'KH hieu chinh'!$C$51</f>
        <v>0</v>
      </c>
      <c r="J66" s="43"/>
    </row>
    <row r="67" customFormat="false" ht="15" hidden="false" customHeight="true" outlineLevel="0" collapsed="false">
      <c r="I67" s="43"/>
      <c r="J67" s="43"/>
      <c r="N67" s="89"/>
    </row>
    <row r="68" customFormat="false" ht="15" hidden="false" customHeight="true" outlineLevel="0" collapsed="false">
      <c r="I68" s="43"/>
      <c r="J68" s="43"/>
    </row>
    <row r="69" customFormat="false" ht="15" hidden="false" customHeight="false" outlineLevel="0" collapsed="false">
      <c r="N69" s="47"/>
    </row>
    <row r="70" customFormat="false" ht="15" hidden="false" customHeight="false" outlineLevel="0" collapsed="false">
      <c r="I70" s="55" t="s">
        <v>98</v>
      </c>
      <c r="J70" s="55"/>
    </row>
    <row r="71" customFormat="false" ht="15" hidden="false" customHeight="false" outlineLevel="0" collapsed="false">
      <c r="I71" s="49" t="n">
        <f aca="false">'KH hieu chinh'!$F$51</f>
        <v>9000000000</v>
      </c>
      <c r="J71" s="49"/>
    </row>
    <row r="72" customFormat="false" ht="15" hidden="false" customHeight="true" outlineLevel="0" collapsed="false">
      <c r="I72" s="49"/>
      <c r="J72" s="49"/>
    </row>
    <row r="73" customFormat="false" ht="15" hidden="false" customHeight="true" outlineLevel="0" collapsed="false"/>
    <row r="74" customFormat="false" ht="15" hidden="false" customHeight="false" outlineLevel="0" collapsed="false">
      <c r="I74" s="55" t="s">
        <v>99</v>
      </c>
      <c r="J74" s="55"/>
    </row>
    <row r="75" customFormat="false" ht="15" hidden="false" customHeight="false" outlineLevel="0" collapsed="false">
      <c r="I75" s="49" t="n">
        <f aca="false">'KH hieu chinh'!$H$51</f>
        <v>854990000</v>
      </c>
      <c r="J75" s="49"/>
    </row>
    <row r="76" customFormat="false" ht="15" hidden="false" customHeight="true" outlineLevel="0" collapsed="false">
      <c r="I76" s="49"/>
      <c r="J76" s="49"/>
    </row>
    <row r="77" customFormat="false" ht="15" hidden="false" customHeight="true" outlineLevel="0" collapsed="false"/>
    <row r="78" customFormat="false" ht="17.35" hidden="false" customHeight="true" outlineLevel="0" collapsed="false">
      <c r="I78" s="51" t="s">
        <v>120</v>
      </c>
      <c r="J78" s="51"/>
    </row>
    <row r="79" customFormat="false" ht="15" hidden="false" customHeight="true" outlineLevel="0" collapsed="false">
      <c r="I79" s="52" t="n">
        <f aca="false">'KH hieu chinh'!$H$51/'KH hieu chinh'!$F$51</f>
        <v>0.0949988888888889</v>
      </c>
      <c r="J79" s="52"/>
    </row>
    <row r="80" customFormat="false" ht="15" hidden="false" customHeight="true" outlineLevel="0" collapsed="false">
      <c r="I80" s="52"/>
      <c r="J80" s="52"/>
    </row>
    <row r="81" customFormat="false" ht="15" hidden="false" customHeight="true" outlineLevel="0" collapsed="false">
      <c r="I81" s="52"/>
      <c r="J81" s="52"/>
    </row>
    <row r="83" customFormat="false" ht="19.7" hidden="false" customHeight="false" outlineLevel="0" collapsed="false">
      <c r="A83" s="108" t="s">
        <v>122</v>
      </c>
      <c r="B83" s="109"/>
      <c r="C83" s="109"/>
      <c r="D83" s="109"/>
      <c r="E83" s="109"/>
      <c r="F83" s="109"/>
      <c r="G83" s="109"/>
      <c r="H83" s="109"/>
      <c r="I83" s="109"/>
      <c r="J83" s="109"/>
    </row>
  </sheetData>
  <mergeCells count="18">
    <mergeCell ref="E1:F1"/>
    <mergeCell ref="G1:H1"/>
    <mergeCell ref="E2:F2"/>
    <mergeCell ref="L2:O2"/>
    <mergeCell ref="L4:L5"/>
    <mergeCell ref="M4:M5"/>
    <mergeCell ref="I57:J57"/>
    <mergeCell ref="I58:J59"/>
    <mergeCell ref="I61:J61"/>
    <mergeCell ref="I62:J63"/>
    <mergeCell ref="I65:J65"/>
    <mergeCell ref="I66:J68"/>
    <mergeCell ref="I70:J70"/>
    <mergeCell ref="I71:J72"/>
    <mergeCell ref="I74:J74"/>
    <mergeCell ref="I75:J76"/>
    <mergeCell ref="I78:J78"/>
    <mergeCell ref="I79:J81"/>
  </mergeCells>
  <printOptions headings="false" gridLines="false" gridLinesSet="true" horizontalCentered="false" verticalCentered="false"/>
  <pageMargins left="0.7" right="0.7" top="0.75" bottom="0.75"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78"/>
  <sheetViews>
    <sheetView showFormulas="false" showGridLines="true" showRowColHeaders="true" showZeros="true" rightToLeft="false" tabSelected="false" showOutlineSymbols="true" defaultGridColor="true" view="normal" topLeftCell="A19" colorId="64" zoomScale="75" zoomScaleNormal="75" zoomScalePageLayoutView="100" workbookViewId="0">
      <pane xSplit="2" ySplit="0" topLeftCell="C19" activePane="topRight" state="frozen"/>
      <selection pane="topLeft" activeCell="A19" activeCellId="0" sqref="A19"/>
      <selection pane="topRight" activeCell="I70" activeCellId="0" sqref="I70"/>
    </sheetView>
  </sheetViews>
  <sheetFormatPr defaultColWidth="9.00390625" defaultRowHeight="18.75" customHeight="false" zeroHeight="false" outlineLevelRow="0" outlineLevelCol="0"/>
  <cols>
    <col collapsed="false" customWidth="true" hidden="false" outlineLevel="0" max="1" min="1" style="110" width="8.71"/>
    <col collapsed="false" customWidth="true" hidden="false" outlineLevel="0" max="2" min="2" style="110" width="13.42"/>
    <col collapsed="false" customWidth="true" hidden="false" outlineLevel="0" max="3" min="3" style="110" width="21.14"/>
    <col collapsed="false" customWidth="true" hidden="false" outlineLevel="0" max="4" min="4" style="110" width="23"/>
    <col collapsed="false" customWidth="true" hidden="false" outlineLevel="0" max="7" min="5" style="110" width="21.14"/>
    <col collapsed="false" customWidth="true" hidden="false" outlineLevel="0" max="11" min="8" style="110" width="19.71"/>
    <col collapsed="false" customWidth="true" hidden="false" outlineLevel="0" max="13" min="12" style="110" width="21.14"/>
    <col collapsed="false" customWidth="true" hidden="false" outlineLevel="0" max="14" min="14" style="110" width="21"/>
    <col collapsed="false" customWidth="true" hidden="false" outlineLevel="0" max="15" min="15" style="110" width="21.14"/>
    <col collapsed="false" customWidth="true" hidden="false" outlineLevel="0" max="16" min="16" style="110" width="20.71"/>
    <col collapsed="false" customWidth="true" hidden="false" outlineLevel="0" max="17" min="17" style="110" width="13"/>
    <col collapsed="false" customWidth="true" hidden="false" outlineLevel="0" max="18" min="18" style="110" width="10.29"/>
    <col collapsed="false" customWidth="true" hidden="false" outlineLevel="0" max="19" min="19" style="110" width="30.85"/>
    <col collapsed="false" customWidth="true" hidden="false" outlineLevel="0" max="20" min="20" style="110" width="20.71"/>
    <col collapsed="false" customWidth="true" hidden="false" outlineLevel="0" max="21" min="21" style="110" width="22.71"/>
    <col collapsed="false" customWidth="true" hidden="false" outlineLevel="0" max="28" min="22" style="110" width="19.29"/>
    <col collapsed="false" customWidth="false" hidden="false" outlineLevel="0" max="16384" min="29" style="110" width="9"/>
  </cols>
  <sheetData>
    <row r="1" customFormat="false" ht="18.75" hidden="false" customHeight="false" outlineLevel="0" collapsed="false">
      <c r="A1" s="111" t="s">
        <v>128</v>
      </c>
      <c r="E1" s="112"/>
      <c r="F1" s="113"/>
      <c r="I1" s="113"/>
      <c r="L1" s="113"/>
      <c r="N1" s="113"/>
      <c r="O1" s="113"/>
      <c r="R1" s="113"/>
    </row>
    <row r="2" customFormat="false" ht="18.75" hidden="false" customHeight="false" outlineLevel="0" collapsed="false">
      <c r="A2" s="114" t="s">
        <v>83</v>
      </c>
      <c r="B2" s="115"/>
      <c r="C2" s="116"/>
      <c r="D2" s="117"/>
      <c r="E2" s="112"/>
      <c r="F2" s="116"/>
      <c r="G2" s="115"/>
      <c r="H2" s="117"/>
      <c r="I2" s="116"/>
      <c r="J2" s="115"/>
      <c r="K2" s="117"/>
      <c r="L2" s="116"/>
      <c r="M2" s="115"/>
      <c r="N2" s="117"/>
      <c r="O2" s="116"/>
      <c r="Q2" s="118"/>
    </row>
    <row r="3" customFormat="false" ht="18.75" hidden="false" customHeight="true" outlineLevel="0" collapsed="false">
      <c r="A3" s="119" t="s">
        <v>129</v>
      </c>
      <c r="B3" s="120" t="s">
        <v>6</v>
      </c>
      <c r="C3" s="121" t="s">
        <v>85</v>
      </c>
      <c r="D3" s="121"/>
      <c r="E3" s="121"/>
      <c r="F3" s="121" t="s">
        <v>86</v>
      </c>
      <c r="G3" s="121"/>
      <c r="H3" s="121"/>
      <c r="I3" s="121" t="s">
        <v>130</v>
      </c>
      <c r="J3" s="121"/>
      <c r="K3" s="121"/>
      <c r="L3" s="121" t="s">
        <v>131</v>
      </c>
      <c r="M3" s="121"/>
      <c r="N3" s="121"/>
    </row>
    <row r="4" customFormat="false" ht="18.75" hidden="false" customHeight="false" outlineLevel="0" collapsed="false">
      <c r="A4" s="119"/>
      <c r="B4" s="120"/>
      <c r="C4" s="121" t="s">
        <v>132</v>
      </c>
      <c r="D4" s="121" t="s">
        <v>8</v>
      </c>
      <c r="E4" s="121" t="s">
        <v>9</v>
      </c>
      <c r="F4" s="121" t="s">
        <v>132</v>
      </c>
      <c r="G4" s="121" t="s">
        <v>8</v>
      </c>
      <c r="H4" s="121" t="s">
        <v>9</v>
      </c>
      <c r="I4" s="121" t="s">
        <v>132</v>
      </c>
      <c r="J4" s="121" t="s">
        <v>8</v>
      </c>
      <c r="K4" s="121" t="s">
        <v>9</v>
      </c>
      <c r="L4" s="121" t="s">
        <v>132</v>
      </c>
      <c r="M4" s="121" t="s">
        <v>8</v>
      </c>
      <c r="N4" s="121" t="s">
        <v>9</v>
      </c>
    </row>
    <row r="5" customFormat="false" ht="18.75" hidden="false" customHeight="false" outlineLevel="0" collapsed="false">
      <c r="A5" s="122" t="n">
        <v>1</v>
      </c>
      <c r="B5" s="123" t="s">
        <v>133</v>
      </c>
      <c r="C5" s="124" t="n">
        <v>900000000</v>
      </c>
      <c r="D5" s="124" t="n">
        <f aca="false">'KH hieu chinh'!M5</f>
        <v>0</v>
      </c>
      <c r="E5" s="125" t="n">
        <f aca="false">'Thuc te theo thang'!J5</f>
        <v>0</v>
      </c>
      <c r="F5" s="124"/>
      <c r="G5" s="126" t="n">
        <f aca="false">'KH hieu chinh'!C5</f>
        <v>0</v>
      </c>
      <c r="H5" s="125" t="n">
        <f aca="false">'Thuc te theo thang'!J6</f>
        <v>0</v>
      </c>
      <c r="I5" s="124"/>
      <c r="J5" s="126" t="n">
        <f aca="false">'KH hieu chinh'!D5</f>
        <v>0</v>
      </c>
      <c r="K5" s="125" t="n">
        <f aca="false">'Thuc te theo thang'!J208</f>
        <v>0</v>
      </c>
      <c r="L5" s="124" t="n">
        <f aca="false">C5+F5+I5</f>
        <v>900000000</v>
      </c>
      <c r="M5" s="126" t="n">
        <f aca="false">D5+G5+J5</f>
        <v>0</v>
      </c>
      <c r="N5" s="125" t="n">
        <f aca="false">E5+H5+K5</f>
        <v>0</v>
      </c>
    </row>
    <row r="6" customFormat="false" ht="18.75" hidden="false" customHeight="false" outlineLevel="0" collapsed="false">
      <c r="A6" s="122" t="n">
        <v>2</v>
      </c>
      <c r="B6" s="123" t="s">
        <v>134</v>
      </c>
      <c r="C6" s="124" t="n">
        <v>900000000</v>
      </c>
      <c r="D6" s="124" t="n">
        <f aca="false">'KH hieu chinh'!M6</f>
        <v>0</v>
      </c>
      <c r="E6" s="125" t="n">
        <f aca="false">'Thuc te theo thang'!L5</f>
        <v>0</v>
      </c>
      <c r="F6" s="124"/>
      <c r="G6" s="126" t="n">
        <f aca="false">'KH hieu chinh'!C6</f>
        <v>0</v>
      </c>
      <c r="H6" s="125" t="n">
        <f aca="false">'Thuc te theo thang'!L6</f>
        <v>0</v>
      </c>
      <c r="I6" s="124"/>
      <c r="J6" s="126" t="n">
        <f aca="false">'KH hieu chinh'!D6</f>
        <v>0</v>
      </c>
      <c r="K6" s="125" t="n">
        <f aca="false">'Thuc te theo thang'!L208</f>
        <v>0</v>
      </c>
      <c r="L6" s="124" t="n">
        <f aca="false">C6+F6+I6</f>
        <v>900000000</v>
      </c>
      <c r="M6" s="126" t="n">
        <f aca="false">D6+G6+J6</f>
        <v>0</v>
      </c>
      <c r="N6" s="125" t="n">
        <f aca="false">E6+H6+K6</f>
        <v>0</v>
      </c>
    </row>
    <row r="7" customFormat="false" ht="18.75" hidden="false" customHeight="false" outlineLevel="0" collapsed="false">
      <c r="A7" s="122" t="n">
        <v>3</v>
      </c>
      <c r="B7" s="123" t="s">
        <v>135</v>
      </c>
      <c r="C7" s="124" t="n">
        <v>900000000</v>
      </c>
      <c r="D7" s="124" t="n">
        <f aca="false">'KH hieu chinh'!M7</f>
        <v>0</v>
      </c>
      <c r="E7" s="125" t="n">
        <f aca="false">'Thuc te theo thang'!N5</f>
        <v>0</v>
      </c>
      <c r="F7" s="124"/>
      <c r="G7" s="126" t="n">
        <f aca="false">'KH hieu chinh'!C7</f>
        <v>0</v>
      </c>
      <c r="H7" s="125" t="n">
        <f aca="false">'Thuc te theo thang'!N6</f>
        <v>0</v>
      </c>
      <c r="I7" s="124"/>
      <c r="J7" s="126" t="n">
        <f aca="false">'KH hieu chinh'!D7</f>
        <v>0</v>
      </c>
      <c r="K7" s="125" t="n">
        <f aca="false">'Thuc te theo thang'!N208</f>
        <v>0</v>
      </c>
      <c r="L7" s="124" t="n">
        <f aca="false">C7+F7+I7</f>
        <v>900000000</v>
      </c>
      <c r="M7" s="126" t="n">
        <f aca="false">D7+G7+J7</f>
        <v>0</v>
      </c>
      <c r="N7" s="125" t="n">
        <f aca="false">E7+H7+K7</f>
        <v>0</v>
      </c>
      <c r="P7" s="113" t="n">
        <f aca="false">SUM(N5:N7)</f>
        <v>0</v>
      </c>
      <c r="R7" s="117"/>
      <c r="T7" s="113"/>
    </row>
    <row r="8" customFormat="false" ht="18.75" hidden="false" customHeight="false" outlineLevel="0" collapsed="false">
      <c r="A8" s="122" t="n">
        <v>4</v>
      </c>
      <c r="B8" s="123" t="s">
        <v>136</v>
      </c>
      <c r="C8" s="124" t="n">
        <v>900000000</v>
      </c>
      <c r="D8" s="124" t="n">
        <f aca="false">'KH hieu chinh'!M8</f>
        <v>0</v>
      </c>
      <c r="E8" s="125" t="n">
        <f aca="false">'Thuc te theo thang'!P5</f>
        <v>0</v>
      </c>
      <c r="F8" s="124"/>
      <c r="G8" s="126" t="n">
        <f aca="false">'KH hieu chinh'!C8</f>
        <v>0</v>
      </c>
      <c r="H8" s="125" t="n">
        <f aca="false">'Thuc te theo thang'!P6</f>
        <v>0</v>
      </c>
      <c r="I8" s="124"/>
      <c r="J8" s="126" t="n">
        <f aca="false">'KH hieu chinh'!D8</f>
        <v>0</v>
      </c>
      <c r="K8" s="125" t="n">
        <f aca="false">'Thuc te theo thang'!P208</f>
        <v>0</v>
      </c>
      <c r="L8" s="124" t="n">
        <f aca="false">C8+F8+I8</f>
        <v>900000000</v>
      </c>
      <c r="M8" s="126" t="n">
        <f aca="false">D8+G8+J8</f>
        <v>0</v>
      </c>
      <c r="N8" s="125" t="n">
        <f aca="false">E8+H8+K8</f>
        <v>0</v>
      </c>
      <c r="R8" s="113"/>
    </row>
    <row r="9" customFormat="false" ht="18.75" hidden="false" customHeight="false" outlineLevel="0" collapsed="false">
      <c r="A9" s="122" t="n">
        <v>5</v>
      </c>
      <c r="B9" s="123" t="s">
        <v>137</v>
      </c>
      <c r="C9" s="124" t="n">
        <v>900000000</v>
      </c>
      <c r="D9" s="124" t="n">
        <f aca="false">'KH hieu chinh'!M9</f>
        <v>0</v>
      </c>
      <c r="E9" s="125" t="n">
        <f aca="false">'Thuc te theo thang'!R5</f>
        <v>0</v>
      </c>
      <c r="F9" s="124"/>
      <c r="G9" s="126" t="n">
        <f aca="false">'KH hieu chinh'!C9</f>
        <v>0</v>
      </c>
      <c r="H9" s="125" t="n">
        <f aca="false">'Thuc te theo thang'!R6</f>
        <v>0</v>
      </c>
      <c r="I9" s="124"/>
      <c r="J9" s="126" t="n">
        <f aca="false">'KH hieu chinh'!D9</f>
        <v>0</v>
      </c>
      <c r="K9" s="125" t="n">
        <f aca="false">'Thuc te theo thang'!R208</f>
        <v>0</v>
      </c>
      <c r="L9" s="124" t="n">
        <f aca="false">C9+F9+I9</f>
        <v>900000000</v>
      </c>
      <c r="M9" s="126" t="n">
        <f aca="false">D9+G9+J9</f>
        <v>0</v>
      </c>
      <c r="N9" s="125" t="n">
        <f aca="false">E9+H9+K9</f>
        <v>0</v>
      </c>
    </row>
    <row r="10" customFormat="false" ht="18.75" hidden="false" customHeight="false" outlineLevel="0" collapsed="false">
      <c r="A10" s="122" t="n">
        <v>6</v>
      </c>
      <c r="B10" s="123" t="s">
        <v>138</v>
      </c>
      <c r="C10" s="124" t="n">
        <v>900000000</v>
      </c>
      <c r="D10" s="124" t="n">
        <f aca="false">'KH hieu chinh'!M10</f>
        <v>0</v>
      </c>
      <c r="E10" s="125" t="n">
        <f aca="false">'Thuc te theo thang'!T5</f>
        <v>0</v>
      </c>
      <c r="F10" s="124"/>
      <c r="G10" s="126" t="n">
        <f aca="false">'KH hieu chinh'!C10</f>
        <v>0</v>
      </c>
      <c r="H10" s="125" t="n">
        <f aca="false">'Thuc te theo thang'!T6</f>
        <v>0</v>
      </c>
      <c r="I10" s="124"/>
      <c r="J10" s="126" t="n">
        <f aca="false">'KH hieu chinh'!D10</f>
        <v>0</v>
      </c>
      <c r="K10" s="125" t="n">
        <f aca="false">'Thuc te theo thang'!T208</f>
        <v>0</v>
      </c>
      <c r="L10" s="124" t="n">
        <f aca="false">C10+F10+I10</f>
        <v>900000000</v>
      </c>
      <c r="M10" s="126" t="n">
        <f aca="false">D10+G10+J10</f>
        <v>0</v>
      </c>
      <c r="N10" s="125" t="n">
        <f aca="false">E10+H10+K10</f>
        <v>0</v>
      </c>
      <c r="P10" s="113" t="n">
        <f aca="false">SUM(N8:N10)</f>
        <v>0</v>
      </c>
    </row>
    <row r="11" customFormat="false" ht="18.75" hidden="false" customHeight="false" outlineLevel="0" collapsed="false">
      <c r="A11" s="122" t="n">
        <v>7</v>
      </c>
      <c r="B11" s="123" t="s">
        <v>139</v>
      </c>
      <c r="C11" s="124" t="n">
        <v>900000000</v>
      </c>
      <c r="D11" s="124" t="n">
        <f aca="false">'KH hieu chinh'!M11</f>
        <v>0</v>
      </c>
      <c r="E11" s="125" t="n">
        <f aca="false">'Thuc te theo thang'!V5</f>
        <v>0</v>
      </c>
      <c r="F11" s="124"/>
      <c r="G11" s="126" t="n">
        <f aca="false">'KH hieu chinh'!C11</f>
        <v>0</v>
      </c>
      <c r="H11" s="125" t="n">
        <f aca="false">'Thuc te theo thang'!V6</f>
        <v>0</v>
      </c>
      <c r="I11" s="124"/>
      <c r="J11" s="126" t="n">
        <f aca="false">'KH hieu chinh'!D11</f>
        <v>0</v>
      </c>
      <c r="K11" s="125" t="n">
        <f aca="false">'Thuc te theo thang'!V208</f>
        <v>0</v>
      </c>
      <c r="L11" s="124" t="n">
        <f aca="false">C11+F11+I11</f>
        <v>900000000</v>
      </c>
      <c r="M11" s="126" t="n">
        <f aca="false">D11+G11+J11</f>
        <v>0</v>
      </c>
      <c r="N11" s="125" t="n">
        <f aca="false">E11+H11+K11</f>
        <v>0</v>
      </c>
    </row>
    <row r="12" customFormat="false" ht="18.75" hidden="false" customHeight="false" outlineLevel="0" collapsed="false">
      <c r="A12" s="122" t="n">
        <v>8</v>
      </c>
      <c r="B12" s="123" t="s">
        <v>140</v>
      </c>
      <c r="C12" s="124" t="n">
        <v>900000000</v>
      </c>
      <c r="D12" s="124" t="n">
        <f aca="false">'KH hieu chinh'!M12</f>
        <v>0</v>
      </c>
      <c r="E12" s="125" t="n">
        <f aca="false">'Thuc te theo thang'!X5</f>
        <v>0</v>
      </c>
      <c r="F12" s="124"/>
      <c r="G12" s="126" t="n">
        <f aca="false">'KH hieu chinh'!C12</f>
        <v>0</v>
      </c>
      <c r="H12" s="125" t="n">
        <f aca="false">'Thuc te theo thang'!X6</f>
        <v>0</v>
      </c>
      <c r="I12" s="124"/>
      <c r="J12" s="126" t="n">
        <f aca="false">'KH hieu chinh'!D12</f>
        <v>0</v>
      </c>
      <c r="K12" s="125" t="n">
        <f aca="false">'Thuc te theo thang'!X208</f>
        <v>0</v>
      </c>
      <c r="L12" s="124" t="n">
        <f aca="false">C12+F12+I12</f>
        <v>900000000</v>
      </c>
      <c r="M12" s="126" t="n">
        <f aca="false">D12+G12+J12</f>
        <v>0</v>
      </c>
      <c r="N12" s="125" t="n">
        <f aca="false">E12+H12+K12</f>
        <v>0</v>
      </c>
    </row>
    <row r="13" customFormat="false" ht="18.75" hidden="false" customHeight="false" outlineLevel="0" collapsed="false">
      <c r="A13" s="122" t="n">
        <v>9</v>
      </c>
      <c r="B13" s="123" t="s">
        <v>141</v>
      </c>
      <c r="C13" s="124" t="n">
        <v>900000000</v>
      </c>
      <c r="D13" s="124" t="n">
        <f aca="false">'KH hieu chinh'!M13</f>
        <v>0</v>
      </c>
      <c r="E13" s="125" t="n">
        <f aca="false">'Thuc te theo thang'!Z5</f>
        <v>0</v>
      </c>
      <c r="F13" s="124"/>
      <c r="G13" s="126" t="n">
        <f aca="false">'KH hieu chinh'!C13</f>
        <v>0</v>
      </c>
      <c r="H13" s="125" t="n">
        <f aca="false">'Thuc te theo thang'!Z6</f>
        <v>0</v>
      </c>
      <c r="I13" s="124"/>
      <c r="J13" s="126" t="n">
        <f aca="false">'KH hieu chinh'!D13</f>
        <v>0</v>
      </c>
      <c r="K13" s="125" t="n">
        <f aca="false">'Thuc te theo thang'!Z208</f>
        <v>0</v>
      </c>
      <c r="L13" s="124" t="n">
        <f aca="false">C13+F13+I13</f>
        <v>900000000</v>
      </c>
      <c r="M13" s="126" t="n">
        <f aca="false">D13+G13+J13</f>
        <v>0</v>
      </c>
      <c r="N13" s="125" t="n">
        <f aca="false">E13+H13+K13</f>
        <v>0</v>
      </c>
      <c r="P13" s="113" t="n">
        <f aca="false">SUM(N11:N13)</f>
        <v>0</v>
      </c>
      <c r="R13" s="113"/>
      <c r="S13" s="113"/>
      <c r="T13" s="113"/>
      <c r="U13" s="113"/>
      <c r="V13" s="113"/>
      <c r="W13" s="113"/>
    </row>
    <row r="14" customFormat="false" ht="18.75" hidden="false" customHeight="false" outlineLevel="0" collapsed="false">
      <c r="A14" s="122" t="n">
        <v>10</v>
      </c>
      <c r="B14" s="123" t="s">
        <v>142</v>
      </c>
      <c r="C14" s="124" t="n">
        <v>900000000</v>
      </c>
      <c r="D14" s="124" t="n">
        <f aca="false">'KH hieu chinh'!M14</f>
        <v>0</v>
      </c>
      <c r="E14" s="125" t="n">
        <f aca="false">'Thuc te theo thang'!AB5</f>
        <v>0</v>
      </c>
      <c r="F14" s="124"/>
      <c r="G14" s="126" t="n">
        <f aca="false">'KH hieu chinh'!C14</f>
        <v>0</v>
      </c>
      <c r="H14" s="125" t="n">
        <f aca="false">'Thuc te theo thang'!AB6</f>
        <v>0</v>
      </c>
      <c r="I14" s="124"/>
      <c r="J14" s="126" t="n">
        <f aca="false">'KH hieu chinh'!D14</f>
        <v>0</v>
      </c>
      <c r="K14" s="125" t="n">
        <f aca="false">'Thuc te theo thang'!AB208</f>
        <v>0</v>
      </c>
      <c r="L14" s="124" t="n">
        <f aca="false">C14+F14+I14</f>
        <v>900000000</v>
      </c>
      <c r="M14" s="126" t="n">
        <f aca="false">D14+G14+J14</f>
        <v>0</v>
      </c>
      <c r="N14" s="125" t="n">
        <f aca="false">E14+H14+K14</f>
        <v>0</v>
      </c>
      <c r="O14" s="113"/>
      <c r="R14" s="113"/>
      <c r="S14" s="113"/>
      <c r="T14" s="113"/>
      <c r="U14" s="113"/>
      <c r="V14" s="113"/>
      <c r="W14" s="113"/>
    </row>
    <row r="15" customFormat="false" ht="18.75" hidden="false" customHeight="false" outlineLevel="0" collapsed="false">
      <c r="A15" s="122" t="n">
        <v>11</v>
      </c>
      <c r="B15" s="123" t="s">
        <v>143</v>
      </c>
      <c r="C15" s="124" t="n">
        <v>900000000</v>
      </c>
      <c r="D15" s="124" t="n">
        <f aca="false">'KH hieu chinh'!M15</f>
        <v>0</v>
      </c>
      <c r="E15" s="125" t="n">
        <f aca="false">'Thuc te theo thang'!AD5</f>
        <v>0</v>
      </c>
      <c r="F15" s="124"/>
      <c r="G15" s="126" t="n">
        <f aca="false">'KH hieu chinh'!C15</f>
        <v>0</v>
      </c>
      <c r="H15" s="125" t="n">
        <f aca="false">'Thuc te theo thang'!AD6</f>
        <v>0</v>
      </c>
      <c r="I15" s="124"/>
      <c r="J15" s="126" t="n">
        <f aca="false">'KH hieu chinh'!D15</f>
        <v>0</v>
      </c>
      <c r="K15" s="125" t="n">
        <f aca="false">'Thuc te theo thang'!AD208</f>
        <v>0</v>
      </c>
      <c r="L15" s="124" t="n">
        <f aca="false">C15+F15+I15</f>
        <v>900000000</v>
      </c>
      <c r="M15" s="126" t="n">
        <f aca="false">D15+G15+J15</f>
        <v>0</v>
      </c>
      <c r="N15" s="125" t="n">
        <f aca="false">E15+H15+K15</f>
        <v>0</v>
      </c>
      <c r="R15" s="113"/>
      <c r="S15" s="113"/>
      <c r="T15" s="113"/>
      <c r="U15" s="113"/>
      <c r="V15" s="113"/>
      <c r="W15" s="113"/>
    </row>
    <row r="16" customFormat="false" ht="18.75" hidden="false" customHeight="false" outlineLevel="0" collapsed="false">
      <c r="A16" s="122" t="n">
        <v>12</v>
      </c>
      <c r="B16" s="123" t="s">
        <v>144</v>
      </c>
      <c r="C16" s="124" t="n">
        <v>900000000</v>
      </c>
      <c r="D16" s="124" t="n">
        <f aca="false">'KH hieu chinh'!M16</f>
        <v>0</v>
      </c>
      <c r="E16" s="125" t="n">
        <f aca="false">'Thuc te theo thang'!AF5</f>
        <v>0</v>
      </c>
      <c r="F16" s="124"/>
      <c r="G16" s="126" t="n">
        <f aca="false">'KH hieu chinh'!C16</f>
        <v>0</v>
      </c>
      <c r="H16" s="125" t="n">
        <f aca="false">'Thuc te theo thang'!AF6</f>
        <v>0</v>
      </c>
      <c r="I16" s="124"/>
      <c r="J16" s="126" t="n">
        <f aca="false">'KH hieu chinh'!D16</f>
        <v>854990000</v>
      </c>
      <c r="K16" s="125" t="n">
        <f aca="false">'Thuc te theo thang'!AF208</f>
        <v>0</v>
      </c>
      <c r="L16" s="124" t="n">
        <f aca="false">C16+F16+I16</f>
        <v>900000000</v>
      </c>
      <c r="M16" s="126" t="n">
        <f aca="false">D16+G16+J16</f>
        <v>854990000</v>
      </c>
      <c r="N16" s="125" t="n">
        <f aca="false">E16+H16+K16</f>
        <v>0</v>
      </c>
      <c r="P16" s="113" t="n">
        <f aca="false">SUM(N14:N16)</f>
        <v>0</v>
      </c>
      <c r="R16" s="113"/>
      <c r="S16" s="113"/>
      <c r="T16" s="113"/>
      <c r="U16" s="113"/>
      <c r="V16" s="113"/>
      <c r="W16" s="113"/>
    </row>
    <row r="17" customFormat="false" ht="18.75" hidden="false" customHeight="false" outlineLevel="0" collapsed="false">
      <c r="A17" s="127"/>
      <c r="B17" s="128" t="s">
        <v>11</v>
      </c>
      <c r="C17" s="129" t="n">
        <f aca="false">SUM(C5:C16)</f>
        <v>10800000000</v>
      </c>
      <c r="D17" s="129" t="n">
        <f aca="false">SUM(D5:D16)</f>
        <v>0</v>
      </c>
      <c r="E17" s="130" t="n">
        <f aca="false">SUM(E5:E16)</f>
        <v>0</v>
      </c>
      <c r="F17" s="129" t="n">
        <f aca="false">SUM(F5:F16)</f>
        <v>0</v>
      </c>
      <c r="G17" s="129" t="n">
        <f aca="false">SUM(G5:G16)</f>
        <v>0</v>
      </c>
      <c r="H17" s="130" t="n">
        <f aca="false">SUM(H5:H16)</f>
        <v>0</v>
      </c>
      <c r="I17" s="129" t="n">
        <f aca="false">SUM(I5:I16)</f>
        <v>0</v>
      </c>
      <c r="J17" s="129" t="n">
        <f aca="false">SUM(J5:J16)</f>
        <v>854990000</v>
      </c>
      <c r="K17" s="130" t="n">
        <f aca="false">SUM(K5:K16)</f>
        <v>0</v>
      </c>
      <c r="L17" s="129" t="n">
        <f aca="false">C17+F17+I17</f>
        <v>10800000000</v>
      </c>
      <c r="M17" s="129" t="n">
        <f aca="false">D17+G17+J17</f>
        <v>854990000</v>
      </c>
      <c r="N17" s="130" t="n">
        <f aca="false">E17+H17+K17</f>
        <v>0</v>
      </c>
      <c r="R17" s="113"/>
      <c r="S17" s="113"/>
      <c r="T17" s="113"/>
      <c r="U17" s="113"/>
      <c r="V17" s="113"/>
      <c r="W17" s="113"/>
    </row>
    <row r="18" customFormat="false" ht="18.75" hidden="false" customHeight="false" outlineLevel="0" collapsed="false">
      <c r="A18" s="114"/>
      <c r="B18" s="114" t="s">
        <v>145</v>
      </c>
      <c r="C18" s="131"/>
      <c r="D18" s="117"/>
      <c r="E18" s="117" t="n">
        <f aca="false">E17/C17</f>
        <v>0</v>
      </c>
      <c r="F18" s="131"/>
      <c r="G18" s="117"/>
      <c r="H18" s="117" t="e">
        <f aca="false">H17/F17</f>
        <v>#DIV/0!</v>
      </c>
      <c r="I18" s="131"/>
      <c r="J18" s="117"/>
      <c r="K18" s="117" t="e">
        <f aca="false">K17/I17</f>
        <v>#DIV/0!</v>
      </c>
      <c r="L18" s="131"/>
      <c r="M18" s="117"/>
      <c r="N18" s="132" t="n">
        <f aca="false">N17/L17</f>
        <v>0</v>
      </c>
      <c r="O18" s="133"/>
      <c r="P18" s="117"/>
      <c r="R18" s="113"/>
      <c r="S18" s="113"/>
      <c r="T18" s="113"/>
      <c r="U18" s="113"/>
      <c r="V18" s="113"/>
      <c r="W18" s="113"/>
    </row>
    <row r="19" customFormat="false" ht="18.75" hidden="false" customHeight="false" outlineLevel="0" collapsed="false">
      <c r="A19" s="131"/>
      <c r="B19" s="131"/>
      <c r="D19" s="131"/>
      <c r="E19" s="131"/>
      <c r="F19" s="131"/>
      <c r="G19" s="131"/>
      <c r="H19" s="131"/>
      <c r="I19" s="131"/>
      <c r="J19" s="131"/>
      <c r="K19" s="131"/>
      <c r="L19" s="131"/>
      <c r="M19" s="134" t="s">
        <v>146</v>
      </c>
      <c r="N19" s="118" t="n">
        <f aca="false">H17+K17</f>
        <v>0</v>
      </c>
      <c r="O19" s="131"/>
      <c r="P19" s="113"/>
      <c r="R19" s="113"/>
      <c r="S19" s="113"/>
      <c r="T19" s="113"/>
      <c r="U19" s="113"/>
      <c r="V19" s="113"/>
      <c r="W19" s="113"/>
    </row>
    <row r="20" customFormat="false" ht="18.75" hidden="true" customHeight="false" outlineLevel="0" collapsed="false">
      <c r="A20" s="131"/>
      <c r="B20" s="131"/>
      <c r="C20" s="131" t="n">
        <f aca="false">SUM(C11:C13)</f>
        <v>2700000000</v>
      </c>
      <c r="D20" s="131" t="n">
        <f aca="false">SUM(D11:D13)</f>
        <v>0</v>
      </c>
      <c r="E20" s="131" t="n">
        <f aca="false">SUM(E11:E13)</f>
        <v>0</v>
      </c>
      <c r="F20" s="131" t="n">
        <f aca="false">SUM(F11:F13)</f>
        <v>0</v>
      </c>
      <c r="G20" s="131" t="n">
        <f aca="false">SUM(G11:G13)</f>
        <v>0</v>
      </c>
      <c r="H20" s="131" t="n">
        <f aca="false">SUM(H11:H13)</f>
        <v>0</v>
      </c>
      <c r="I20" s="131" t="n">
        <f aca="false">SUM(I11:I13)</f>
        <v>0</v>
      </c>
      <c r="J20" s="131" t="n">
        <f aca="false">SUM(J11:J13)</f>
        <v>0</v>
      </c>
      <c r="K20" s="131" t="n">
        <f aca="false">SUM(K11:K13)</f>
        <v>0</v>
      </c>
      <c r="L20" s="131" t="n">
        <f aca="false">SUM(L11:L13)</f>
        <v>2700000000</v>
      </c>
      <c r="M20" s="131" t="n">
        <f aca="false">SUM(M11:M13)</f>
        <v>0</v>
      </c>
      <c r="N20" s="131" t="n">
        <f aca="false">SUM(N11:N13)</f>
        <v>0</v>
      </c>
      <c r="O20" s="131" t="n">
        <f aca="false">M20+N17</f>
        <v>0</v>
      </c>
      <c r="P20" s="113"/>
      <c r="Q20" s="117"/>
      <c r="R20" s="113"/>
      <c r="S20" s="113"/>
      <c r="T20" s="113"/>
      <c r="U20" s="113"/>
      <c r="V20" s="113"/>
      <c r="W20" s="113"/>
    </row>
    <row r="21" customFormat="false" ht="18.75" hidden="true" customHeight="false" outlineLevel="0" collapsed="false">
      <c r="A21" s="131"/>
      <c r="B21" s="131"/>
      <c r="C21" s="131"/>
      <c r="D21" s="135" t="n">
        <f aca="false">D20/C20</f>
        <v>0</v>
      </c>
      <c r="E21" s="131"/>
      <c r="F21" s="131"/>
      <c r="G21" s="135" t="e">
        <f aca="false">G20/F20</f>
        <v>#DIV/0!</v>
      </c>
      <c r="H21" s="131"/>
      <c r="I21" s="131"/>
      <c r="J21" s="135" t="e">
        <f aca="false">J20/I20</f>
        <v>#DIV/0!</v>
      </c>
      <c r="K21" s="131"/>
      <c r="L21" s="131"/>
      <c r="M21" s="135" t="n">
        <f aca="false">M20/L20</f>
        <v>0</v>
      </c>
      <c r="N21" s="118"/>
      <c r="O21" s="135" t="n">
        <f aca="false">O20/L17</f>
        <v>0</v>
      </c>
      <c r="P21" s="113"/>
      <c r="Q21" s="117"/>
      <c r="R21" s="113"/>
      <c r="S21" s="113"/>
      <c r="T21" s="113"/>
      <c r="U21" s="113"/>
      <c r="V21" s="113"/>
      <c r="W21" s="113"/>
    </row>
    <row r="22" customFormat="false" ht="18.75" hidden="false" customHeight="false" outlineLevel="0" collapsed="false">
      <c r="A22" s="114" t="s">
        <v>147</v>
      </c>
      <c r="B22" s="114"/>
      <c r="C22" s="131"/>
      <c r="D22" s="117"/>
      <c r="E22" s="113"/>
      <c r="F22" s="131"/>
      <c r="G22" s="113"/>
      <c r="H22" s="136"/>
      <c r="I22" s="131"/>
      <c r="K22" s="137"/>
      <c r="L22" s="131"/>
      <c r="M22" s="134"/>
      <c r="N22" s="118"/>
      <c r="O22" s="131"/>
      <c r="P22" s="113"/>
      <c r="Q22" s="117"/>
      <c r="R22" s="113"/>
      <c r="S22" s="113"/>
      <c r="T22" s="113"/>
      <c r="U22" s="113"/>
      <c r="V22" s="113"/>
      <c r="W22" s="113"/>
    </row>
    <row r="23" customFormat="false" ht="18.75" hidden="false" customHeight="false" outlineLevel="0" collapsed="false">
      <c r="A23" s="138"/>
      <c r="B23" s="138"/>
      <c r="C23" s="139"/>
      <c r="D23" s="140" t="s">
        <v>2</v>
      </c>
      <c r="E23" s="140"/>
      <c r="F23" s="139"/>
      <c r="G23" s="141" t="s">
        <v>3</v>
      </c>
      <c r="H23" s="141"/>
      <c r="I23" s="139"/>
      <c r="J23" s="142" t="s">
        <v>5</v>
      </c>
      <c r="K23" s="142"/>
      <c r="L23" s="139"/>
      <c r="M23" s="142" t="s">
        <v>131</v>
      </c>
      <c r="N23" s="142"/>
      <c r="O23" s="131"/>
      <c r="P23" s="113"/>
      <c r="Q23" s="117"/>
      <c r="R23" s="113"/>
      <c r="S23" s="113"/>
      <c r="T23" s="113"/>
      <c r="U23" s="113"/>
      <c r="V23" s="113"/>
      <c r="W23" s="113"/>
    </row>
    <row r="24" customFormat="false" ht="18.75" hidden="false" customHeight="false" outlineLevel="0" collapsed="false">
      <c r="A24" s="143" t="s">
        <v>148</v>
      </c>
      <c r="B24" s="143"/>
      <c r="C24" s="143"/>
      <c r="D24" s="140" t="s">
        <v>149</v>
      </c>
      <c r="E24" s="141" t="s">
        <v>145</v>
      </c>
      <c r="F24" s="144"/>
      <c r="G24" s="140" t="s">
        <v>149</v>
      </c>
      <c r="H24" s="141" t="s">
        <v>145</v>
      </c>
      <c r="I24" s="144"/>
      <c r="J24" s="140" t="s">
        <v>149</v>
      </c>
      <c r="K24" s="141" t="s">
        <v>145</v>
      </c>
      <c r="L24" s="144"/>
      <c r="M24" s="140" t="s">
        <v>149</v>
      </c>
      <c r="N24" s="141" t="s">
        <v>145</v>
      </c>
      <c r="O24" s="131"/>
      <c r="P24" s="113"/>
      <c r="Q24" s="117"/>
      <c r="R24" s="113"/>
      <c r="S24" s="113"/>
      <c r="T24" s="113"/>
      <c r="U24" s="113"/>
      <c r="V24" s="113"/>
      <c r="W24" s="113"/>
    </row>
    <row r="25" customFormat="false" ht="18.75" hidden="false" customHeight="false" outlineLevel="0" collapsed="false">
      <c r="A25" s="143" t="s">
        <v>150</v>
      </c>
      <c r="B25" s="143"/>
      <c r="C25" s="143"/>
      <c r="D25" s="145" t="n">
        <f aca="false">E17+D17</f>
        <v>0</v>
      </c>
      <c r="E25" s="146" t="n">
        <f aca="false">D25/C17</f>
        <v>0</v>
      </c>
      <c r="F25" s="139"/>
      <c r="G25" s="147" t="n">
        <f aca="false">H17+'KH hieu chinh'!E17</f>
        <v>0</v>
      </c>
      <c r="H25" s="148" t="e">
        <f aca="false">G25/$F$17</f>
        <v>#DIV/0!</v>
      </c>
      <c r="I25" s="139"/>
      <c r="J25" s="147" t="n">
        <f aca="false">(K17+'KH hieu chinh'!H17)</f>
        <v>854990000</v>
      </c>
      <c r="K25" s="148" t="e">
        <f aca="false">J25/$I$17</f>
        <v>#DIV/0!</v>
      </c>
      <c r="L25" s="139"/>
      <c r="M25" s="149" t="n">
        <f aca="false">D25+G25+J25</f>
        <v>854990000</v>
      </c>
      <c r="N25" s="148" t="n">
        <f aca="false">M25/$L$17</f>
        <v>0.0791657407407407</v>
      </c>
      <c r="O25" s="131"/>
      <c r="P25" s="113"/>
      <c r="Q25" s="117"/>
      <c r="R25" s="113"/>
      <c r="S25" s="113"/>
      <c r="T25" s="113"/>
      <c r="U25" s="113"/>
      <c r="V25" s="113"/>
      <c r="W25" s="113"/>
    </row>
    <row r="26" customFormat="false" ht="18.75" hidden="false" customHeight="false" outlineLevel="0" collapsed="false">
      <c r="A26" s="143" t="s">
        <v>151</v>
      </c>
      <c r="B26" s="143"/>
      <c r="C26" s="143"/>
      <c r="D26" s="145"/>
      <c r="E26" s="146"/>
      <c r="F26" s="139"/>
      <c r="G26" s="147" t="n">
        <f aca="false">G25+'KH hieu chinh'!F17</f>
        <v>0</v>
      </c>
      <c r="H26" s="148" t="e">
        <f aca="false">G26/$F$17</f>
        <v>#DIV/0!</v>
      </c>
      <c r="I26" s="139"/>
      <c r="J26" s="147" t="n">
        <f aca="false">J25+'KH hieu chinh'!I17</f>
        <v>854990000</v>
      </c>
      <c r="K26" s="148" t="e">
        <f aca="false">J26/$I$17</f>
        <v>#DIV/0!</v>
      </c>
      <c r="L26" s="139"/>
      <c r="M26" s="149" t="n">
        <f aca="false">D25+G26+J26</f>
        <v>854990000</v>
      </c>
      <c r="N26" s="148" t="n">
        <f aca="false">M26/$L$17</f>
        <v>0.0791657407407407</v>
      </c>
      <c r="O26" s="131"/>
      <c r="P26" s="113"/>
      <c r="Q26" s="117"/>
      <c r="R26" s="113"/>
      <c r="S26" s="113"/>
      <c r="T26" s="113"/>
      <c r="U26" s="113"/>
      <c r="V26" s="113"/>
      <c r="W26" s="113"/>
    </row>
    <row r="27" customFormat="false" ht="18.75" hidden="false" customHeight="false" outlineLevel="0" collapsed="false">
      <c r="A27" s="143" t="s">
        <v>152</v>
      </c>
      <c r="B27" s="143"/>
      <c r="C27" s="143"/>
      <c r="D27" s="145"/>
      <c r="E27" s="146"/>
      <c r="F27" s="139"/>
      <c r="G27" s="147" t="n">
        <f aca="false">G26+'KH hieu chinh'!G17</f>
        <v>0</v>
      </c>
      <c r="H27" s="148" t="e">
        <f aca="false">G27/$F$17</f>
        <v>#DIV/0!</v>
      </c>
      <c r="I27" s="139"/>
      <c r="J27" s="147" t="n">
        <f aca="false">J26+'KH hieu chinh'!J17</f>
        <v>854990000</v>
      </c>
      <c r="K27" s="148" t="e">
        <f aca="false">J27/$I$17</f>
        <v>#DIV/0!</v>
      </c>
      <c r="L27" s="139"/>
      <c r="M27" s="149" t="n">
        <f aca="false">D25+G27+J27</f>
        <v>854990000</v>
      </c>
      <c r="N27" s="148" t="n">
        <f aca="false">M27/$L$17</f>
        <v>0.0791657407407407</v>
      </c>
      <c r="O27" s="131"/>
      <c r="P27" s="113"/>
      <c r="Q27" s="117"/>
      <c r="R27" s="113"/>
      <c r="S27" s="113"/>
      <c r="T27" s="113"/>
      <c r="U27" s="113"/>
      <c r="V27" s="113"/>
      <c r="W27" s="113"/>
    </row>
    <row r="28" customFormat="false" ht="18.75" hidden="false" customHeight="false" outlineLevel="0" collapsed="false">
      <c r="A28" s="114"/>
      <c r="B28" s="114"/>
      <c r="C28" s="131"/>
      <c r="D28" s="117"/>
      <c r="E28" s="113"/>
      <c r="F28" s="131"/>
      <c r="H28" s="136"/>
      <c r="I28" s="131"/>
      <c r="K28" s="137"/>
      <c r="L28" s="131"/>
      <c r="M28" s="134"/>
      <c r="N28" s="118"/>
      <c r="O28" s="131"/>
      <c r="P28" s="113"/>
      <c r="Q28" s="117"/>
      <c r="R28" s="113"/>
      <c r="S28" s="113"/>
      <c r="T28" s="113"/>
      <c r="U28" s="113"/>
      <c r="V28" s="113"/>
      <c r="W28" s="113"/>
    </row>
    <row r="29" customFormat="false" ht="18.75" hidden="false" customHeight="false" outlineLevel="0" collapsed="false">
      <c r="A29" s="143" t="s">
        <v>153</v>
      </c>
      <c r="B29" s="143"/>
      <c r="C29" s="143"/>
      <c r="D29" s="140" t="s">
        <v>149</v>
      </c>
      <c r="E29" s="141" t="s">
        <v>145</v>
      </c>
      <c r="F29" s="144"/>
      <c r="G29" s="140" t="s">
        <v>149</v>
      </c>
      <c r="H29" s="141" t="s">
        <v>145</v>
      </c>
      <c r="I29" s="144"/>
      <c r="J29" s="140" t="s">
        <v>149</v>
      </c>
      <c r="K29" s="141" t="s">
        <v>145</v>
      </c>
      <c r="L29" s="144"/>
      <c r="M29" s="140" t="s">
        <v>149</v>
      </c>
      <c r="N29" s="141" t="s">
        <v>145</v>
      </c>
      <c r="O29" s="131"/>
      <c r="P29" s="113"/>
      <c r="Q29" s="117"/>
      <c r="R29" s="113"/>
      <c r="S29" s="113"/>
      <c r="T29" s="113"/>
      <c r="U29" s="113"/>
      <c r="V29" s="113"/>
      <c r="W29" s="113"/>
    </row>
    <row r="30" customFormat="false" ht="18.75" hidden="false" customHeight="false" outlineLevel="0" collapsed="false">
      <c r="A30" s="143" t="s">
        <v>154</v>
      </c>
      <c r="B30" s="143"/>
      <c r="C30" s="143"/>
      <c r="D30" s="145" t="n">
        <f aca="false">E17+D17</f>
        <v>0</v>
      </c>
      <c r="E30" s="146" t="n">
        <f aca="false">D30/C17</f>
        <v>0</v>
      </c>
      <c r="F30" s="139"/>
      <c r="G30" s="147" t="n">
        <f aca="false">H17+SUM('KH hieu chinh'!C11:C13)</f>
        <v>0</v>
      </c>
      <c r="H30" s="148" t="e">
        <f aca="false">G30/$F$17</f>
        <v>#DIV/0!</v>
      </c>
      <c r="I30" s="139"/>
      <c r="J30" s="147" t="n">
        <f aca="false">K17+SUM('KH hieu chinh'!D11:D13)</f>
        <v>0</v>
      </c>
      <c r="K30" s="148" t="e">
        <f aca="false">J30/$I$17</f>
        <v>#DIV/0!</v>
      </c>
      <c r="L30" s="139"/>
      <c r="M30" s="149" t="n">
        <f aca="false">D30+G30+J30</f>
        <v>0</v>
      </c>
      <c r="N30" s="148" t="n">
        <f aca="false">M30/$L$17</f>
        <v>0</v>
      </c>
      <c r="O30" s="131"/>
      <c r="P30" s="113"/>
      <c r="Q30" s="117"/>
      <c r="R30" s="113"/>
      <c r="S30" s="113"/>
      <c r="T30" s="113"/>
      <c r="U30" s="113"/>
      <c r="V30" s="113"/>
      <c r="W30" s="113"/>
    </row>
    <row r="31" customFormat="false" ht="18.75" hidden="false" customHeight="false" outlineLevel="0" collapsed="false">
      <c r="A31" s="143" t="s">
        <v>155</v>
      </c>
      <c r="B31" s="143"/>
      <c r="C31" s="143"/>
      <c r="D31" s="145"/>
      <c r="E31" s="146"/>
      <c r="F31" s="139"/>
      <c r="G31" s="147" t="n">
        <f aca="false">G30+SUM('KH hieu chinh'!C14:C16)</f>
        <v>0</v>
      </c>
      <c r="H31" s="148" t="e">
        <f aca="false">G31/$F$17</f>
        <v>#DIV/0!</v>
      </c>
      <c r="I31" s="139"/>
      <c r="J31" s="147" t="n">
        <f aca="false">J30+SUM('KH hieu chinh'!D14:D16)</f>
        <v>854990000</v>
      </c>
      <c r="K31" s="148" t="e">
        <f aca="false">J31/$I$17</f>
        <v>#DIV/0!</v>
      </c>
      <c r="L31" s="139"/>
      <c r="M31" s="149" t="n">
        <f aca="false">D30+G31+J31</f>
        <v>854990000</v>
      </c>
      <c r="N31" s="148" t="n">
        <f aca="false">M31/$L$17</f>
        <v>0.0791657407407407</v>
      </c>
      <c r="O31" s="131"/>
      <c r="P31" s="113"/>
      <c r="Q31" s="117"/>
      <c r="R31" s="113"/>
      <c r="S31" s="113"/>
      <c r="T31" s="113"/>
      <c r="U31" s="113"/>
      <c r="V31" s="113"/>
      <c r="W31" s="113"/>
    </row>
    <row r="32" customFormat="false" ht="18.75" hidden="false" customHeight="false" outlineLevel="0" collapsed="false">
      <c r="A32" s="114"/>
      <c r="B32" s="114"/>
      <c r="C32" s="131"/>
      <c r="D32" s="117"/>
      <c r="E32" s="112"/>
      <c r="F32" s="131"/>
      <c r="H32" s="150"/>
      <c r="I32" s="135"/>
      <c r="K32" s="151" t="s">
        <v>156</v>
      </c>
      <c r="L32" s="152"/>
      <c r="M32" s="153" t="n">
        <v>25877043393</v>
      </c>
      <c r="N32" s="154" t="n">
        <v>0.868</v>
      </c>
      <c r="O32" s="116"/>
      <c r="P32" s="117"/>
      <c r="Q32" s="117"/>
    </row>
    <row r="33" customFormat="false" ht="18.75" hidden="false" customHeight="false" outlineLevel="0" collapsed="false">
      <c r="A33" s="114"/>
      <c r="B33" s="114"/>
      <c r="C33" s="131"/>
      <c r="D33" s="117"/>
      <c r="E33" s="112"/>
      <c r="F33" s="131"/>
      <c r="H33" s="150"/>
      <c r="I33" s="135"/>
      <c r="K33" s="151" t="s">
        <v>157</v>
      </c>
      <c r="L33" s="152"/>
      <c r="M33" s="153" t="n">
        <f aca="false">M31-M32</f>
        <v>-25022053393</v>
      </c>
      <c r="N33" s="154" t="n">
        <f aca="false">N31-N32</f>
        <v>-0.788834259259259</v>
      </c>
      <c r="O33" s="116"/>
      <c r="P33" s="117"/>
      <c r="Q33" s="117"/>
    </row>
    <row r="34" customFormat="false" ht="18.75" hidden="false" customHeight="false" outlineLevel="0" collapsed="false">
      <c r="A34" s="114" t="s">
        <v>84</v>
      </c>
      <c r="B34" s="115"/>
      <c r="C34" s="116"/>
      <c r="D34" s="117"/>
      <c r="E34" s="112"/>
      <c r="F34" s="116"/>
      <c r="G34" s="115"/>
      <c r="H34" s="155"/>
      <c r="I34" s="116"/>
      <c r="J34" s="116"/>
      <c r="K34" s="155"/>
      <c r="L34" s="116"/>
      <c r="M34" s="115"/>
      <c r="N34" s="118"/>
      <c r="O34" s="116"/>
      <c r="P34" s="112"/>
      <c r="Q34" s="155"/>
    </row>
    <row r="35" customFormat="false" ht="18.75" hidden="false" customHeight="true" outlineLevel="0" collapsed="false">
      <c r="A35" s="119" t="s">
        <v>129</v>
      </c>
      <c r="B35" s="120" t="s">
        <v>6</v>
      </c>
      <c r="C35" s="121" t="s">
        <v>85</v>
      </c>
      <c r="D35" s="121"/>
      <c r="E35" s="121"/>
      <c r="F35" s="121" t="s">
        <v>86</v>
      </c>
      <c r="G35" s="121"/>
      <c r="H35" s="121"/>
      <c r="I35" s="121" t="s">
        <v>130</v>
      </c>
      <c r="J35" s="121"/>
      <c r="K35" s="121"/>
      <c r="L35" s="121" t="s">
        <v>131</v>
      </c>
      <c r="M35" s="121"/>
      <c r="N35" s="121"/>
    </row>
    <row r="36" customFormat="false" ht="18.75" hidden="false" customHeight="false" outlineLevel="0" collapsed="false">
      <c r="A36" s="119"/>
      <c r="B36" s="120"/>
      <c r="C36" s="121" t="s">
        <v>132</v>
      </c>
      <c r="D36" s="121" t="s">
        <v>8</v>
      </c>
      <c r="E36" s="121" t="s">
        <v>9</v>
      </c>
      <c r="F36" s="121" t="s">
        <v>132</v>
      </c>
      <c r="G36" s="121" t="s">
        <v>8</v>
      </c>
      <c r="H36" s="121" t="s">
        <v>9</v>
      </c>
      <c r="I36" s="121" t="s">
        <v>132</v>
      </c>
      <c r="J36" s="121" t="s">
        <v>8</v>
      </c>
      <c r="K36" s="121" t="s">
        <v>9</v>
      </c>
      <c r="L36" s="121" t="s">
        <v>132</v>
      </c>
      <c r="M36" s="121" t="s">
        <v>8</v>
      </c>
      <c r="N36" s="121" t="s">
        <v>9</v>
      </c>
    </row>
    <row r="37" customFormat="false" ht="18.75" hidden="false" customHeight="false" outlineLevel="0" collapsed="false">
      <c r="A37" s="122" t="n">
        <v>1</v>
      </c>
      <c r="B37" s="123" t="s">
        <v>133</v>
      </c>
      <c r="C37" s="124" t="n">
        <v>900000000</v>
      </c>
      <c r="D37" s="124" t="n">
        <f aca="false">'KH hieu chinh'!N5</f>
        <v>0</v>
      </c>
      <c r="E37" s="125" t="n">
        <f aca="false">'Thuc te theo thang'!K5</f>
        <v>0</v>
      </c>
      <c r="F37" s="124" t="n">
        <v>198000000</v>
      </c>
      <c r="G37" s="126" t="n">
        <f aca="false">'KH hieu chinh'!M30</f>
        <v>0</v>
      </c>
      <c r="H37" s="125" t="n">
        <f aca="false">'Thuc te theo thang'!K6</f>
        <v>0</v>
      </c>
      <c r="I37" s="124" t="n">
        <v>31786170</v>
      </c>
      <c r="J37" s="126" t="n">
        <f aca="false">'KH hieu chinh'!N30</f>
        <v>0</v>
      </c>
      <c r="K37" s="125" t="n">
        <f aca="false">'Thuc te theo thang'!K208</f>
        <v>0</v>
      </c>
      <c r="L37" s="124" t="n">
        <f aca="false">C37+F37+I37</f>
        <v>1129786170</v>
      </c>
      <c r="M37" s="126" t="n">
        <f aca="false">D37+G37+J37</f>
        <v>0</v>
      </c>
      <c r="N37" s="125" t="n">
        <f aca="false">E37+H37+K37</f>
        <v>0</v>
      </c>
      <c r="O37" s="118"/>
      <c r="P37" s="113"/>
      <c r="Q37" s="113"/>
      <c r="R37" s="118"/>
    </row>
    <row r="38" customFormat="false" ht="18.75" hidden="false" customHeight="false" outlineLevel="0" collapsed="false">
      <c r="A38" s="122" t="n">
        <v>2</v>
      </c>
      <c r="B38" s="123" t="s">
        <v>134</v>
      </c>
      <c r="C38" s="124" t="n">
        <v>900000000</v>
      </c>
      <c r="D38" s="124" t="n">
        <f aca="false">'KH hieu chinh'!N6</f>
        <v>0</v>
      </c>
      <c r="E38" s="125" t="n">
        <f aca="false">'Thuc te theo thang'!M5</f>
        <v>0</v>
      </c>
      <c r="F38" s="124" t="n">
        <v>0</v>
      </c>
      <c r="G38" s="126" t="n">
        <f aca="false">'KH hieu chinh'!M31</f>
        <v>0</v>
      </c>
      <c r="H38" s="125" t="n">
        <f aca="false">'Thuc te theo thang'!M6</f>
        <v>0</v>
      </c>
      <c r="I38" s="124" t="n">
        <v>0</v>
      </c>
      <c r="J38" s="126" t="n">
        <f aca="false">'KH hieu chinh'!N31</f>
        <v>0</v>
      </c>
      <c r="K38" s="125" t="n">
        <f aca="false">'Thuc te theo thang'!M208</f>
        <v>0</v>
      </c>
      <c r="L38" s="124" t="n">
        <f aca="false">C38+F38+I38</f>
        <v>900000000</v>
      </c>
      <c r="M38" s="126" t="n">
        <f aca="false">D38+G38+J38</f>
        <v>0</v>
      </c>
      <c r="N38" s="125" t="n">
        <f aca="false">E38+H38+K38</f>
        <v>0</v>
      </c>
      <c r="O38" s="118"/>
      <c r="P38" s="113"/>
      <c r="Q38" s="113"/>
      <c r="R38" s="118"/>
    </row>
    <row r="39" customFormat="false" ht="18.75" hidden="false" customHeight="false" outlineLevel="0" collapsed="false">
      <c r="A39" s="122" t="n">
        <v>3</v>
      </c>
      <c r="B39" s="123" t="s">
        <v>135</v>
      </c>
      <c r="C39" s="124" t="n">
        <v>900000000</v>
      </c>
      <c r="D39" s="124" t="n">
        <f aca="false">'KH hieu chinh'!N7</f>
        <v>0</v>
      </c>
      <c r="E39" s="125" t="n">
        <f aca="false">'Thuc te theo thang'!O5</f>
        <v>0</v>
      </c>
      <c r="F39" s="124" t="n">
        <v>624572500</v>
      </c>
      <c r="G39" s="126" t="n">
        <f aca="false">'KH hieu chinh'!M32</f>
        <v>0</v>
      </c>
      <c r="H39" s="125" t="n">
        <f aca="false">'Thuc te theo thang'!O6</f>
        <v>0</v>
      </c>
      <c r="I39" s="124" t="n">
        <v>16500000</v>
      </c>
      <c r="J39" s="126" t="n">
        <f aca="false">'KH hieu chinh'!N32</f>
        <v>0</v>
      </c>
      <c r="K39" s="125" t="n">
        <f aca="false">'Thuc te theo thang'!O208</f>
        <v>0</v>
      </c>
      <c r="L39" s="124" t="n">
        <f aca="false">C39+F39+I39</f>
        <v>1541072500</v>
      </c>
      <c r="M39" s="126" t="n">
        <f aca="false">D39+G39+J39</f>
        <v>0</v>
      </c>
      <c r="N39" s="125" t="n">
        <f aca="false">E39+H39+K39</f>
        <v>0</v>
      </c>
      <c r="O39" s="118"/>
      <c r="P39" s="113" t="n">
        <f aca="false">SUM(O37:O39)</f>
        <v>0</v>
      </c>
      <c r="Q39" s="113"/>
      <c r="R39" s="117"/>
    </row>
    <row r="40" customFormat="false" ht="18.75" hidden="false" customHeight="false" outlineLevel="0" collapsed="false">
      <c r="A40" s="122" t="n">
        <v>4</v>
      </c>
      <c r="B40" s="123" t="s">
        <v>136</v>
      </c>
      <c r="C40" s="124" t="n">
        <v>900000000</v>
      </c>
      <c r="D40" s="124" t="n">
        <f aca="false">'KH hieu chinh'!N8</f>
        <v>0</v>
      </c>
      <c r="E40" s="125" t="n">
        <f aca="false">'Thuc te theo thang'!Q5</f>
        <v>0</v>
      </c>
      <c r="F40" s="124" t="n">
        <v>198507000</v>
      </c>
      <c r="G40" s="126" t="n">
        <f aca="false">'KH hieu chinh'!M33</f>
        <v>0</v>
      </c>
      <c r="H40" s="125" t="n">
        <f aca="false">'Thuc te theo thang'!Q6</f>
        <v>0</v>
      </c>
      <c r="I40" s="124" t="n">
        <v>72000000</v>
      </c>
      <c r="J40" s="126" t="n">
        <f aca="false">'KH hieu chinh'!N33</f>
        <v>0</v>
      </c>
      <c r="K40" s="125" t="n">
        <f aca="false">'Thuc te theo thang'!Q208</f>
        <v>0</v>
      </c>
      <c r="L40" s="124" t="n">
        <f aca="false">C40+F40+I40</f>
        <v>1170507000</v>
      </c>
      <c r="M40" s="126" t="n">
        <f aca="false">D40+G40+J40</f>
        <v>0</v>
      </c>
      <c r="N40" s="125" t="n">
        <f aca="false">E40+H40+K40</f>
        <v>0</v>
      </c>
      <c r="O40" s="118"/>
      <c r="P40" s="113"/>
      <c r="Q40" s="113"/>
      <c r="R40" s="118"/>
    </row>
    <row r="41" customFormat="false" ht="18.75" hidden="false" customHeight="false" outlineLevel="0" collapsed="false">
      <c r="A41" s="122" t="n">
        <v>5</v>
      </c>
      <c r="B41" s="123" t="s">
        <v>137</v>
      </c>
      <c r="C41" s="124" t="n">
        <v>900000000</v>
      </c>
      <c r="D41" s="124" t="n">
        <f aca="false">'KH hieu chinh'!N9</f>
        <v>0</v>
      </c>
      <c r="E41" s="125" t="n">
        <f aca="false">'Thuc te theo thang'!S5</f>
        <v>0</v>
      </c>
      <c r="F41" s="124" t="n">
        <v>406300000</v>
      </c>
      <c r="G41" s="126" t="n">
        <f aca="false">'KH hieu chinh'!M34</f>
        <v>0</v>
      </c>
      <c r="H41" s="125" t="n">
        <f aca="false">'Thuc te theo thang'!S6</f>
        <v>0</v>
      </c>
      <c r="I41" s="124" t="n">
        <v>116250000</v>
      </c>
      <c r="J41" s="126" t="n">
        <f aca="false">'KH hieu chinh'!N34</f>
        <v>0</v>
      </c>
      <c r="K41" s="125" t="n">
        <f aca="false">'Thuc te theo thang'!S208</f>
        <v>0</v>
      </c>
      <c r="L41" s="124" t="n">
        <f aca="false">C41+F41+I41</f>
        <v>1422550000</v>
      </c>
      <c r="M41" s="126" t="n">
        <f aca="false">D41+G41+J41</f>
        <v>0</v>
      </c>
      <c r="N41" s="125" t="n">
        <f aca="false">E41+H41+K41</f>
        <v>0</v>
      </c>
      <c r="O41" s="118"/>
      <c r="R41" s="118"/>
      <c r="T41" s="113"/>
    </row>
    <row r="42" customFormat="false" ht="18.75" hidden="false" customHeight="false" outlineLevel="0" collapsed="false">
      <c r="A42" s="122" t="n">
        <v>6</v>
      </c>
      <c r="B42" s="123" t="s">
        <v>138</v>
      </c>
      <c r="C42" s="124" t="n">
        <v>900000000</v>
      </c>
      <c r="D42" s="124" t="n">
        <f aca="false">'KH hieu chinh'!N10</f>
        <v>0</v>
      </c>
      <c r="E42" s="125" t="n">
        <f aca="false">'Thuc te theo thang'!U5</f>
        <v>0</v>
      </c>
      <c r="F42" s="124" t="n">
        <v>1732949500</v>
      </c>
      <c r="G42" s="126" t="n">
        <f aca="false">'KH hieu chinh'!M35</f>
        <v>0</v>
      </c>
      <c r="H42" s="125" t="n">
        <f aca="false">'Thuc te theo thang'!U6</f>
        <v>0</v>
      </c>
      <c r="I42" s="124" t="n">
        <v>899340800</v>
      </c>
      <c r="J42" s="126" t="n">
        <f aca="false">'KH hieu chinh'!N35</f>
        <v>0</v>
      </c>
      <c r="K42" s="125" t="n">
        <f aca="false">'Thuc te theo thang'!U208</f>
        <v>0</v>
      </c>
      <c r="L42" s="124" t="n">
        <f aca="false">C42+F42+I42</f>
        <v>3532290300</v>
      </c>
      <c r="M42" s="126" t="n">
        <f aca="false">D42+G42+J42</f>
        <v>0</v>
      </c>
      <c r="N42" s="125" t="n">
        <f aca="false">E42+H42+K42</f>
        <v>0</v>
      </c>
      <c r="O42" s="118"/>
      <c r="P42" s="113" t="n">
        <f aca="false">SUM(O40:O42)</f>
        <v>0</v>
      </c>
      <c r="Q42" s="117"/>
      <c r="R42" s="118"/>
    </row>
    <row r="43" customFormat="false" ht="18.75" hidden="false" customHeight="false" outlineLevel="0" collapsed="false">
      <c r="A43" s="122" t="n">
        <v>7</v>
      </c>
      <c r="B43" s="123" t="s">
        <v>139</v>
      </c>
      <c r="C43" s="124" t="n">
        <v>900000000</v>
      </c>
      <c r="D43" s="124" t="n">
        <f aca="false">'KH hieu chinh'!N11</f>
        <v>0</v>
      </c>
      <c r="E43" s="125" t="n">
        <f aca="false">'Thuc te theo thang'!W5</f>
        <v>0</v>
      </c>
      <c r="F43" s="124" t="n">
        <v>565583000</v>
      </c>
      <c r="G43" s="126" t="n">
        <f aca="false">'KH hieu chinh'!M36</f>
        <v>0</v>
      </c>
      <c r="H43" s="125" t="n">
        <f aca="false">'Thuc te theo thang'!W6</f>
        <v>0</v>
      </c>
      <c r="I43" s="124" t="n">
        <v>549000000</v>
      </c>
      <c r="J43" s="126" t="n">
        <f aca="false">'KH hieu chinh'!N36</f>
        <v>0</v>
      </c>
      <c r="K43" s="125" t="n">
        <f aca="false">'Thuc te theo thang'!W208</f>
        <v>0</v>
      </c>
      <c r="L43" s="124" t="n">
        <f aca="false">C43+F43+I43</f>
        <v>2014583000</v>
      </c>
      <c r="M43" s="126" t="n">
        <f aca="false">D43+G43+J43</f>
        <v>0</v>
      </c>
      <c r="N43" s="125" t="n">
        <f aca="false">E43+H43+K43</f>
        <v>0</v>
      </c>
      <c r="O43" s="118"/>
      <c r="R43" s="118"/>
    </row>
    <row r="44" customFormat="false" ht="18.75" hidden="false" customHeight="false" outlineLevel="0" collapsed="false">
      <c r="A44" s="122" t="n">
        <v>8</v>
      </c>
      <c r="B44" s="123" t="s">
        <v>140</v>
      </c>
      <c r="C44" s="124" t="n">
        <v>900000000</v>
      </c>
      <c r="D44" s="124" t="n">
        <f aca="false">'KH hieu chinh'!N12</f>
        <v>0</v>
      </c>
      <c r="E44" s="125" t="n">
        <f aca="false">'Thuc te theo thang'!Y5</f>
        <v>0</v>
      </c>
      <c r="F44" s="124" t="n">
        <v>434291400</v>
      </c>
      <c r="G44" s="126" t="n">
        <f aca="false">'KH hieu chinh'!M37</f>
        <v>0</v>
      </c>
      <c r="H44" s="125" t="n">
        <f aca="false">'Thuc te theo thang'!Y6</f>
        <v>0</v>
      </c>
      <c r="I44" s="124" t="n">
        <v>1558273030</v>
      </c>
      <c r="J44" s="126" t="n">
        <f aca="false">'KH hieu chinh'!N37</f>
        <v>0</v>
      </c>
      <c r="K44" s="125" t="n">
        <f aca="false">'Thuc te theo thang'!Y208</f>
        <v>0</v>
      </c>
      <c r="L44" s="124" t="n">
        <f aca="false">C44+F44+I44</f>
        <v>2892564430</v>
      </c>
      <c r="M44" s="126" t="n">
        <f aca="false">D44+G44+J44</f>
        <v>0</v>
      </c>
      <c r="N44" s="125" t="n">
        <f aca="false">E44+H44+K44</f>
        <v>0</v>
      </c>
      <c r="O44" s="118"/>
      <c r="Q44" s="113"/>
      <c r="R44" s="118"/>
    </row>
    <row r="45" customFormat="false" ht="18.75" hidden="false" customHeight="false" outlineLevel="0" collapsed="false">
      <c r="A45" s="122" t="n">
        <v>9</v>
      </c>
      <c r="B45" s="123" t="s">
        <v>141</v>
      </c>
      <c r="C45" s="124" t="n">
        <v>900000000</v>
      </c>
      <c r="D45" s="124" t="n">
        <f aca="false">'KH hieu chinh'!N13</f>
        <v>0</v>
      </c>
      <c r="E45" s="125" t="n">
        <f aca="false">'Thuc te theo thang'!AA5</f>
        <v>0</v>
      </c>
      <c r="F45" s="124" t="n">
        <v>1243950000</v>
      </c>
      <c r="G45" s="126" t="n">
        <f aca="false">'KH hieu chinh'!M38</f>
        <v>0</v>
      </c>
      <c r="H45" s="125" t="n">
        <f aca="false">'Thuc te theo thang'!AA6</f>
        <v>0</v>
      </c>
      <c r="I45" s="124" t="n">
        <v>936100000</v>
      </c>
      <c r="J45" s="126" t="n">
        <f aca="false">'KH hieu chinh'!N38</f>
        <v>0</v>
      </c>
      <c r="K45" s="125" t="n">
        <f aca="false">'Thuc te theo thang'!AA208</f>
        <v>0</v>
      </c>
      <c r="L45" s="124" t="n">
        <f aca="false">C45+F45+I45</f>
        <v>3080050000</v>
      </c>
      <c r="M45" s="126" t="n">
        <f aca="false">D45+G45+J45</f>
        <v>0</v>
      </c>
      <c r="N45" s="125" t="n">
        <f aca="false">E45+H45+K45</f>
        <v>0</v>
      </c>
      <c r="O45" s="118"/>
      <c r="P45" s="113" t="n">
        <f aca="false">SUM(O43:O45)</f>
        <v>0</v>
      </c>
      <c r="Q45" s="113"/>
      <c r="R45" s="118"/>
    </row>
    <row r="46" customFormat="false" ht="18.75" hidden="false" customHeight="false" outlineLevel="0" collapsed="false">
      <c r="A46" s="122" t="n">
        <v>10</v>
      </c>
      <c r="B46" s="123" t="s">
        <v>142</v>
      </c>
      <c r="C46" s="124" t="n">
        <v>900000000</v>
      </c>
      <c r="D46" s="124" t="n">
        <f aca="false">'KH hieu chinh'!N14</f>
        <v>0</v>
      </c>
      <c r="E46" s="125" t="n">
        <f aca="false">'Thuc te theo thang'!AC5</f>
        <v>0</v>
      </c>
      <c r="F46" s="124" t="n">
        <v>1359290000</v>
      </c>
      <c r="G46" s="126" t="n">
        <f aca="false">'KH hieu chinh'!M39</f>
        <v>0</v>
      </c>
      <c r="H46" s="125" t="n">
        <f aca="false">'Thuc te theo thang'!AC6</f>
        <v>0</v>
      </c>
      <c r="I46" s="124" t="n">
        <v>1000000000</v>
      </c>
      <c r="J46" s="126" t="n">
        <f aca="false">'KH hieu chinh'!N39</f>
        <v>0</v>
      </c>
      <c r="K46" s="125" t="n">
        <f aca="false">'Thuc te theo thang'!AC208</f>
        <v>0</v>
      </c>
      <c r="L46" s="124" t="n">
        <f aca="false">C46+F46+I46</f>
        <v>3259290000</v>
      </c>
      <c r="M46" s="126" t="n">
        <f aca="false">D46+G46+J46</f>
        <v>0</v>
      </c>
      <c r="N46" s="125" t="n">
        <f aca="false">E46+H46+K46</f>
        <v>0</v>
      </c>
      <c r="O46" s="118"/>
      <c r="Q46" s="113"/>
      <c r="R46" s="118"/>
    </row>
    <row r="47" customFormat="false" ht="18.75" hidden="false" customHeight="false" outlineLevel="0" collapsed="false">
      <c r="A47" s="122" t="n">
        <v>11</v>
      </c>
      <c r="B47" s="123" t="s">
        <v>143</v>
      </c>
      <c r="C47" s="124" t="n">
        <v>900000000</v>
      </c>
      <c r="D47" s="124" t="n">
        <f aca="false">'KH hieu chinh'!N15</f>
        <v>0</v>
      </c>
      <c r="E47" s="125" t="n">
        <f aca="false">'Thuc te theo thang'!AE5</f>
        <v>0</v>
      </c>
      <c r="F47" s="124" t="n">
        <v>1230000000</v>
      </c>
      <c r="G47" s="126" t="n">
        <f aca="false">'KH hieu chinh'!M40</f>
        <v>0</v>
      </c>
      <c r="H47" s="125" t="n">
        <f aca="false">'Thuc te theo thang'!AE6</f>
        <v>0</v>
      </c>
      <c r="I47" s="124" t="n">
        <v>1000000000</v>
      </c>
      <c r="J47" s="126" t="n">
        <f aca="false">'KH hieu chinh'!N40</f>
        <v>0</v>
      </c>
      <c r="K47" s="125" t="n">
        <f aca="false">'Thuc te theo thang'!AE208</f>
        <v>0</v>
      </c>
      <c r="L47" s="124" t="n">
        <f aca="false">C47+F47+I47</f>
        <v>3130000000</v>
      </c>
      <c r="M47" s="126" t="n">
        <f aca="false">D47+G47+J47</f>
        <v>0</v>
      </c>
      <c r="N47" s="125" t="n">
        <f aca="false">E47+H47+K47</f>
        <v>0</v>
      </c>
      <c r="O47" s="118"/>
      <c r="P47" s="113"/>
      <c r="R47" s="118"/>
    </row>
    <row r="48" customFormat="false" ht="18.75" hidden="false" customHeight="false" outlineLevel="0" collapsed="false">
      <c r="A48" s="122" t="n">
        <v>12</v>
      </c>
      <c r="B48" s="123" t="s">
        <v>144</v>
      </c>
      <c r="C48" s="124" t="n">
        <v>900000000</v>
      </c>
      <c r="D48" s="124" t="n">
        <f aca="false">'KH hieu chinh'!N16</f>
        <v>0</v>
      </c>
      <c r="E48" s="125" t="n">
        <f aca="false">'Thuc te theo thang'!AG5</f>
        <v>0</v>
      </c>
      <c r="F48" s="124" t="n">
        <v>2006556600</v>
      </c>
      <c r="G48" s="126" t="n">
        <f aca="false">'KH hieu chinh'!M41</f>
        <v>0</v>
      </c>
      <c r="H48" s="125" t="n">
        <f aca="false">'Thuc te theo thang'!AG6</f>
        <v>0</v>
      </c>
      <c r="I48" s="124" t="n">
        <v>2820750000</v>
      </c>
      <c r="J48" s="126" t="n">
        <f aca="false">'KH hieu chinh'!N41</f>
        <v>854990000</v>
      </c>
      <c r="K48" s="125" t="n">
        <f aca="false">'Thuc te theo thang'!AG208</f>
        <v>0</v>
      </c>
      <c r="L48" s="124" t="n">
        <f aca="false">C48+F48+I48</f>
        <v>5727306600</v>
      </c>
      <c r="M48" s="126" t="n">
        <f aca="false">D48+G48+J48</f>
        <v>854990000</v>
      </c>
      <c r="N48" s="125" t="n">
        <f aca="false">E48+H48+K48</f>
        <v>0</v>
      </c>
      <c r="O48" s="118"/>
      <c r="P48" s="113" t="n">
        <f aca="false">SUM(O46:O48)</f>
        <v>0</v>
      </c>
      <c r="R48" s="118"/>
    </row>
    <row r="49" customFormat="false" ht="18.75" hidden="false" customHeight="false" outlineLevel="0" collapsed="false">
      <c r="A49" s="127"/>
      <c r="B49" s="128" t="s">
        <v>158</v>
      </c>
      <c r="C49" s="129" t="n">
        <f aca="false">SUM(C37:C48)</f>
        <v>10800000000</v>
      </c>
      <c r="D49" s="129" t="n">
        <f aca="false">SUM(D37:D48)</f>
        <v>0</v>
      </c>
      <c r="E49" s="130" t="n">
        <f aca="false">SUM(E37:E48)</f>
        <v>0</v>
      </c>
      <c r="F49" s="129" t="n">
        <f aca="false">SUM(F37:F48)</f>
        <v>10000000000</v>
      </c>
      <c r="G49" s="129" t="n">
        <f aca="false">SUM(G37:G48)</f>
        <v>0</v>
      </c>
      <c r="H49" s="130" t="n">
        <f aca="false">SUM(H37:H48)</f>
        <v>0</v>
      </c>
      <c r="I49" s="129" t="n">
        <f aca="false">SUM(I37:I48)</f>
        <v>9000000000</v>
      </c>
      <c r="J49" s="129" t="n">
        <f aca="false">SUM(J37:J48)</f>
        <v>854990000</v>
      </c>
      <c r="K49" s="130" t="n">
        <f aca="false">SUM(K37:K48)</f>
        <v>0</v>
      </c>
      <c r="L49" s="129" t="n">
        <f aca="false">C49+F49+I49</f>
        <v>29800000000</v>
      </c>
      <c r="M49" s="129" t="n">
        <f aca="false">D49+G49+J49</f>
        <v>854990000</v>
      </c>
      <c r="N49" s="130" t="n">
        <f aca="false">E49+H49+K49</f>
        <v>0</v>
      </c>
      <c r="O49" s="118" t="n">
        <v>16507561600</v>
      </c>
      <c r="P49" s="156" t="s">
        <v>159</v>
      </c>
      <c r="R49" s="137"/>
    </row>
    <row r="50" customFormat="false" ht="18.75" hidden="false" customHeight="false" outlineLevel="0" collapsed="false">
      <c r="A50" s="157"/>
      <c r="B50" s="114" t="s">
        <v>145</v>
      </c>
      <c r="D50" s="117"/>
      <c r="E50" s="117" t="n">
        <f aca="false">E49/C49</f>
        <v>0</v>
      </c>
      <c r="F50" s="113"/>
      <c r="G50" s="137"/>
      <c r="H50" s="117" t="n">
        <f aca="false">H49/F49</f>
        <v>0</v>
      </c>
      <c r="I50" s="113"/>
      <c r="J50" s="117"/>
      <c r="K50" s="117" t="n">
        <f aca="false">K49/I49</f>
        <v>0</v>
      </c>
      <c r="L50" s="113"/>
      <c r="M50" s="117"/>
      <c r="N50" s="132" t="n">
        <f aca="false">N49/L49</f>
        <v>0</v>
      </c>
      <c r="O50" s="133"/>
      <c r="P50" s="117"/>
      <c r="Q50" s="117"/>
      <c r="R50" s="117"/>
      <c r="T50" s="112"/>
    </row>
    <row r="51" customFormat="false" ht="18.75" hidden="false" customHeight="false" outlineLevel="0" collapsed="false">
      <c r="A51" s="157"/>
      <c r="B51" s="158"/>
      <c r="E51" s="158"/>
      <c r="H51" s="159"/>
      <c r="I51" s="113"/>
      <c r="K51" s="117"/>
      <c r="M51" s="134" t="s">
        <v>146</v>
      </c>
      <c r="N51" s="118" t="n">
        <f aca="false">H49+K49</f>
        <v>0</v>
      </c>
      <c r="O51" s="160"/>
      <c r="Q51" s="117"/>
      <c r="R51" s="157"/>
    </row>
    <row r="52" customFormat="false" ht="18.75" hidden="true" customHeight="false" outlineLevel="0" collapsed="false">
      <c r="A52" s="157"/>
      <c r="B52" s="158"/>
      <c r="C52" s="131" t="n">
        <f aca="false">SUM(C43:C45)</f>
        <v>2700000000</v>
      </c>
      <c r="D52" s="131" t="n">
        <f aca="false">SUM(D43:D45)</f>
        <v>0</v>
      </c>
      <c r="E52" s="131" t="n">
        <f aca="false">SUM(E43:E45)</f>
        <v>0</v>
      </c>
      <c r="F52" s="131" t="n">
        <f aca="false">SUM(F43:F45)</f>
        <v>2243824400</v>
      </c>
      <c r="G52" s="131" t="n">
        <f aca="false">SUM(G43:G45)</f>
        <v>0</v>
      </c>
      <c r="H52" s="131" t="n">
        <f aca="false">SUM(H43:H45)</f>
        <v>0</v>
      </c>
      <c r="I52" s="131" t="n">
        <f aca="false">SUM(I43:I45)</f>
        <v>3043373030</v>
      </c>
      <c r="J52" s="131" t="n">
        <f aca="false">SUM(J43:J45)</f>
        <v>0</v>
      </c>
      <c r="K52" s="131" t="n">
        <f aca="false">SUM(K43:K45)</f>
        <v>0</v>
      </c>
      <c r="L52" s="131" t="n">
        <f aca="false">SUM(L43:L45)</f>
        <v>7987197430</v>
      </c>
      <c r="M52" s="131" t="n">
        <f aca="false">SUM(M43:M45)</f>
        <v>0</v>
      </c>
      <c r="N52" s="131" t="n">
        <f aca="false">SUM(N43:N45)</f>
        <v>0</v>
      </c>
      <c r="O52" s="131" t="n">
        <f aca="false">M52+N49</f>
        <v>0</v>
      </c>
      <c r="Q52" s="117"/>
      <c r="R52" s="157"/>
    </row>
    <row r="53" customFormat="false" ht="18.75" hidden="true" customHeight="false" outlineLevel="0" collapsed="false">
      <c r="A53" s="157"/>
      <c r="B53" s="158"/>
      <c r="C53" s="131"/>
      <c r="D53" s="135" t="n">
        <f aca="false">D52/C52</f>
        <v>0</v>
      </c>
      <c r="E53" s="131"/>
      <c r="F53" s="131"/>
      <c r="G53" s="135" t="n">
        <f aca="false">G52/F52</f>
        <v>0</v>
      </c>
      <c r="H53" s="131"/>
      <c r="I53" s="131"/>
      <c r="J53" s="135" t="n">
        <f aca="false">J52/I52</f>
        <v>0</v>
      </c>
      <c r="K53" s="131"/>
      <c r="L53" s="131"/>
      <c r="M53" s="135" t="n">
        <f aca="false">M52/L52</f>
        <v>0</v>
      </c>
      <c r="N53" s="118"/>
      <c r="O53" s="135" t="n">
        <f aca="false">O52/L49</f>
        <v>0</v>
      </c>
      <c r="Q53" s="117"/>
      <c r="R53" s="157"/>
    </row>
    <row r="54" customFormat="false" ht="18.75" hidden="false" customHeight="false" outlineLevel="0" collapsed="false">
      <c r="A54" s="114" t="s">
        <v>147</v>
      </c>
      <c r="G54" s="113"/>
      <c r="J54" s="113"/>
    </row>
    <row r="55" customFormat="false" ht="18.75" hidden="false" customHeight="false" outlineLevel="0" collapsed="false">
      <c r="A55" s="138"/>
      <c r="B55" s="138"/>
      <c r="C55" s="139"/>
      <c r="D55" s="140" t="s">
        <v>2</v>
      </c>
      <c r="E55" s="140"/>
      <c r="F55" s="139"/>
      <c r="G55" s="141" t="s">
        <v>3</v>
      </c>
      <c r="H55" s="141"/>
      <c r="I55" s="139"/>
      <c r="J55" s="142" t="s">
        <v>5</v>
      </c>
      <c r="K55" s="142"/>
      <c r="L55" s="139"/>
      <c r="M55" s="142" t="s">
        <v>131</v>
      </c>
      <c r="N55" s="142"/>
      <c r="O55" s="131"/>
      <c r="P55" s="113"/>
      <c r="Q55" s="117"/>
      <c r="T55" s="113"/>
    </row>
    <row r="56" customFormat="false" ht="18.75" hidden="false" customHeight="false" outlineLevel="0" collapsed="false">
      <c r="A56" s="143" t="s">
        <v>148</v>
      </c>
      <c r="B56" s="143"/>
      <c r="C56" s="143"/>
      <c r="D56" s="140" t="s">
        <v>149</v>
      </c>
      <c r="E56" s="141" t="s">
        <v>145</v>
      </c>
      <c r="F56" s="144"/>
      <c r="G56" s="140" t="s">
        <v>149</v>
      </c>
      <c r="H56" s="141" t="s">
        <v>145</v>
      </c>
      <c r="I56" s="144"/>
      <c r="J56" s="140" t="s">
        <v>149</v>
      </c>
      <c r="K56" s="141" t="s">
        <v>145</v>
      </c>
      <c r="L56" s="144"/>
      <c r="M56" s="140" t="s">
        <v>149</v>
      </c>
      <c r="N56" s="141" t="s">
        <v>145</v>
      </c>
    </row>
    <row r="57" customFormat="false" ht="18.75" hidden="false" customHeight="false" outlineLevel="0" collapsed="false">
      <c r="A57" s="143" t="s">
        <v>150</v>
      </c>
      <c r="B57" s="143"/>
      <c r="C57" s="143"/>
      <c r="D57" s="145" t="n">
        <f aca="false">E49+D49</f>
        <v>0</v>
      </c>
      <c r="E57" s="146" t="n">
        <f aca="false">D57/C49</f>
        <v>0</v>
      </c>
      <c r="F57" s="139"/>
      <c r="G57" s="147" t="n">
        <f aca="false">H49+'KH hieu chinh'!E42+'KH hieu chinh'!K42</f>
        <v>0</v>
      </c>
      <c r="H57" s="148" t="e">
        <f aca="false">G57/$F$17</f>
        <v>#DIV/0!</v>
      </c>
      <c r="I57" s="139"/>
      <c r="J57" s="147" t="n">
        <f aca="false">K49+'KH hieu chinh'!H42+'KH hieu chinh'!L42</f>
        <v>854990000</v>
      </c>
      <c r="K57" s="148" t="e">
        <f aca="false">J57/$I$17</f>
        <v>#DIV/0!</v>
      </c>
      <c r="L57" s="139"/>
      <c r="M57" s="149" t="n">
        <f aca="false">D57+G57+J57</f>
        <v>854990000</v>
      </c>
      <c r="N57" s="148" t="n">
        <f aca="false">M57/$L$49</f>
        <v>0.0286909395973154</v>
      </c>
    </row>
    <row r="58" customFormat="false" ht="18.75" hidden="false" customHeight="false" outlineLevel="0" collapsed="false">
      <c r="A58" s="143" t="s">
        <v>151</v>
      </c>
      <c r="B58" s="143"/>
      <c r="C58" s="143"/>
      <c r="D58" s="145"/>
      <c r="E58" s="146"/>
      <c r="F58" s="139"/>
      <c r="G58" s="147" t="n">
        <f aca="false">G57+'KH hieu chinh'!F42</f>
        <v>0</v>
      </c>
      <c r="H58" s="148" t="e">
        <f aca="false">G58/$F$17</f>
        <v>#DIV/0!</v>
      </c>
      <c r="I58" s="139"/>
      <c r="J58" s="147" t="n">
        <f aca="false">J57+'KH hieu chinh'!I42</f>
        <v>854990000</v>
      </c>
      <c r="K58" s="148" t="e">
        <f aca="false">J58/$I$17</f>
        <v>#DIV/0!</v>
      </c>
      <c r="L58" s="139"/>
      <c r="M58" s="149" t="n">
        <f aca="false">D57+G58+J58</f>
        <v>854990000</v>
      </c>
      <c r="N58" s="148" t="n">
        <f aca="false">M58/$L$49</f>
        <v>0.0286909395973154</v>
      </c>
    </row>
    <row r="59" customFormat="false" ht="18.75" hidden="false" customHeight="false" outlineLevel="0" collapsed="false">
      <c r="A59" s="143" t="s">
        <v>152</v>
      </c>
      <c r="B59" s="143"/>
      <c r="C59" s="143"/>
      <c r="D59" s="145"/>
      <c r="E59" s="146"/>
      <c r="F59" s="139"/>
      <c r="G59" s="147" t="n">
        <f aca="false">G58+'KH hieu chinh'!G42</f>
        <v>0</v>
      </c>
      <c r="H59" s="148" t="e">
        <f aca="false">G59/$F$17</f>
        <v>#DIV/0!</v>
      </c>
      <c r="I59" s="139"/>
      <c r="J59" s="147" t="n">
        <f aca="false">J58+'KH hieu chinh'!J42</f>
        <v>854990000</v>
      </c>
      <c r="K59" s="148" t="e">
        <f aca="false">J59/$I$17</f>
        <v>#DIV/0!</v>
      </c>
      <c r="L59" s="139"/>
      <c r="M59" s="149" t="n">
        <f aca="false">D57+G59+J59</f>
        <v>854990000</v>
      </c>
      <c r="N59" s="148" t="n">
        <f aca="false">M59/$L$49</f>
        <v>0.0286909395973154</v>
      </c>
    </row>
    <row r="61" customFormat="false" ht="18.75" hidden="false" customHeight="false" outlineLevel="0" collapsed="false">
      <c r="A61" s="143" t="s">
        <v>153</v>
      </c>
      <c r="B61" s="143"/>
      <c r="C61" s="143"/>
      <c r="D61" s="140" t="s">
        <v>149</v>
      </c>
      <c r="E61" s="141" t="s">
        <v>145</v>
      </c>
      <c r="F61" s="144"/>
      <c r="G61" s="140" t="s">
        <v>149</v>
      </c>
      <c r="H61" s="141" t="s">
        <v>145</v>
      </c>
      <c r="I61" s="144"/>
      <c r="J61" s="140" t="s">
        <v>149</v>
      </c>
      <c r="K61" s="141" t="s">
        <v>145</v>
      </c>
      <c r="L61" s="144"/>
      <c r="M61" s="140" t="s">
        <v>149</v>
      </c>
      <c r="N61" s="141" t="s">
        <v>145</v>
      </c>
    </row>
    <row r="62" customFormat="false" ht="18.75" hidden="false" customHeight="false" outlineLevel="0" collapsed="false">
      <c r="A62" s="143" t="s">
        <v>154</v>
      </c>
      <c r="B62" s="143"/>
      <c r="C62" s="143"/>
      <c r="D62" s="145" t="n">
        <f aca="false">E49+D49</f>
        <v>0</v>
      </c>
      <c r="E62" s="146" t="n">
        <f aca="false">D62/C49</f>
        <v>0</v>
      </c>
      <c r="F62" s="139"/>
      <c r="G62" s="147" t="n">
        <f aca="false">H49+SUM(G43:G45)</f>
        <v>0</v>
      </c>
      <c r="H62" s="148" t="e">
        <f aca="false">G62/$F$17</f>
        <v>#DIV/0!</v>
      </c>
      <c r="I62" s="139"/>
      <c r="J62" s="147" t="n">
        <f aca="false">K49+SUM(J43:J45)</f>
        <v>0</v>
      </c>
      <c r="K62" s="148" t="e">
        <f aca="false">J62/$I$17</f>
        <v>#DIV/0!</v>
      </c>
      <c r="L62" s="139"/>
      <c r="M62" s="149" t="n">
        <f aca="false">D62+G62+J62</f>
        <v>0</v>
      </c>
      <c r="N62" s="148" t="n">
        <f aca="false">M62/$L$49</f>
        <v>0</v>
      </c>
    </row>
    <row r="63" customFormat="false" ht="18.75" hidden="false" customHeight="false" outlineLevel="0" collapsed="false">
      <c r="A63" s="143" t="s">
        <v>155</v>
      </c>
      <c r="B63" s="143"/>
      <c r="C63" s="143"/>
      <c r="D63" s="145"/>
      <c r="E63" s="146"/>
      <c r="F63" s="139"/>
      <c r="G63" s="147" t="n">
        <f aca="false">G62+ SUM(G46:G48)</f>
        <v>0</v>
      </c>
      <c r="H63" s="148" t="e">
        <f aca="false">G63/$F$17</f>
        <v>#DIV/0!</v>
      </c>
      <c r="I63" s="139"/>
      <c r="J63" s="147" t="n">
        <f aca="false">J62+SUM(J46:J48)</f>
        <v>854990000</v>
      </c>
      <c r="K63" s="148" t="e">
        <f aca="false">J63/$I$17</f>
        <v>#DIV/0!</v>
      </c>
      <c r="L63" s="139"/>
      <c r="M63" s="149" t="n">
        <f aca="false">D62+G63+J63</f>
        <v>854990000</v>
      </c>
      <c r="N63" s="148" t="n">
        <f aca="false">M63/$L$49</f>
        <v>0.0286909395973154</v>
      </c>
    </row>
    <row r="64" customFormat="false" ht="18.75" hidden="false" customHeight="false" outlineLevel="0" collapsed="false">
      <c r="K64" s="151" t="s">
        <v>156</v>
      </c>
      <c r="L64" s="152"/>
      <c r="M64" s="153" t="n">
        <v>28039812425</v>
      </c>
      <c r="N64" s="154" t="n">
        <v>0.941</v>
      </c>
    </row>
    <row r="65" customFormat="false" ht="18.75" hidden="false" customHeight="false" outlineLevel="0" collapsed="false">
      <c r="K65" s="151" t="s">
        <v>157</v>
      </c>
      <c r="L65" s="152"/>
      <c r="M65" s="153" t="n">
        <f aca="false">M63-M64</f>
        <v>-27184822425</v>
      </c>
      <c r="N65" s="154" t="n">
        <f aca="false">N63-N64</f>
        <v>-0.912309060402685</v>
      </c>
    </row>
    <row r="66" customFormat="false" ht="18.75" hidden="false" customHeight="false" outlineLevel="0" collapsed="false">
      <c r="B66" s="110" t="s">
        <v>160</v>
      </c>
      <c r="F66" s="155"/>
      <c r="G66" s="118"/>
      <c r="I66" s="117"/>
    </row>
    <row r="67" customFormat="false" ht="32.8" hidden="false" customHeight="false" outlineLevel="0" collapsed="false">
      <c r="B67" s="161" t="s">
        <v>161</v>
      </c>
      <c r="C67" s="162" t="s">
        <v>162</v>
      </c>
      <c r="D67" s="162" t="s">
        <v>163</v>
      </c>
      <c r="E67" s="162" t="s">
        <v>9</v>
      </c>
      <c r="F67" s="162" t="s">
        <v>164</v>
      </c>
      <c r="G67" s="162" t="s">
        <v>165</v>
      </c>
      <c r="I67" s="117"/>
      <c r="M67" s="163"/>
    </row>
    <row r="68" customFormat="false" ht="18.75" hidden="false" customHeight="false" outlineLevel="0" collapsed="false">
      <c r="B68" s="164" t="s">
        <v>2</v>
      </c>
      <c r="C68" s="165" t="n">
        <f aca="false">C17</f>
        <v>10800000000</v>
      </c>
      <c r="D68" s="165" t="n">
        <f aca="false">D17</f>
        <v>0</v>
      </c>
      <c r="E68" s="166" t="n">
        <f aca="false">E17</f>
        <v>0</v>
      </c>
      <c r="F68" s="167" t="n">
        <f aca="false">E18</f>
        <v>0</v>
      </c>
      <c r="G68" s="167"/>
      <c r="I68" s="117"/>
      <c r="M68" s="113"/>
    </row>
    <row r="69" customFormat="false" ht="18.75" hidden="false" customHeight="false" outlineLevel="0" collapsed="false">
      <c r="B69" s="164" t="s">
        <v>3</v>
      </c>
      <c r="C69" s="165" t="n">
        <f aca="false">F17</f>
        <v>0</v>
      </c>
      <c r="D69" s="165" t="n">
        <f aca="false">G17</f>
        <v>0</v>
      </c>
      <c r="E69" s="166" t="n">
        <f aca="false">H17</f>
        <v>0</v>
      </c>
      <c r="F69" s="167" t="e">
        <f aca="false">H18</f>
        <v>#DIV/0!</v>
      </c>
      <c r="G69" s="167" t="n">
        <f aca="false">G18</f>
        <v>0</v>
      </c>
      <c r="I69" s="117"/>
    </row>
    <row r="70" customFormat="false" ht="18.75" hidden="false" customHeight="false" outlineLevel="0" collapsed="false">
      <c r="B70" s="164" t="s">
        <v>5</v>
      </c>
      <c r="C70" s="165" t="n">
        <f aca="false">I17</f>
        <v>0</v>
      </c>
      <c r="D70" s="165" t="n">
        <f aca="false">J17</f>
        <v>854990000</v>
      </c>
      <c r="E70" s="166" t="n">
        <f aca="false">K17</f>
        <v>0</v>
      </c>
      <c r="F70" s="167" t="e">
        <f aca="false">K18</f>
        <v>#DIV/0!</v>
      </c>
      <c r="G70" s="167" t="n">
        <f aca="false">J18</f>
        <v>0</v>
      </c>
      <c r="I70" s="117"/>
      <c r="M70" s="113"/>
    </row>
    <row r="71" customFormat="false" ht="18.75" hidden="false" customHeight="false" outlineLevel="0" collapsed="false">
      <c r="B71" s="168" t="s">
        <v>131</v>
      </c>
      <c r="C71" s="169" t="n">
        <f aca="false">L17</f>
        <v>10800000000</v>
      </c>
      <c r="D71" s="169" t="n">
        <f aca="false">M17</f>
        <v>854990000</v>
      </c>
      <c r="E71" s="169" t="n">
        <f aca="false">N17</f>
        <v>0</v>
      </c>
      <c r="F71" s="170" t="n">
        <f aca="false">N18</f>
        <v>0</v>
      </c>
      <c r="G71" s="170" t="n">
        <f aca="false">M18</f>
        <v>0</v>
      </c>
    </row>
    <row r="73" customFormat="false" ht="18.75" hidden="false" customHeight="false" outlineLevel="0" collapsed="false">
      <c r="B73" s="110" t="s">
        <v>166</v>
      </c>
    </row>
    <row r="74" customFormat="false" ht="32.8" hidden="false" customHeight="false" outlineLevel="0" collapsed="false">
      <c r="B74" s="161" t="s">
        <v>161</v>
      </c>
      <c r="C74" s="162" t="s">
        <v>162</v>
      </c>
      <c r="D74" s="162" t="s">
        <v>163</v>
      </c>
      <c r="E74" s="162" t="s">
        <v>9</v>
      </c>
      <c r="F74" s="162" t="s">
        <v>164</v>
      </c>
      <c r="G74" s="162" t="s">
        <v>165</v>
      </c>
      <c r="I74" s="117"/>
    </row>
    <row r="75" customFormat="false" ht="18.75" hidden="false" customHeight="false" outlineLevel="0" collapsed="false">
      <c r="B75" s="164" t="s">
        <v>2</v>
      </c>
      <c r="C75" s="165" t="n">
        <f aca="false">C49</f>
        <v>10800000000</v>
      </c>
      <c r="D75" s="165" t="n">
        <f aca="false">D49</f>
        <v>0</v>
      </c>
      <c r="E75" s="166" t="n">
        <f aca="false">E49</f>
        <v>0</v>
      </c>
      <c r="F75" s="167" t="n">
        <f aca="false">E50</f>
        <v>0</v>
      </c>
      <c r="G75" s="167"/>
      <c r="I75" s="117"/>
    </row>
    <row r="76" customFormat="false" ht="18.75" hidden="false" customHeight="false" outlineLevel="0" collapsed="false">
      <c r="B76" s="164" t="s">
        <v>3</v>
      </c>
      <c r="C76" s="165" t="n">
        <f aca="false">F49</f>
        <v>10000000000</v>
      </c>
      <c r="D76" s="165" t="n">
        <f aca="false">G49</f>
        <v>0</v>
      </c>
      <c r="E76" s="166" t="n">
        <f aca="false">H49</f>
        <v>0</v>
      </c>
      <c r="F76" s="167" t="n">
        <f aca="false">H50</f>
        <v>0</v>
      </c>
      <c r="G76" s="167" t="n">
        <f aca="false">G50</f>
        <v>0</v>
      </c>
      <c r="I76" s="117"/>
    </row>
    <row r="77" customFormat="false" ht="18.75" hidden="false" customHeight="false" outlineLevel="0" collapsed="false">
      <c r="B77" s="164" t="s">
        <v>5</v>
      </c>
      <c r="C77" s="165" t="n">
        <f aca="false">I49</f>
        <v>9000000000</v>
      </c>
      <c r="D77" s="165" t="n">
        <f aca="false">J49</f>
        <v>854990000</v>
      </c>
      <c r="E77" s="166" t="n">
        <f aca="false">K49</f>
        <v>0</v>
      </c>
      <c r="F77" s="167" t="n">
        <f aca="false">K50</f>
        <v>0</v>
      </c>
      <c r="G77" s="167" t="n">
        <f aca="false">J50</f>
        <v>0</v>
      </c>
      <c r="I77" s="117"/>
    </row>
    <row r="78" customFormat="false" ht="18.75" hidden="false" customHeight="false" outlineLevel="0" collapsed="false">
      <c r="B78" s="168" t="s">
        <v>131</v>
      </c>
      <c r="C78" s="169" t="n">
        <f aca="false">L49</f>
        <v>29800000000</v>
      </c>
      <c r="D78" s="169" t="n">
        <f aca="false">M49</f>
        <v>854990000</v>
      </c>
      <c r="E78" s="169" t="n">
        <f aca="false">N49</f>
        <v>0</v>
      </c>
      <c r="F78" s="170" t="n">
        <f aca="false">N50</f>
        <v>0</v>
      </c>
      <c r="G78" s="170" t="n">
        <f aca="false">M50</f>
        <v>0</v>
      </c>
    </row>
  </sheetData>
  <mergeCells count="42">
    <mergeCell ref="A3:A4"/>
    <mergeCell ref="B3:B4"/>
    <mergeCell ref="C3:E3"/>
    <mergeCell ref="F3:H3"/>
    <mergeCell ref="I3:K3"/>
    <mergeCell ref="L3:N3"/>
    <mergeCell ref="D23:E23"/>
    <mergeCell ref="G23:H23"/>
    <mergeCell ref="J23:K23"/>
    <mergeCell ref="M23:N23"/>
    <mergeCell ref="A24:C24"/>
    <mergeCell ref="A25:C25"/>
    <mergeCell ref="D25:D27"/>
    <mergeCell ref="E25:E27"/>
    <mergeCell ref="A26:C26"/>
    <mergeCell ref="A27:C27"/>
    <mergeCell ref="A29:C29"/>
    <mergeCell ref="A30:C30"/>
    <mergeCell ref="D30:D31"/>
    <mergeCell ref="E30:E31"/>
    <mergeCell ref="A31:C31"/>
    <mergeCell ref="A35:A36"/>
    <mergeCell ref="B35:B36"/>
    <mergeCell ref="C35:E35"/>
    <mergeCell ref="F35:H35"/>
    <mergeCell ref="I35:K35"/>
    <mergeCell ref="L35:N35"/>
    <mergeCell ref="D55:E55"/>
    <mergeCell ref="G55:H55"/>
    <mergeCell ref="J55:K55"/>
    <mergeCell ref="M55:N55"/>
    <mergeCell ref="A56:C56"/>
    <mergeCell ref="A57:C57"/>
    <mergeCell ref="D57:D59"/>
    <mergeCell ref="E57:E59"/>
    <mergeCell ref="A58:C58"/>
    <mergeCell ref="A59:C59"/>
    <mergeCell ref="A61:C61"/>
    <mergeCell ref="A62:C62"/>
    <mergeCell ref="D62:D63"/>
    <mergeCell ref="E62:E63"/>
    <mergeCell ref="A63:C63"/>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42"/>
  <sheetViews>
    <sheetView showFormulas="false" showGridLines="true" showRowColHeaders="true" showZeros="true" rightToLeft="false" tabSelected="false" showOutlineSymbols="true" defaultGridColor="true" view="normal" topLeftCell="A7" colorId="64" zoomScale="75" zoomScaleNormal="75" zoomScalePageLayoutView="100" workbookViewId="0">
      <pane xSplit="2" ySplit="0" topLeftCell="E7" activePane="topRight" state="frozen"/>
      <selection pane="topLeft" activeCell="A7" activeCellId="0" sqref="A7"/>
      <selection pane="topRight" activeCell="M40" activeCellId="0" sqref="M40"/>
    </sheetView>
  </sheetViews>
  <sheetFormatPr defaultColWidth="9.00390625" defaultRowHeight="18.75" customHeight="false" zeroHeight="false" outlineLevelRow="0" outlineLevelCol="0"/>
  <cols>
    <col collapsed="false" customWidth="true" hidden="false" outlineLevel="0" max="1" min="1" style="110" width="8.71"/>
    <col collapsed="false" customWidth="true" hidden="false" outlineLevel="0" max="2" min="2" style="110" width="13.42"/>
    <col collapsed="false" customWidth="true" hidden="false" outlineLevel="0" max="9" min="3" style="110" width="21.14"/>
    <col collapsed="false" customWidth="true" hidden="false" outlineLevel="0" max="10" min="10" style="110" width="20.71"/>
    <col collapsed="false" customWidth="true" hidden="false" outlineLevel="0" max="11" min="11" style="110" width="19.71"/>
    <col collapsed="false" customWidth="true" hidden="false" outlineLevel="0" max="13" min="12" style="110" width="21.14"/>
    <col collapsed="false" customWidth="true" hidden="false" outlineLevel="0" max="14" min="14" style="110" width="21"/>
    <col collapsed="false" customWidth="true" hidden="false" outlineLevel="0" max="15" min="15" style="110" width="20.71"/>
    <col collapsed="false" customWidth="true" hidden="false" outlineLevel="0" max="16" min="16" style="110" width="22.71"/>
    <col collapsed="false" customWidth="true" hidden="false" outlineLevel="0" max="17" min="17" style="110" width="23.42"/>
    <col collapsed="false" customWidth="true" hidden="false" outlineLevel="0" max="18" min="18" style="110" width="23"/>
    <col collapsed="false" customWidth="true" hidden="false" outlineLevel="0" max="19" min="19" style="110" width="20.71"/>
    <col collapsed="false" customWidth="true" hidden="false" outlineLevel="0" max="20" min="20" style="110" width="22.71"/>
    <col collapsed="false" customWidth="true" hidden="false" outlineLevel="0" max="27" min="21" style="110" width="19.29"/>
    <col collapsed="false" customWidth="false" hidden="false" outlineLevel="0" max="16384" min="28" style="110" width="9"/>
  </cols>
  <sheetData>
    <row r="1" customFormat="false" ht="18.75" hidden="false" customHeight="false" outlineLevel="0" collapsed="false">
      <c r="A1" s="111" t="s">
        <v>128</v>
      </c>
      <c r="E1" s="112"/>
      <c r="F1" s="113"/>
      <c r="I1" s="113"/>
      <c r="L1" s="113"/>
      <c r="N1" s="113"/>
      <c r="Q1" s="113"/>
    </row>
    <row r="2" customFormat="false" ht="18.75" hidden="false" customHeight="false" outlineLevel="0" collapsed="false">
      <c r="A2" s="114" t="s">
        <v>83</v>
      </c>
      <c r="B2" s="115"/>
      <c r="C2" s="171" t="n">
        <v>2026</v>
      </c>
      <c r="D2" s="117"/>
      <c r="E2" s="112"/>
      <c r="F2" s="116"/>
      <c r="G2" s="115"/>
      <c r="H2" s="117"/>
      <c r="I2" s="116"/>
      <c r="J2" s="115"/>
      <c r="K2" s="117"/>
      <c r="L2" s="116"/>
      <c r="M2" s="115"/>
      <c r="N2" s="117"/>
      <c r="P2" s="118"/>
    </row>
    <row r="3" customFormat="false" ht="18.75" hidden="false" customHeight="true" outlineLevel="0" collapsed="false">
      <c r="A3" s="119" t="s">
        <v>129</v>
      </c>
      <c r="B3" s="120" t="s">
        <v>6</v>
      </c>
      <c r="C3" s="121" t="s">
        <v>85</v>
      </c>
      <c r="D3" s="121"/>
      <c r="E3" s="121"/>
      <c r="F3" s="121" t="s">
        <v>86</v>
      </c>
      <c r="G3" s="121"/>
      <c r="H3" s="121"/>
      <c r="I3" s="121" t="s">
        <v>130</v>
      </c>
      <c r="J3" s="121"/>
      <c r="K3" s="121"/>
      <c r="L3" s="121" t="s">
        <v>131</v>
      </c>
      <c r="M3" s="121"/>
      <c r="N3" s="121"/>
    </row>
    <row r="4" customFormat="false" ht="18.75" hidden="false" customHeight="false" outlineLevel="0" collapsed="false">
      <c r="A4" s="119"/>
      <c r="B4" s="120"/>
      <c r="C4" s="121" t="s">
        <v>132</v>
      </c>
      <c r="D4" s="121" t="s">
        <v>167</v>
      </c>
      <c r="E4" s="121" t="s">
        <v>9</v>
      </c>
      <c r="F4" s="121" t="s">
        <v>132</v>
      </c>
      <c r="G4" s="121" t="s">
        <v>167</v>
      </c>
      <c r="H4" s="121" t="s">
        <v>9</v>
      </c>
      <c r="I4" s="121" t="s">
        <v>132</v>
      </c>
      <c r="J4" s="121" t="s">
        <v>167</v>
      </c>
      <c r="K4" s="121" t="s">
        <v>9</v>
      </c>
      <c r="L4" s="121" t="s">
        <v>132</v>
      </c>
      <c r="M4" s="121" t="s">
        <v>167</v>
      </c>
      <c r="N4" s="121" t="s">
        <v>9</v>
      </c>
    </row>
    <row r="5" customFormat="false" ht="18.75" hidden="false" customHeight="false" outlineLevel="0" collapsed="false">
      <c r="A5" s="122" t="n">
        <v>1</v>
      </c>
      <c r="B5" s="123" t="s">
        <v>133</v>
      </c>
      <c r="C5" s="124" t="n">
        <f aca="false">KH_Nam_Hieuchinh!C5</f>
        <v>950000000</v>
      </c>
      <c r="D5" s="126" t="n">
        <f aca="false">KH_Nam_Hieuchinh!G5</f>
        <v>0</v>
      </c>
      <c r="E5" s="125" t="n">
        <f aca="false">SUMPRODUCT(
 (HD_Thucte!$E$2:$E$1003)*
 (HD_Thucte!$A$2:$A$1003="ITO")*
 (YEAR(HD_Thucte!$F$2:$F$1003)=$C$2)*
 (MONTH(HD_Thucte!$F$2:$F$1003)=VALUE(RIGHT($B5,2)))
)</f>
        <v>1003909178</v>
      </c>
      <c r="F5" s="124" t="n">
        <f aca="false">KH_Nam_Hieuchinh!D5</f>
        <v>42200000</v>
      </c>
      <c r="G5" s="126" t="n">
        <f aca="false">KH_Nam_Hieuchinh!H5</f>
        <v>0</v>
      </c>
      <c r="H5" s="125" t="n">
        <f aca="false">SUMPRODUCT(
 (HD_Thucte!$E$2:$E$1003)*
 (HD_Thucte!$A$2:$A$1003="UNI")*
 (YEAR(HD_Thucte!$F$2:$F$1003)=$C$2)*
 (MONTH(HD_Thucte!$F$2:$F$1003)=VALUE(RIGHT($B5,2)))
)</f>
        <v>271200000</v>
      </c>
      <c r="I5" s="124" t="n">
        <f aca="false">KH_Nam_Hieuchinh!E5</f>
        <v>66000000</v>
      </c>
      <c r="J5" s="126" t="n">
        <f aca="false">KH_Nam_Hieuchinh!I5</f>
        <v>0</v>
      </c>
      <c r="K5" s="125" t="n">
        <f aca="false">SUMPRODUCT(
 (HD_Thucte!$E$2:$E$1003)*
 (HD_Thucte!$A$2:$A$1003="G2B")*
 (YEAR(HD_Thucte!$F$2:$F$1003)=$C$2)*
 (MONTH(HD_Thucte!$F$2:$F$1003)=VALUE(RIGHT($B5,2)))
)</f>
        <v>34000000</v>
      </c>
      <c r="L5" s="124" t="n">
        <f aca="false">C5+F5+I5</f>
        <v>1058200000</v>
      </c>
      <c r="M5" s="126" t="n">
        <f aca="false">D5+G5+J5</f>
        <v>0</v>
      </c>
      <c r="N5" s="125" t="n">
        <f aca="false">E5+H5+K5</f>
        <v>1309109178</v>
      </c>
    </row>
    <row r="6" customFormat="false" ht="18.75" hidden="false" customHeight="false" outlineLevel="0" collapsed="false">
      <c r="A6" s="122" t="n">
        <v>2</v>
      </c>
      <c r="B6" s="123" t="s">
        <v>134</v>
      </c>
      <c r="C6" s="124" t="n">
        <f aca="false">KH_Nam_Hieuchinh!C6</f>
        <v>950000000</v>
      </c>
      <c r="D6" s="126" t="n">
        <f aca="false">KH_Nam_Hieuchinh!G6</f>
        <v>0</v>
      </c>
      <c r="E6" s="125" t="n">
        <f aca="false">SUMPRODUCT(
 (HD_Thucte!$E$2:$E$1003)*
 (HD_Thucte!$A$2:$A$1003="ITO")*
 (YEAR(HD_Thucte!$F$2:$F$1003)=$C$2)*
 (MONTH(HD_Thucte!$F$2:$F$1003)=VALUE(RIGHT($B6,2)))
)</f>
        <v>1022803457</v>
      </c>
      <c r="F6" s="124" t="n">
        <f aca="false">KH_Nam_Hieuchinh!D6</f>
        <v>200000000</v>
      </c>
      <c r="G6" s="126" t="n">
        <f aca="false">KH_Nam_Hieuchinh!H6</f>
        <v>0</v>
      </c>
      <c r="H6" s="125" t="n">
        <f aca="false">SUMPRODUCT(
 (HD_Thucte!$E$2:$E$1003)*
 (HD_Thucte!$A$2:$A$1003="UNI")*
 (YEAR(HD_Thucte!$F$2:$F$1003)=$C$2)*
 (MONTH(HD_Thucte!$F$2:$F$1003)=VALUE(RIGHT($B6,2)))
)</f>
        <v>0</v>
      </c>
      <c r="I6" s="124" t="n">
        <f aca="false">KH_Nam_Hieuchinh!E6</f>
        <v>1500000000</v>
      </c>
      <c r="J6" s="126" t="n">
        <f aca="false">KH_Nam_Hieuchinh!I6</f>
        <v>0</v>
      </c>
      <c r="K6" s="125" t="n">
        <f aca="false">SUMPRODUCT(
 (HD_Thucte!$E$2:$E$1003)*
 (HD_Thucte!$A$2:$A$1003="G2B")*
 (YEAR(HD_Thucte!$F$2:$F$1003)=$C$2)*
 (MONTH(HD_Thucte!$F$2:$F$1003)=VALUE(RIGHT($B6,2)))
)</f>
        <v>1749791000</v>
      </c>
      <c r="L6" s="124" t="n">
        <f aca="false">C6+F6+I6</f>
        <v>2650000000</v>
      </c>
      <c r="M6" s="126" t="n">
        <f aca="false">D6+G6+J6</f>
        <v>0</v>
      </c>
      <c r="N6" s="125" t="n">
        <f aca="false">E6+H6+K6</f>
        <v>2772594457</v>
      </c>
    </row>
    <row r="7" customFormat="false" ht="18.75" hidden="false" customHeight="false" outlineLevel="0" collapsed="false">
      <c r="A7" s="122" t="n">
        <v>3</v>
      </c>
      <c r="B7" s="123" t="s">
        <v>135</v>
      </c>
      <c r="C7" s="124" t="n">
        <f aca="false">KH_Nam_Hieuchinh!C7</f>
        <v>950000000</v>
      </c>
      <c r="D7" s="126" t="n">
        <f aca="false">KH_Nam_Hieuchinh!G7</f>
        <v>0</v>
      </c>
      <c r="E7" s="125" t="n">
        <f aca="false">SUMPRODUCT(
 (HD_Thucte!$E$2:$E$1003)*
 (HD_Thucte!$A$2:$A$1003="ITO")*
 (YEAR(HD_Thucte!$F$2:$F$1003)=$C$2)*
 (MONTH(HD_Thucte!$F$2:$F$1003)=VALUE(RIGHT($B7,2)))
)</f>
        <v>960679500</v>
      </c>
      <c r="F7" s="124" t="n">
        <f aca="false">KH_Nam_Hieuchinh!D7</f>
        <v>1000000000</v>
      </c>
      <c r="G7" s="126" t="n">
        <f aca="false">KH_Nam_Hieuchinh!H7</f>
        <v>0</v>
      </c>
      <c r="H7" s="125" t="n">
        <f aca="false">SUMPRODUCT(
 (HD_Thucte!$E$2:$E$1003)*
 (HD_Thucte!$A$2:$A$1003="UNI")*
 (YEAR(HD_Thucte!$F$2:$F$1003)=$C$2)*
 (MONTH(HD_Thucte!$F$2:$F$1003)=VALUE(RIGHT($B7,2)))
)</f>
        <v>39540000</v>
      </c>
      <c r="I7" s="124" t="n">
        <f aca="false">KH_Nam_Hieuchinh!E7</f>
        <v>500000000</v>
      </c>
      <c r="J7" s="126" t="n">
        <f aca="false">KH_Nam_Hieuchinh!I7</f>
        <v>0</v>
      </c>
      <c r="K7" s="125" t="n">
        <f aca="false">SUMPRODUCT(
 (HD_Thucte!$E$2:$E$1003)*
 (HD_Thucte!$A$2:$A$1003="G2B")*
 (YEAR(HD_Thucte!$F$2:$F$1003)=$C$2)*
 (MONTH(HD_Thucte!$F$2:$F$1003)=VALUE(RIGHT($B7,2)))
)</f>
        <v>60000000</v>
      </c>
      <c r="L7" s="124" t="n">
        <f aca="false">C7+F7+I7</f>
        <v>2450000000</v>
      </c>
      <c r="M7" s="126" t="n">
        <f aca="false">D7+G7+J7</f>
        <v>0</v>
      </c>
      <c r="N7" s="125" t="n">
        <f aca="false">E7+H7+K7</f>
        <v>1060219500</v>
      </c>
      <c r="O7" s="113" t="n">
        <f aca="false">SUM(N5:N7)</f>
        <v>5141923135</v>
      </c>
      <c r="Q7" s="117"/>
      <c r="S7" s="113"/>
    </row>
    <row r="8" customFormat="false" ht="18.75" hidden="false" customHeight="false" outlineLevel="0" collapsed="false">
      <c r="A8" s="122" t="n">
        <v>4</v>
      </c>
      <c r="B8" s="123" t="s">
        <v>136</v>
      </c>
      <c r="C8" s="124" t="n">
        <f aca="false">KH_Nam_Hieuchinh!C8</f>
        <v>950000000</v>
      </c>
      <c r="D8" s="126" t="n">
        <f aca="false">KH_Nam_Hieuchinh!G8</f>
        <v>0</v>
      </c>
      <c r="E8" s="125" t="n">
        <f aca="false">SUMPRODUCT(
 (HD_Thucte!$E$2:$E$1003)*
 (HD_Thucte!$A$2:$A$1003="ITO")*
 (YEAR(HD_Thucte!$F$2:$F$1003)=$C$2)*
 (MONTH(HD_Thucte!$F$2:$F$1003)=VALUE(RIGHT($B8,2)))
)</f>
        <v>963300542</v>
      </c>
      <c r="F8" s="124" t="n">
        <f aca="false">KH_Nam_Hieuchinh!D8</f>
        <v>800800000</v>
      </c>
      <c r="G8" s="126" t="n">
        <f aca="false">KH_Nam_Hieuchinh!H8</f>
        <v>0</v>
      </c>
      <c r="H8" s="125" t="n">
        <f aca="false">SUMPRODUCT(
 (HD_Thucte!$E$2:$E$1003)*
 (HD_Thucte!$A$2:$A$1003="UNI")*
 (YEAR(HD_Thucte!$F$2:$F$1003)=$C$2)*
 (MONTH(HD_Thucte!$F$2:$F$1003)=VALUE(RIGHT($B8,2)))
)</f>
        <v>3017125000</v>
      </c>
      <c r="I8" s="124" t="n">
        <f aca="false">KH_Nam_Hieuchinh!E8</f>
        <v>1000000000</v>
      </c>
      <c r="J8" s="126" t="n">
        <f aca="false">KH_Nam_Hieuchinh!I8</f>
        <v>0</v>
      </c>
      <c r="K8" s="125" t="n">
        <f aca="false">SUMPRODUCT(
 (HD_Thucte!$E$2:$E$1003)*
 (HD_Thucte!$A$2:$A$1003="G2B")*
 (YEAR(HD_Thucte!$F$2:$F$1003)=$C$2)*
 (MONTH(HD_Thucte!$F$2:$F$1003)=VALUE(RIGHT($B8,2)))
)</f>
        <v>67000000</v>
      </c>
      <c r="L8" s="124" t="n">
        <f aca="false">C8+F8+I8</f>
        <v>2750800000</v>
      </c>
      <c r="M8" s="126" t="n">
        <f aca="false">D8+G8+J8</f>
        <v>0</v>
      </c>
      <c r="N8" s="125" t="n">
        <f aca="false">E8+H8+K8</f>
        <v>4047425542</v>
      </c>
      <c r="Q8" s="113"/>
    </row>
    <row r="9" customFormat="false" ht="18.75" hidden="false" customHeight="false" outlineLevel="0" collapsed="false">
      <c r="A9" s="122" t="n">
        <v>5</v>
      </c>
      <c r="B9" s="123" t="s">
        <v>137</v>
      </c>
      <c r="C9" s="124" t="n">
        <f aca="false">KH_Nam_Hieuchinh!C9</f>
        <v>950000000</v>
      </c>
      <c r="D9" s="126" t="n">
        <f aca="false">KH_Nam_Hieuchinh!G9</f>
        <v>0</v>
      </c>
      <c r="E9" s="125" t="n">
        <f aca="false">SUMPRODUCT(
 (HD_Thucte!$E$2:$E$1003)*
 (HD_Thucte!$A$2:$A$1003="ITO")*
 (YEAR(HD_Thucte!$F$2:$F$1003)=$C$2)*
 (MONTH(HD_Thucte!$F$2:$F$1003)=VALUE(RIGHT($B9,2)))
)</f>
        <v>924438273</v>
      </c>
      <c r="F9" s="124" t="n">
        <f aca="false">KH_Nam_Hieuchinh!D9</f>
        <v>1357000000</v>
      </c>
      <c r="G9" s="126" t="n">
        <f aca="false">KH_Nam_Hieuchinh!H9</f>
        <v>0</v>
      </c>
      <c r="H9" s="125" t="n">
        <f aca="false">SUMPRODUCT(
 (HD_Thucte!$E$2:$E$1003)*
 (HD_Thucte!$A$2:$A$1003="UNI")*
 (YEAR(HD_Thucte!$F$2:$F$1003)=$C$2)*
 (MONTH(HD_Thucte!$F$2:$F$1003)=VALUE(RIGHT($B9,2)))
)</f>
        <v>13200000</v>
      </c>
      <c r="I9" s="124" t="n">
        <f aca="false">KH_Nam_Hieuchinh!E9</f>
        <v>600000000</v>
      </c>
      <c r="J9" s="126" t="n">
        <f aca="false">KH_Nam_Hieuchinh!I9</f>
        <v>0</v>
      </c>
      <c r="K9" s="125" t="n">
        <f aca="false">SUMPRODUCT(
 (HD_Thucte!$E$2:$E$1003)*
 (HD_Thucte!$A$2:$A$1003="G2B")*
 (YEAR(HD_Thucte!$F$2:$F$1003)=$C$2)*
 (MONTH(HD_Thucte!$F$2:$F$1003)=VALUE(RIGHT($B9,2)))
)</f>
        <v>40000000</v>
      </c>
      <c r="L9" s="124" t="n">
        <f aca="false">C9+F9+I9</f>
        <v>2907000000</v>
      </c>
      <c r="M9" s="126" t="n">
        <f aca="false">D9+G9+J9</f>
        <v>0</v>
      </c>
      <c r="N9" s="125" t="n">
        <f aca="false">E9+H9+K9</f>
        <v>977638273</v>
      </c>
    </row>
    <row r="10" customFormat="false" ht="18.75" hidden="false" customHeight="false" outlineLevel="0" collapsed="false">
      <c r="A10" s="122" t="n">
        <v>6</v>
      </c>
      <c r="B10" s="123" t="s">
        <v>138</v>
      </c>
      <c r="C10" s="124" t="n">
        <f aca="false">KH_Nam_Hieuchinh!C10</f>
        <v>950000000</v>
      </c>
      <c r="D10" s="126" t="n">
        <f aca="false">KH_Nam_Hieuchinh!G10</f>
        <v>0</v>
      </c>
      <c r="E10" s="125" t="n">
        <f aca="false">SUMPRODUCT(
 (HD_Thucte!$E$2:$E$1003)*
 (HD_Thucte!$A$2:$A$1003="ITO")*
 (YEAR(HD_Thucte!$F$2:$F$1003)=$C$2)*
 (MONTH(HD_Thucte!$F$2:$F$1003)=VALUE(RIGHT($B10,2)))
)</f>
        <v>858195940</v>
      </c>
      <c r="F10" s="124" t="n">
        <f aca="false">KH_Nam_Hieuchinh!D10</f>
        <v>1200000000</v>
      </c>
      <c r="G10" s="126" t="n">
        <f aca="false">KH_Nam_Hieuchinh!H10</f>
        <v>0</v>
      </c>
      <c r="H10" s="125" t="n">
        <f aca="false">SUMPRODUCT(
 (HD_Thucte!$E$2:$E$1003)*
 (HD_Thucte!$A$2:$A$1003="UNI")*
 (YEAR(HD_Thucte!$F$2:$F$1003)=$C$2)*
 (MONTH(HD_Thucte!$F$2:$F$1003)=VALUE(RIGHT($B10,2)))
)</f>
        <v>106500000</v>
      </c>
      <c r="I10" s="124" t="n">
        <f aca="false">KH_Nam_Hieuchinh!E10</f>
        <v>500000000</v>
      </c>
      <c r="J10" s="126" t="n">
        <f aca="false">KH_Nam_Hieuchinh!I10</f>
        <v>0</v>
      </c>
      <c r="K10" s="125" t="n">
        <f aca="false">SUMPRODUCT(
 (HD_Thucte!$E$2:$E$1003)*
 (HD_Thucte!$A$2:$A$1003="G2B")*
 (YEAR(HD_Thucte!$F$2:$F$1003)=$C$2)*
 (MONTH(HD_Thucte!$F$2:$F$1003)=VALUE(RIGHT($B10,2)))
)</f>
        <v>123500000</v>
      </c>
      <c r="L10" s="124" t="n">
        <f aca="false">C10+F10+I10</f>
        <v>2650000000</v>
      </c>
      <c r="M10" s="126" t="n">
        <f aca="false">D10+G10+J10</f>
        <v>0</v>
      </c>
      <c r="N10" s="125" t="n">
        <f aca="false">E10+H10+K10</f>
        <v>1088195940</v>
      </c>
      <c r="O10" s="113" t="n">
        <f aca="false">SUM(N8:N10)</f>
        <v>6113259755</v>
      </c>
    </row>
    <row r="11" customFormat="false" ht="18.75" hidden="false" customHeight="false" outlineLevel="0" collapsed="false">
      <c r="A11" s="122" t="n">
        <v>7</v>
      </c>
      <c r="B11" s="123" t="s">
        <v>139</v>
      </c>
      <c r="C11" s="124" t="n">
        <f aca="false">KH_Nam_Hieuchinh!C11</f>
        <v>950000000</v>
      </c>
      <c r="D11" s="126" t="n">
        <f aca="false">KH_Nam_Hieuchinh!G11</f>
        <v>0</v>
      </c>
      <c r="E11" s="125" t="n">
        <f aca="false">SUMPRODUCT(
 (HD_Thucte!$E$2:$E$1003)*
 (HD_Thucte!$A$2:$A$1003="ITO")*
 (YEAR(HD_Thucte!$F$2:$F$1003)=$C$2)*
 (MONTH(HD_Thucte!$F$2:$F$1003)=VALUE(RIGHT($B11,2)))
)</f>
        <v>867129105</v>
      </c>
      <c r="F11" s="124" t="n">
        <f aca="false">KH_Nam_Hieuchinh!D11</f>
        <v>900000000</v>
      </c>
      <c r="G11" s="126" t="n">
        <f aca="false">KH_Nam_Hieuchinh!H11</f>
        <v>0</v>
      </c>
      <c r="H11" s="125" t="n">
        <f aca="false">SUMPRODUCT(
 (HD_Thucte!$E$2:$E$1003)*
 (HD_Thucte!$A$2:$A$1003="UNI")*
 (YEAR(HD_Thucte!$F$2:$F$1003)=$C$2)*
 (MONTH(HD_Thucte!$F$2:$F$1003)=VALUE(RIGHT($B11,2)))
)</f>
        <v>0</v>
      </c>
      <c r="I11" s="124" t="n">
        <f aca="false">KH_Nam_Hieuchinh!E11</f>
        <v>500000000</v>
      </c>
      <c r="J11" s="126" t="n">
        <f aca="false">KH_Nam_Hieuchinh!I11</f>
        <v>0</v>
      </c>
      <c r="K11" s="125" t="n">
        <f aca="false">SUMPRODUCT(
 (HD_Thucte!$E$2:$E$1003)*
 (HD_Thucte!$A$2:$A$1003="G2B")*
 (YEAR(HD_Thucte!$F$2:$F$1003)=$C$2)*
 (MONTH(HD_Thucte!$F$2:$F$1003)=VALUE(RIGHT($B11,2)))
)</f>
        <v>16500000</v>
      </c>
      <c r="L11" s="124" t="n">
        <f aca="false">C11+F11+I11</f>
        <v>2350000000</v>
      </c>
      <c r="M11" s="126" t="n">
        <f aca="false">D11+G11+J11</f>
        <v>0</v>
      </c>
      <c r="N11" s="125" t="n">
        <f aca="false">E11+H11+K11</f>
        <v>883629105</v>
      </c>
    </row>
    <row r="12" customFormat="false" ht="18.75" hidden="false" customHeight="false" outlineLevel="0" collapsed="false">
      <c r="A12" s="122" t="n">
        <v>8</v>
      </c>
      <c r="B12" s="123" t="s">
        <v>140</v>
      </c>
      <c r="C12" s="124" t="n">
        <f aca="false">KH_Nam_Hieuchinh!C12</f>
        <v>950000000</v>
      </c>
      <c r="D12" s="126" t="n">
        <f aca="false">KH_Nam_Hieuchinh!G12</f>
        <v>0</v>
      </c>
      <c r="E12" s="125" t="n">
        <f aca="false">SUMPRODUCT(
 (HD_Thucte!$E$2:$E$1003)*
 (HD_Thucte!$A$2:$A$1003="ITO")*
 (YEAR(HD_Thucte!$F$2:$F$1003)=$C$2)*
 (MONTH(HD_Thucte!$F$2:$F$1003)=VALUE(RIGHT($B12,2)))
)</f>
        <v>866631085</v>
      </c>
      <c r="F12" s="124" t="n">
        <f aca="false">KH_Nam_Hieuchinh!D12</f>
        <v>800000000</v>
      </c>
      <c r="G12" s="126" t="n">
        <f aca="false">KH_Nam_Hieuchinh!H12</f>
        <v>0</v>
      </c>
      <c r="H12" s="125" t="n">
        <f aca="false">SUMPRODUCT(
 (HD_Thucte!$E$2:$E$1003)*
 (HD_Thucte!$A$2:$A$1003="UNI")*
 (YEAR(HD_Thucte!$F$2:$F$1003)=$C$2)*
 (MONTH(HD_Thucte!$F$2:$F$1003)=VALUE(RIGHT($B12,2)))
)</f>
        <v>134205000</v>
      </c>
      <c r="I12" s="124" t="n">
        <f aca="false">KH_Nam_Hieuchinh!E12</f>
        <v>1300000000</v>
      </c>
      <c r="J12" s="126" t="n">
        <f aca="false">KH_Nam_Hieuchinh!I12</f>
        <v>0</v>
      </c>
      <c r="K12" s="125" t="n">
        <f aca="false">SUMPRODUCT(
 (HD_Thucte!$E$2:$E$1003)*
 (HD_Thucte!$A$2:$A$1003="G2B")*
 (YEAR(HD_Thucte!$F$2:$F$1003)=$C$2)*
 (MONTH(HD_Thucte!$F$2:$F$1003)=VALUE(RIGHT($B12,2)))
)</f>
        <v>0</v>
      </c>
      <c r="L12" s="124" t="n">
        <f aca="false">C12+F12+I12</f>
        <v>3050000000</v>
      </c>
      <c r="M12" s="126" t="n">
        <f aca="false">D12+G12+J12</f>
        <v>0</v>
      </c>
      <c r="N12" s="125" t="n">
        <f aca="false">E12+H12+K12</f>
        <v>1000836085</v>
      </c>
    </row>
    <row r="13" customFormat="false" ht="18.75" hidden="false" customHeight="false" outlineLevel="0" collapsed="false">
      <c r="A13" s="122" t="n">
        <v>9</v>
      </c>
      <c r="B13" s="123" t="s">
        <v>141</v>
      </c>
      <c r="C13" s="124" t="n">
        <f aca="false">KH_Nam_Hieuchinh!C13</f>
        <v>950000000</v>
      </c>
      <c r="D13" s="126" t="n">
        <f aca="false">KH_Nam_Hieuchinh!G13</f>
        <v>950000000</v>
      </c>
      <c r="E13" s="125" t="n">
        <f aca="false">SUMPRODUCT(
 (HD_Thucte!$E$2:$E$1003)*
 (HD_Thucte!$A$2:$A$1003="ITO")*
 (YEAR(HD_Thucte!$F$2:$F$1003)=$C$2)*
 (MONTH(HD_Thucte!$F$2:$F$1003)=VALUE(RIGHT($B13,2)))
)</f>
        <v>0</v>
      </c>
      <c r="F13" s="124" t="n">
        <f aca="false">KH_Nam_Hieuchinh!D13</f>
        <v>1100000000</v>
      </c>
      <c r="G13" s="126" t="n">
        <f aca="false">KH_Nam_Hieuchinh!H13</f>
        <v>7724770000</v>
      </c>
      <c r="H13" s="125" t="n">
        <f aca="false">SUMPRODUCT(
 (HD_Thucte!$E$2:$E$1003)*
 (HD_Thucte!$A$2:$A$1003="UNI")*
 (YEAR(HD_Thucte!$F$2:$F$1003)=$C$2)*
 (MONTH(HD_Thucte!$F$2:$F$1003)=VALUE(RIGHT($B13,2)))
)</f>
        <v>27500000</v>
      </c>
      <c r="I13" s="124" t="n">
        <f aca="false">KH_Nam_Hieuchinh!E13</f>
        <v>1334000000</v>
      </c>
      <c r="J13" s="126" t="n">
        <f aca="false">KH_Nam_Hieuchinh!I13</f>
        <v>3635980000</v>
      </c>
      <c r="K13" s="125" t="n">
        <f aca="false">SUMPRODUCT(
 (HD_Thucte!$E$2:$E$1003)*
 (HD_Thucte!$A$2:$A$1003="G2B")*
 (YEAR(HD_Thucte!$F$2:$F$1003)=$C$2)*
 (MONTH(HD_Thucte!$F$2:$F$1003)=VALUE(RIGHT($B13,2)))
)</f>
        <v>510000000</v>
      </c>
      <c r="L13" s="124" t="n">
        <f aca="false">C13+F13+I13</f>
        <v>3384000000</v>
      </c>
      <c r="M13" s="126" t="n">
        <f aca="false">D13+G13+J13</f>
        <v>12310750000</v>
      </c>
      <c r="N13" s="125" t="n">
        <f aca="false">E13+H13+K13</f>
        <v>537500000</v>
      </c>
      <c r="O13" s="113" t="n">
        <f aca="false">SUM(N11:N13)</f>
        <v>2421965190</v>
      </c>
      <c r="Q13" s="113"/>
      <c r="R13" s="113"/>
      <c r="S13" s="113"/>
      <c r="T13" s="113"/>
      <c r="U13" s="113"/>
      <c r="V13" s="113"/>
    </row>
    <row r="14" customFormat="false" ht="18.75" hidden="false" customHeight="false" outlineLevel="0" collapsed="false">
      <c r="A14" s="122" t="n">
        <v>10</v>
      </c>
      <c r="B14" s="123" t="s">
        <v>142</v>
      </c>
      <c r="C14" s="124" t="n">
        <f aca="false">KH_Nam_Hieuchinh!C14</f>
        <v>950000000</v>
      </c>
      <c r="D14" s="126" t="n">
        <f aca="false">KH_Nam_Hieuchinh!G14</f>
        <v>950000000</v>
      </c>
      <c r="E14" s="125" t="n">
        <f aca="false">SUMPRODUCT(
 (HD_Thucte!$E$2:$E$1003)*
 (HD_Thucte!$A$2:$A$1003="ITO")*
 (YEAR(HD_Thucte!$F$2:$F$1003)=$C$2)*
 (MONTH(HD_Thucte!$F$2:$F$1003)=VALUE(RIGHT($B14,2)))
)</f>
        <v>0</v>
      </c>
      <c r="F14" s="124" t="n">
        <f aca="false">KH_Nam_Hieuchinh!D14</f>
        <v>800000000</v>
      </c>
      <c r="G14" s="126" t="n">
        <f aca="false">KH_Nam_Hieuchinh!H14</f>
        <v>7444236000</v>
      </c>
      <c r="H14" s="125" t="n">
        <f aca="false">SUMPRODUCT(
 (HD_Thucte!$E$2:$E$1003)*
 (HD_Thucte!$A$2:$A$1003="UNI")*
 (YEAR(HD_Thucte!$F$2:$F$1003)=$C$2)*
 (MONTH(HD_Thucte!$F$2:$F$1003)=VALUE(RIGHT($B14,2)))
)</f>
        <v>13500000</v>
      </c>
      <c r="I14" s="124" t="n">
        <f aca="false">KH_Nam_Hieuchinh!E14</f>
        <v>800000000</v>
      </c>
      <c r="J14" s="126" t="n">
        <f aca="false">KH_Nam_Hieuchinh!I14</f>
        <v>328250000</v>
      </c>
      <c r="K14" s="125" t="n">
        <f aca="false">SUMPRODUCT(
 (HD_Thucte!$E$2:$E$1003)*
 (HD_Thucte!$A$2:$A$1003="G2B")*
 (YEAR(HD_Thucte!$F$2:$F$1003)=$C$2)*
 (MONTH(HD_Thucte!$F$2:$F$1003)=VALUE(RIGHT($B14,2)))
)</f>
        <v>0</v>
      </c>
      <c r="L14" s="124" t="n">
        <f aca="false">C14+F14+I14</f>
        <v>2550000000</v>
      </c>
      <c r="M14" s="126" t="n">
        <f aca="false">D14+G14+J14</f>
        <v>8722486000</v>
      </c>
      <c r="N14" s="125" t="n">
        <f aca="false">E14+H14+K14</f>
        <v>13500000</v>
      </c>
      <c r="Q14" s="113"/>
      <c r="R14" s="113"/>
      <c r="S14" s="113"/>
      <c r="T14" s="113"/>
      <c r="U14" s="113"/>
      <c r="V14" s="113"/>
    </row>
    <row r="15" customFormat="false" ht="18.75" hidden="false" customHeight="false" outlineLevel="0" collapsed="false">
      <c r="A15" s="122" t="n">
        <v>11</v>
      </c>
      <c r="B15" s="123" t="s">
        <v>143</v>
      </c>
      <c r="C15" s="124" t="n">
        <f aca="false">KH_Nam_Hieuchinh!C15</f>
        <v>950000000</v>
      </c>
      <c r="D15" s="126" t="n">
        <f aca="false">KH_Nam_Hieuchinh!G15</f>
        <v>950000000</v>
      </c>
      <c r="E15" s="125" t="n">
        <f aca="false">SUMPRODUCT(
 (HD_Thucte!$E$2:$E$1003)*
 (HD_Thucte!$A$2:$A$1003="ITO")*
 (YEAR(HD_Thucte!$F$2:$F$1003)=$C$2)*
 (MONTH(HD_Thucte!$F$2:$F$1003)=VALUE(RIGHT($B15,2)))
)</f>
        <v>0</v>
      </c>
      <c r="F15" s="124" t="n">
        <f aca="false">KH_Nam_Hieuchinh!D15</f>
        <v>900000000</v>
      </c>
      <c r="G15" s="126" t="n">
        <f aca="false">KH_Nam_Hieuchinh!H15</f>
        <v>102825000</v>
      </c>
      <c r="H15" s="125" t="n">
        <f aca="false">SUMPRODUCT(
 (HD_Thucte!$E$2:$E$1003)*
 (HD_Thucte!$A$2:$A$1003="UNI")*
 (YEAR(HD_Thucte!$F$2:$F$1003)=$C$2)*
 (MONTH(HD_Thucte!$F$2:$F$1003)=VALUE(RIGHT($B15,2)))
)</f>
        <v>0</v>
      </c>
      <c r="I15" s="124" t="n">
        <f aca="false">KH_Nam_Hieuchinh!E15</f>
        <v>900000000</v>
      </c>
      <c r="J15" s="126" t="n">
        <f aca="false">KH_Nam_Hieuchinh!I15</f>
        <v>3003500000</v>
      </c>
      <c r="K15" s="125" t="n">
        <f aca="false">SUMPRODUCT(
 (HD_Thucte!$E$2:$E$1003)*
 (HD_Thucte!$A$2:$A$1003="G2B")*
 (YEAR(HD_Thucte!$F$2:$F$1003)=$C$2)*
 (MONTH(HD_Thucte!$F$2:$F$1003)=VALUE(RIGHT($B15,2)))
)</f>
        <v>0</v>
      </c>
      <c r="L15" s="124" t="n">
        <f aca="false">C15+F15+I15</f>
        <v>2750000000</v>
      </c>
      <c r="M15" s="126" t="n">
        <f aca="false">D15+G15+J15</f>
        <v>4056325000</v>
      </c>
      <c r="N15" s="125" t="n">
        <f aca="false">E15+H15+K15</f>
        <v>0</v>
      </c>
      <c r="Q15" s="113"/>
      <c r="R15" s="113"/>
      <c r="S15" s="113"/>
      <c r="T15" s="113"/>
      <c r="U15" s="113"/>
      <c r="V15" s="113"/>
    </row>
    <row r="16" customFormat="false" ht="18.75" hidden="false" customHeight="false" outlineLevel="0" collapsed="false">
      <c r="A16" s="122" t="n">
        <v>12</v>
      </c>
      <c r="B16" s="123" t="s">
        <v>144</v>
      </c>
      <c r="C16" s="124" t="n">
        <f aca="false">KH_Nam_Hieuchinh!C16</f>
        <v>950000000</v>
      </c>
      <c r="D16" s="126" t="n">
        <f aca="false">KH_Nam_Hieuchinh!G16</f>
        <v>950000000</v>
      </c>
      <c r="E16" s="125" t="n">
        <f aca="false">SUMPRODUCT(
 (HD_Thucte!$E$2:$E$1003)*
 (HD_Thucte!$A$2:$A$1003="ITO")*
 (YEAR(HD_Thucte!$F$2:$F$1003)=$C$2)*
 (MONTH(HD_Thucte!$F$2:$F$1003)=VALUE(RIGHT($B16,2)))
)</f>
        <v>0</v>
      </c>
      <c r="F16" s="124" t="n">
        <f aca="false">KH_Nam_Hieuchinh!D16</f>
        <v>1000000000</v>
      </c>
      <c r="G16" s="126" t="n">
        <f aca="false">KH_Nam_Hieuchinh!H16</f>
        <v>734300000</v>
      </c>
      <c r="H16" s="125" t="n">
        <f aca="false">SUMPRODUCT(
 (HD_Thucte!$E$2:$E$1003)*
 (HD_Thucte!$A$2:$A$1003="UNI")*
 (YEAR(HD_Thucte!$F$2:$F$1003)=$C$2)*
 (MONTH(HD_Thucte!$F$2:$F$1003)=VALUE(RIGHT($B16,2)))
)</f>
        <v>0</v>
      </c>
      <c r="I16" s="124" t="n">
        <f aca="false">KH_Nam_Hieuchinh!E16</f>
        <v>1000000000</v>
      </c>
      <c r="J16" s="126" t="n">
        <f aca="false">KH_Nam_Hieuchinh!I16</f>
        <v>3108712000</v>
      </c>
      <c r="K16" s="125" t="n">
        <f aca="false">SUMPRODUCT(
 (HD_Thucte!$E$2:$E$1003)*
 (HD_Thucte!$A$2:$A$1003="G2B")*
 (YEAR(HD_Thucte!$F$2:$F$1003)=$C$2)*
 (MONTH(HD_Thucte!$F$2:$F$1003)=VALUE(RIGHT($B16,2)))
)</f>
        <v>0</v>
      </c>
      <c r="L16" s="124" t="n">
        <f aca="false">C16+F16+I16</f>
        <v>2950000000</v>
      </c>
      <c r="M16" s="126" t="n">
        <f aca="false">D16+G16+J16</f>
        <v>4793012000</v>
      </c>
      <c r="N16" s="125" t="n">
        <f aca="false">E16+H16+K16</f>
        <v>0</v>
      </c>
      <c r="O16" s="113" t="n">
        <f aca="false">SUM(N14:N16)</f>
        <v>13500000</v>
      </c>
      <c r="Q16" s="113"/>
      <c r="R16" s="113"/>
      <c r="S16" s="113"/>
      <c r="T16" s="113"/>
      <c r="U16" s="113"/>
      <c r="V16" s="113"/>
    </row>
    <row r="17" customFormat="false" ht="18.75" hidden="false" customHeight="false" outlineLevel="0" collapsed="false">
      <c r="A17" s="127"/>
      <c r="B17" s="128" t="s">
        <v>11</v>
      </c>
      <c r="C17" s="129" t="n">
        <f aca="false">SUM(C5:C16)</f>
        <v>11400000000</v>
      </c>
      <c r="D17" s="129" t="n">
        <f aca="false">SUM(D5:D16)</f>
        <v>3800000000</v>
      </c>
      <c r="E17" s="130" t="n">
        <f aca="false">SUM(E5:E16)</f>
        <v>7467087080</v>
      </c>
      <c r="F17" s="129" t="n">
        <f aca="false">SUM(F5:F16)</f>
        <v>10100000000</v>
      </c>
      <c r="G17" s="129" t="n">
        <f aca="false">SUM(G5:G16)</f>
        <v>16006131000</v>
      </c>
      <c r="H17" s="130" t="n">
        <f aca="false">SUM(H5:H16)</f>
        <v>3622770000</v>
      </c>
      <c r="I17" s="129" t="n">
        <f aca="false">SUM(I5:I16)</f>
        <v>10000000000</v>
      </c>
      <c r="J17" s="129" t="n">
        <f aca="false">SUM(J5:J16)</f>
        <v>10076442000</v>
      </c>
      <c r="K17" s="130" t="n">
        <f aca="false">SUM(K5:K16)</f>
        <v>2600791000</v>
      </c>
      <c r="L17" s="129" t="n">
        <f aca="false">C17+F17+I17</f>
        <v>31500000000</v>
      </c>
      <c r="M17" s="129" t="n">
        <f aca="false">D17+G17+J17</f>
        <v>29882573000</v>
      </c>
      <c r="N17" s="130" t="n">
        <f aca="false">E17+H17+K17</f>
        <v>13690648080</v>
      </c>
      <c r="Q17" s="113"/>
      <c r="R17" s="113"/>
      <c r="S17" s="113"/>
      <c r="T17" s="113"/>
      <c r="U17" s="113"/>
      <c r="V17" s="113"/>
    </row>
    <row r="18" customFormat="false" ht="18.75" hidden="false" customHeight="false" outlineLevel="0" collapsed="false">
      <c r="A18" s="114"/>
      <c r="B18" s="114" t="s">
        <v>145</v>
      </c>
      <c r="C18" s="131"/>
      <c r="D18" s="117"/>
      <c r="E18" s="117" t="n">
        <f aca="false">E17/C17</f>
        <v>0.655007638596491</v>
      </c>
      <c r="F18" s="131"/>
      <c r="G18" s="117"/>
      <c r="H18" s="117" t="n">
        <f aca="false">H17/F17</f>
        <v>0.358690099009901</v>
      </c>
      <c r="I18" s="131"/>
      <c r="J18" s="117"/>
      <c r="K18" s="117" t="n">
        <f aca="false">K17/I17</f>
        <v>0.2600791</v>
      </c>
      <c r="L18" s="131"/>
      <c r="M18" s="117"/>
      <c r="N18" s="132" t="n">
        <f aca="false">N17/L17</f>
        <v>0.434623748571429</v>
      </c>
      <c r="O18" s="117"/>
      <c r="Q18" s="113"/>
      <c r="R18" s="113"/>
      <c r="S18" s="113"/>
      <c r="T18" s="113"/>
      <c r="U18" s="113"/>
      <c r="V18" s="113"/>
    </row>
    <row r="19" customFormat="false" ht="18.75" hidden="false" customHeight="false" outlineLevel="0" collapsed="false">
      <c r="A19" s="131"/>
      <c r="B19" s="131"/>
      <c r="D19" s="131"/>
      <c r="E19" s="131"/>
      <c r="F19" s="131"/>
      <c r="G19" s="131"/>
      <c r="H19" s="131"/>
      <c r="I19" s="131"/>
      <c r="J19" s="131"/>
      <c r="K19" s="131"/>
      <c r="L19" s="131"/>
      <c r="M19" s="134" t="s">
        <v>146</v>
      </c>
      <c r="N19" s="118" t="n">
        <f aca="false">H17+K17</f>
        <v>6223561000</v>
      </c>
      <c r="O19" s="113"/>
      <c r="Q19" s="113"/>
      <c r="R19" s="113"/>
      <c r="S19" s="113"/>
      <c r="T19" s="113"/>
      <c r="U19" s="113"/>
      <c r="V19" s="113"/>
    </row>
    <row r="20" customFormat="false" ht="18.75" hidden="false" customHeight="false" outlineLevel="0" collapsed="false">
      <c r="A20" s="114" t="s">
        <v>84</v>
      </c>
      <c r="B20" s="115"/>
      <c r="C20" s="171" t="n">
        <v>2026</v>
      </c>
      <c r="D20" s="117"/>
      <c r="E20" s="112"/>
      <c r="F20" s="116"/>
      <c r="G20" s="115"/>
      <c r="H20" s="155"/>
      <c r="I20" s="116"/>
      <c r="J20" s="116"/>
      <c r="K20" s="155"/>
      <c r="L20" s="116"/>
      <c r="M20" s="115"/>
      <c r="N20" s="118"/>
      <c r="O20" s="112"/>
      <c r="P20" s="155"/>
    </row>
    <row r="21" customFormat="false" ht="18.75" hidden="false" customHeight="true" outlineLevel="0" collapsed="false">
      <c r="A21" s="119" t="s">
        <v>129</v>
      </c>
      <c r="B21" s="120" t="s">
        <v>6</v>
      </c>
      <c r="C21" s="121" t="s">
        <v>85</v>
      </c>
      <c r="D21" s="121"/>
      <c r="E21" s="121"/>
      <c r="F21" s="121" t="s">
        <v>86</v>
      </c>
      <c r="G21" s="121"/>
      <c r="H21" s="121"/>
      <c r="I21" s="121"/>
      <c r="J21" s="121" t="s">
        <v>130</v>
      </c>
      <c r="K21" s="121"/>
      <c r="L21" s="121"/>
      <c r="M21" s="121"/>
      <c r="N21" s="121" t="s">
        <v>131</v>
      </c>
      <c r="O21" s="121"/>
      <c r="P21" s="121"/>
      <c r="Q21" s="121"/>
    </row>
    <row r="22" customFormat="false" ht="18.75" hidden="false" customHeight="false" outlineLevel="0" collapsed="false">
      <c r="A22" s="119"/>
      <c r="B22" s="120"/>
      <c r="C22" s="121" t="s">
        <v>132</v>
      </c>
      <c r="D22" s="121" t="s">
        <v>167</v>
      </c>
      <c r="E22" s="121" t="s">
        <v>9</v>
      </c>
      <c r="F22" s="121" t="s">
        <v>132</v>
      </c>
      <c r="G22" s="121" t="s">
        <v>168</v>
      </c>
      <c r="H22" s="121" t="s">
        <v>167</v>
      </c>
      <c r="I22" s="121" t="s">
        <v>9</v>
      </c>
      <c r="J22" s="121" t="s">
        <v>132</v>
      </c>
      <c r="K22" s="121" t="s">
        <v>168</v>
      </c>
      <c r="L22" s="121" t="s">
        <v>167</v>
      </c>
      <c r="M22" s="121" t="s">
        <v>9</v>
      </c>
      <c r="N22" s="121" t="s">
        <v>132</v>
      </c>
      <c r="O22" s="121" t="s">
        <v>168</v>
      </c>
      <c r="P22" s="121" t="s">
        <v>167</v>
      </c>
      <c r="Q22" s="121" t="s">
        <v>9</v>
      </c>
    </row>
    <row r="23" customFormat="false" ht="18.75" hidden="false" customHeight="false" outlineLevel="0" collapsed="false">
      <c r="A23" s="122" t="n">
        <v>1</v>
      </c>
      <c r="B23" s="123" t="s">
        <v>133</v>
      </c>
      <c r="C23" s="124" t="n">
        <f aca="false">KH_Nam_Hieuchinh!C22</f>
        <v>950000000</v>
      </c>
      <c r="D23" s="126" t="n">
        <f aca="false">KH_Nam_Hieuchinh!G22</f>
        <v>0</v>
      </c>
      <c r="E23" s="125" t="n">
        <f aca="false">SUMPRODUCT(
 (DT_Thucte!$E$2:$E$1007)*
 (DT_Thucte!$A$2:$A$1007="ITO")*
 (YEAR(DT_Thucte!$F$2:$F$1007)=$C$20)*
 (MONTH(DT_Thucte!$F$2:$F$1007)=VALUE(RIGHT($B23,2)))
)</f>
        <v>1003909178</v>
      </c>
      <c r="F23" s="124" t="n">
        <f aca="false">KH_Nam_Hieuchinh!D22</f>
        <v>851000000</v>
      </c>
      <c r="G23" s="172" t="n">
        <f aca="false">SUMPRODUCT(
 ('KH DT_HD da ky'!$E$2:$E$993)*
 ('KH DT_HD da ky'!$A$2:$A$993="UNI")*
 (YEAR('KH DT_HD da ky'!$F$2:$F$993)=$C$20)*
 (MONTH('KH DT_HD da ky'!$F$2:$F$993)=VALUE(RIGHT($B23,2)))
)</f>
        <v>0</v>
      </c>
      <c r="H23" s="126" t="n">
        <f aca="false">KH_Nam_Hieuchinh!H22</f>
        <v>0</v>
      </c>
      <c r="I23" s="125" t="n">
        <f aca="false">SUMPRODUCT(
 (DT_Thucte!$E$2:$E$1007)*
 (DT_Thucte!$A$2:$A$1007="UNI")*
 (YEAR(DT_Thucte!$F$2:$F$1007)=$C$20)*
 (MONTH(DT_Thucte!$F$2:$F$1007)=VALUE(RIGHT($B23,2)))
)</f>
        <v>472766000</v>
      </c>
      <c r="J23" s="124" t="n">
        <f aca="false">KH_Nam_Hieuchinh!E22</f>
        <v>270000000</v>
      </c>
      <c r="K23" s="172" t="n">
        <f aca="false">SUMPRODUCT(
 ('KH DT_HD da ky'!$E$2:$E$993)*
 ('KH DT_HD da ky'!$A$2:$A$993="G2B")*
 (YEAR('KH DT_HD da ky'!$F$2:$F$993)=$C$20)*
 (MONTH('KH DT_HD da ky'!$F$2:$F$993)=VALUE(RIGHT($B23,2)))
)</f>
        <v>0</v>
      </c>
      <c r="L23" s="126" t="n">
        <f aca="false">KH_Nam_Hieuchinh!I22</f>
        <v>0</v>
      </c>
      <c r="M23" s="125" t="n">
        <f aca="false">SUMPRODUCT(
 (DT_Thucte!$E$2:$E$1007)*
 (DT_Thucte!$A$2:$A$1007="G2B")*
 (YEAR(DT_Thucte!$F$2:$F$1007)=$C$20)*
 (MONTH(DT_Thucte!$F$2:$F$1007)=VALUE(RIGHT($B23,2)))
)</f>
        <v>96000000</v>
      </c>
      <c r="N23" s="124" t="n">
        <f aca="false">C23+F23+J23</f>
        <v>2071000000</v>
      </c>
      <c r="O23" s="172" t="n">
        <f aca="false">G23+K23</f>
        <v>0</v>
      </c>
      <c r="P23" s="126" t="n">
        <f aca="false">D23+H23+L23</f>
        <v>0</v>
      </c>
      <c r="Q23" s="125" t="n">
        <f aca="false">E23+I23+M23</f>
        <v>1572675178</v>
      </c>
      <c r="R23" s="113"/>
    </row>
    <row r="24" customFormat="false" ht="18.75" hidden="false" customHeight="false" outlineLevel="0" collapsed="false">
      <c r="A24" s="122" t="n">
        <v>2</v>
      </c>
      <c r="B24" s="123" t="s">
        <v>134</v>
      </c>
      <c r="C24" s="124" t="n">
        <f aca="false">KH_Nam_Hieuchinh!C23</f>
        <v>950000000</v>
      </c>
      <c r="D24" s="126" t="n">
        <f aca="false">KH_Nam_Hieuchinh!G23</f>
        <v>0</v>
      </c>
      <c r="E24" s="125" t="n">
        <f aca="false">SUMPRODUCT(
 (DT_Thucte!$E$2:$E$1007)*
 (DT_Thucte!$A$2:$A$1007="ITO")*
 (YEAR(DT_Thucte!$F$2:$F$1007)=$C$20)*
 (MONTH(DT_Thucte!$F$2:$F$1007)=VALUE(RIGHT($B24,2)))
)</f>
        <v>1022803457</v>
      </c>
      <c r="F24" s="124" t="n">
        <f aca="false">KH_Nam_Hieuchinh!D23</f>
        <v>30000000</v>
      </c>
      <c r="G24" s="172" t="n">
        <f aca="false">SUMPRODUCT(
 ('KH DT_HD da ky'!$E$2:$E$993)*
 ('KH DT_HD da ky'!$A$2:$A$993="UNI")*
 (YEAR('KH DT_HD da ky'!$F$2:$F$993)=$C$20)*
 (MONTH('KH DT_HD da ky'!$F$2:$F$993)=VALUE(RIGHT($B24,2)))
)</f>
        <v>0</v>
      </c>
      <c r="H24" s="126" t="n">
        <f aca="false">KH_Nam_Hieuchinh!H23</f>
        <v>0</v>
      </c>
      <c r="I24" s="125" t="n">
        <f aca="false">SUMPRODUCT(
 (DT_Thucte!$E$2:$E$1007)*
 (DT_Thucte!$A$2:$A$1007="UNI")*
 (YEAR(DT_Thucte!$F$2:$F$1007)=$C$20)*
 (MONTH(DT_Thucte!$F$2:$F$1007)=VALUE(RIGHT($B24,2)))
)</f>
        <v>507326000</v>
      </c>
      <c r="J24" s="124" t="n">
        <f aca="false">KH_Nam_Hieuchinh!E23</f>
        <v>1405000000</v>
      </c>
      <c r="K24" s="172" t="n">
        <f aca="false">SUMPRODUCT(
 ('KH DT_HD da ky'!$E$2:$E$993)*
 ('KH DT_HD da ky'!$A$2:$A$993="G2B")*
 (YEAR('KH DT_HD da ky'!$F$2:$F$993)=$C$20)*
 (MONTH('KH DT_HD da ky'!$F$2:$F$993)=VALUE(RIGHT($B24,2)))
)</f>
        <v>0</v>
      </c>
      <c r="L24" s="126" t="n">
        <f aca="false">KH_Nam_Hieuchinh!I23</f>
        <v>0</v>
      </c>
      <c r="M24" s="125" t="n">
        <f aca="false">SUMPRODUCT(
 (DT_Thucte!$E$2:$E$1007)*
 (DT_Thucte!$A$2:$A$1007="G2B")*
 (YEAR(DT_Thucte!$F$2:$F$1007)=$C$20)*
 (MONTH(DT_Thucte!$F$2:$F$1007)=VALUE(RIGHT($B24,2)))
)</f>
        <v>0</v>
      </c>
      <c r="N24" s="124" t="n">
        <f aca="false">C24+F24+J24</f>
        <v>2385000000</v>
      </c>
      <c r="O24" s="172" t="n">
        <f aca="false">G24+K24</f>
        <v>0</v>
      </c>
      <c r="P24" s="126" t="n">
        <f aca="false">D24+H24+L24</f>
        <v>0</v>
      </c>
      <c r="Q24" s="125" t="n">
        <f aca="false">E24+I24+M24</f>
        <v>1530129457</v>
      </c>
      <c r="R24" s="113"/>
    </row>
    <row r="25" customFormat="false" ht="18.75" hidden="false" customHeight="false" outlineLevel="0" collapsed="false">
      <c r="A25" s="122" t="n">
        <v>3</v>
      </c>
      <c r="B25" s="123" t="s">
        <v>135</v>
      </c>
      <c r="C25" s="124" t="n">
        <f aca="false">KH_Nam_Hieuchinh!C24</f>
        <v>950000000</v>
      </c>
      <c r="D25" s="126" t="n">
        <f aca="false">KH_Nam_Hieuchinh!G24</f>
        <v>0</v>
      </c>
      <c r="E25" s="125" t="n">
        <f aca="false">SUMPRODUCT(
 (DT_Thucte!$E$2:$E$1007)*
 (DT_Thucte!$A$2:$A$1007="ITO")*
 (YEAR(DT_Thucte!$F$2:$F$1007)=$C$20)*
 (MONTH(DT_Thucte!$F$2:$F$1007)=VALUE(RIGHT($B25,2)))
)</f>
        <v>960679500</v>
      </c>
      <c r="F25" s="124" t="n">
        <f aca="false">KH_Nam_Hieuchinh!D24</f>
        <v>770000000</v>
      </c>
      <c r="G25" s="172" t="n">
        <f aca="false">SUMPRODUCT(
 ('KH DT_HD da ky'!$E$2:$E$993)*
 ('KH DT_HD da ky'!$A$2:$A$993="UNI")*
 (YEAR('KH DT_HD da ky'!$F$2:$F$993)=$C$20)*
 (MONTH('KH DT_HD da ky'!$F$2:$F$993)=VALUE(RIGHT($B25,2)))
)</f>
        <v>0</v>
      </c>
      <c r="H25" s="126" t="n">
        <f aca="false">KH_Nam_Hieuchinh!H24</f>
        <v>0</v>
      </c>
      <c r="I25" s="125" t="n">
        <f aca="false">SUMPRODUCT(
 (DT_Thucte!$E$2:$E$1007)*
 (DT_Thucte!$A$2:$A$1007="UNI")*
 (YEAR(DT_Thucte!$F$2:$F$1007)=$C$20)*
 (MONTH(DT_Thucte!$F$2:$F$1007)=VALUE(RIGHT($B25,2)))
)</f>
        <v>65000000</v>
      </c>
      <c r="J25" s="124" t="n">
        <f aca="false">KH_Nam_Hieuchinh!E24</f>
        <v>500000000</v>
      </c>
      <c r="K25" s="172" t="n">
        <f aca="false">SUMPRODUCT(
 ('KH DT_HD da ky'!$E$2:$E$993)*
 ('KH DT_HD da ky'!$A$2:$A$993="G2B")*
 (YEAR('KH DT_HD da ky'!$F$2:$F$993)=$C$20)*
 (MONTH('KH DT_HD da ky'!$F$2:$F$993)=VALUE(RIGHT($B25,2)))
)</f>
        <v>0</v>
      </c>
      <c r="L25" s="126" t="n">
        <f aca="false">KH_Nam_Hieuchinh!I24</f>
        <v>0</v>
      </c>
      <c r="M25" s="125" t="n">
        <f aca="false">SUMPRODUCT(
 (DT_Thucte!$E$2:$E$1007)*
 (DT_Thucte!$A$2:$A$1007="G2B")*
 (YEAR(DT_Thucte!$F$2:$F$1007)=$C$20)*
 (MONTH(DT_Thucte!$F$2:$F$1007)=VALUE(RIGHT($B25,2)))
)</f>
        <v>166532400</v>
      </c>
      <c r="N25" s="124" t="n">
        <f aca="false">C25+F25+J25</f>
        <v>2220000000</v>
      </c>
      <c r="O25" s="172" t="n">
        <f aca="false">G25+K25</f>
        <v>0</v>
      </c>
      <c r="P25" s="126" t="n">
        <f aca="false">D25+H25+L25</f>
        <v>0</v>
      </c>
      <c r="Q25" s="125" t="n">
        <f aca="false">E25+I25+M25</f>
        <v>1192211900</v>
      </c>
      <c r="R25" s="113" t="n">
        <f aca="false">SUM(Q23:Q25)</f>
        <v>4295016535</v>
      </c>
    </row>
    <row r="26" customFormat="false" ht="18.75" hidden="false" customHeight="false" outlineLevel="0" collapsed="false">
      <c r="A26" s="122" t="n">
        <v>4</v>
      </c>
      <c r="B26" s="123" t="s">
        <v>136</v>
      </c>
      <c r="C26" s="124" t="n">
        <f aca="false">KH_Nam_Hieuchinh!C25</f>
        <v>950000000</v>
      </c>
      <c r="D26" s="126" t="n">
        <f aca="false">KH_Nam_Hieuchinh!G25</f>
        <v>0</v>
      </c>
      <c r="E26" s="125" t="n">
        <f aca="false">SUMPRODUCT(
 (DT_Thucte!$E$2:$E$1007)*
 (DT_Thucte!$A$2:$A$1007="ITO")*
 (YEAR(DT_Thucte!$F$2:$F$1007)=$C$20)*
 (MONTH(DT_Thucte!$F$2:$F$1007)=VALUE(RIGHT($B26,2)))
)</f>
        <v>963300542</v>
      </c>
      <c r="F26" s="124" t="n">
        <f aca="false">KH_Nam_Hieuchinh!D25</f>
        <v>660000000</v>
      </c>
      <c r="G26" s="172" t="n">
        <f aca="false">SUMPRODUCT(
 ('KH DT_HD da ky'!$E$2:$E$993)*
 ('KH DT_HD da ky'!$A$2:$A$993="UNI")*
 (YEAR('KH DT_HD da ky'!$F$2:$F$993)=$C$20)*
 (MONTH('KH DT_HD da ky'!$F$2:$F$993)=VALUE(RIGHT($B26,2)))
)</f>
        <v>0</v>
      </c>
      <c r="H26" s="126" t="n">
        <f aca="false">KH_Nam_Hieuchinh!H25</f>
        <v>0</v>
      </c>
      <c r="I26" s="125" t="n">
        <f aca="false">SUMPRODUCT(
 (DT_Thucte!$E$2:$E$1007)*
 (DT_Thucte!$A$2:$A$1007="UNI")*
 (YEAR(DT_Thucte!$F$2:$F$1007)=$C$20)*
 (MONTH(DT_Thucte!$F$2:$F$1007)=VALUE(RIGHT($B26,2)))
)</f>
        <v>39540000</v>
      </c>
      <c r="J26" s="124" t="n">
        <f aca="false">KH_Nam_Hieuchinh!E25</f>
        <v>890000000</v>
      </c>
      <c r="K26" s="172" t="n">
        <f aca="false">SUMPRODUCT(
 ('KH DT_HD da ky'!$E$2:$E$993)*
 ('KH DT_HD da ky'!$A$2:$A$993="G2B")*
 (YEAR('KH DT_HD da ky'!$F$2:$F$993)=$C$20)*
 (MONTH('KH DT_HD da ky'!$F$2:$F$993)=VALUE(RIGHT($B26,2)))
)</f>
        <v>0</v>
      </c>
      <c r="L26" s="126" t="n">
        <f aca="false">KH_Nam_Hieuchinh!I25</f>
        <v>0</v>
      </c>
      <c r="M26" s="125" t="n">
        <f aca="false">SUMPRODUCT(
 (DT_Thucte!$E$2:$E$1007)*
 (DT_Thucte!$A$2:$A$1007="G2B")*
 (YEAR(DT_Thucte!$F$2:$F$1007)=$C$20)*
 (MONTH(DT_Thucte!$F$2:$F$1007)=VALUE(RIGHT($B26,2)))
)</f>
        <v>644690411</v>
      </c>
      <c r="N26" s="124" t="n">
        <f aca="false">C26+F26+J26</f>
        <v>2500000000</v>
      </c>
      <c r="O26" s="172" t="n">
        <f aca="false">G26+K26</f>
        <v>0</v>
      </c>
      <c r="P26" s="126" t="n">
        <f aca="false">D26+H26+L26</f>
        <v>0</v>
      </c>
      <c r="Q26" s="125" t="n">
        <f aca="false">E26+I26+M26</f>
        <v>1647530953</v>
      </c>
      <c r="R26" s="113"/>
    </row>
    <row r="27" customFormat="false" ht="18.75" hidden="false" customHeight="false" outlineLevel="0" collapsed="false">
      <c r="A27" s="122" t="n">
        <v>5</v>
      </c>
      <c r="B27" s="123" t="s">
        <v>137</v>
      </c>
      <c r="C27" s="124" t="n">
        <f aca="false">KH_Nam_Hieuchinh!C26</f>
        <v>950000000</v>
      </c>
      <c r="D27" s="126" t="n">
        <f aca="false">KH_Nam_Hieuchinh!G26</f>
        <v>0</v>
      </c>
      <c r="E27" s="125" t="n">
        <f aca="false">SUMPRODUCT(
 (DT_Thucte!$E$2:$E$1007)*
 (DT_Thucte!$A$2:$A$1007="ITO")*
 (YEAR(DT_Thucte!$F$2:$F$1007)=$C$20)*
 (MONTH(DT_Thucte!$F$2:$F$1007)=VALUE(RIGHT($B27,2)))
)</f>
        <v>924438273</v>
      </c>
      <c r="F27" s="124" t="n">
        <f aca="false">KH_Nam_Hieuchinh!D26</f>
        <v>865000000</v>
      </c>
      <c r="G27" s="172" t="n">
        <f aca="false">SUMPRODUCT(
 ('KH DT_HD da ky'!$E$2:$E$993)*
 ('KH DT_HD da ky'!$A$2:$A$993="UNI")*
 (YEAR('KH DT_HD da ky'!$F$2:$F$993)=$C$20)*
 (MONTH('KH DT_HD da ky'!$F$2:$F$993)=VALUE(RIGHT($B27,2)))
)</f>
        <v>0</v>
      </c>
      <c r="H27" s="126" t="n">
        <f aca="false">KH_Nam_Hieuchinh!H26</f>
        <v>0</v>
      </c>
      <c r="I27" s="125" t="n">
        <f aca="false">SUMPRODUCT(
 (DT_Thucte!$E$2:$E$1007)*
 (DT_Thucte!$A$2:$A$1007="UNI")*
 (YEAR(DT_Thucte!$F$2:$F$1007)=$C$20)*
 (MONTH(DT_Thucte!$F$2:$F$1007)=VALUE(RIGHT($B27,2)))
)</f>
        <v>939757500</v>
      </c>
      <c r="J27" s="124" t="n">
        <f aca="false">KH_Nam_Hieuchinh!E26</f>
        <v>300000000</v>
      </c>
      <c r="K27" s="172" t="n">
        <f aca="false">SUMPRODUCT(
 ('KH DT_HD da ky'!$E$2:$E$993)*
 ('KH DT_HD da ky'!$A$2:$A$993="G2B")*
 (YEAR('KH DT_HD da ky'!$F$2:$F$993)=$C$20)*
 (MONTH('KH DT_HD da ky'!$F$2:$F$993)=VALUE(RIGHT($B27,2)))
)</f>
        <v>0</v>
      </c>
      <c r="L27" s="126" t="n">
        <f aca="false">KH_Nam_Hieuchinh!I26</f>
        <v>0</v>
      </c>
      <c r="M27" s="125" t="n">
        <f aca="false">SUMPRODUCT(
 (DT_Thucte!$E$2:$E$1007)*
 (DT_Thucte!$A$2:$A$1007="G2B")*
 (YEAR(DT_Thucte!$F$2:$F$1007)=$C$20)*
 (MONTH(DT_Thucte!$F$2:$F$1007)=VALUE(RIGHT($B27,2)))
)</f>
        <v>1068245500</v>
      </c>
      <c r="N27" s="124" t="n">
        <f aca="false">C27+F27+J27</f>
        <v>2115000000</v>
      </c>
      <c r="O27" s="172" t="n">
        <f aca="false">G27+K27</f>
        <v>0</v>
      </c>
      <c r="P27" s="126" t="n">
        <f aca="false">D27+H27+L27</f>
        <v>0</v>
      </c>
      <c r="Q27" s="125" t="n">
        <f aca="false">E27+I27+M27</f>
        <v>2932441273</v>
      </c>
      <c r="S27" s="113"/>
    </row>
    <row r="28" customFormat="false" ht="18.75" hidden="false" customHeight="false" outlineLevel="0" collapsed="false">
      <c r="A28" s="122" t="n">
        <v>6</v>
      </c>
      <c r="B28" s="123" t="s">
        <v>138</v>
      </c>
      <c r="C28" s="124" t="n">
        <f aca="false">KH_Nam_Hieuchinh!C27</f>
        <v>950000000</v>
      </c>
      <c r="D28" s="126" t="n">
        <f aca="false">KH_Nam_Hieuchinh!G27</f>
        <v>0</v>
      </c>
      <c r="E28" s="125" t="n">
        <f aca="false">SUMPRODUCT(
 (DT_Thucte!$E$2:$E$1007)*
 (DT_Thucte!$A$2:$A$1007="ITO")*
 (YEAR(DT_Thucte!$F$2:$F$1007)=$C$20)*
 (MONTH(DT_Thucte!$F$2:$F$1007)=VALUE(RIGHT($B28,2)))
)</f>
        <v>858195940</v>
      </c>
      <c r="F28" s="124" t="n">
        <f aca="false">KH_Nam_Hieuchinh!D27</f>
        <v>870000000</v>
      </c>
      <c r="G28" s="172" t="n">
        <f aca="false">SUMPRODUCT(
 ('KH DT_HD da ky'!$E$2:$E$993)*
 ('KH DT_HD da ky'!$A$2:$A$993="UNI")*
 (YEAR('KH DT_HD da ky'!$F$2:$F$993)=$C$20)*
 (MONTH('KH DT_HD da ky'!$F$2:$F$993)=VALUE(RIGHT($B28,2)))
)</f>
        <v>0</v>
      </c>
      <c r="H28" s="126" t="n">
        <f aca="false">KH_Nam_Hieuchinh!H27</f>
        <v>0</v>
      </c>
      <c r="I28" s="125" t="n">
        <f aca="false">SUMPRODUCT(
 (DT_Thucte!$E$2:$E$1007)*
 (DT_Thucte!$A$2:$A$1007="UNI")*
 (YEAR(DT_Thucte!$F$2:$F$1007)=$C$20)*
 (MONTH(DT_Thucte!$F$2:$F$1007)=VALUE(RIGHT($B28,2)))
)</f>
        <v>559461600</v>
      </c>
      <c r="J28" s="124" t="n">
        <f aca="false">KH_Nam_Hieuchinh!E27</f>
        <v>765000000</v>
      </c>
      <c r="K28" s="172" t="n">
        <f aca="false">SUMPRODUCT(
 ('KH DT_HD da ky'!$E$2:$E$993)*
 ('KH DT_HD da ky'!$A$2:$A$993="G2B")*
 (YEAR('KH DT_HD da ky'!$F$2:$F$993)=$C$20)*
 (MONTH('KH DT_HD da ky'!$F$2:$F$993)=VALUE(RIGHT($B28,2)))
)</f>
        <v>0</v>
      </c>
      <c r="L28" s="126" t="n">
        <f aca="false">KH_Nam_Hieuchinh!I27</f>
        <v>0</v>
      </c>
      <c r="M28" s="125" t="n">
        <f aca="false">SUMPRODUCT(
 (DT_Thucte!$E$2:$E$1007)*
 (DT_Thucte!$A$2:$A$1007="G2B")*
 (YEAR(DT_Thucte!$F$2:$F$1007)=$C$20)*
 (MONTH(DT_Thucte!$F$2:$F$1007)=VALUE(RIGHT($B28,2)))
)</f>
        <v>588000000</v>
      </c>
      <c r="N28" s="124" t="n">
        <f aca="false">C28+F28+J28</f>
        <v>2585000000</v>
      </c>
      <c r="O28" s="172" t="n">
        <f aca="false">G28+K28</f>
        <v>0</v>
      </c>
      <c r="P28" s="126" t="n">
        <f aca="false">D28+H28+L28</f>
        <v>0</v>
      </c>
      <c r="Q28" s="125" t="n">
        <f aca="false">E28+I28+M28</f>
        <v>2005657540</v>
      </c>
      <c r="R28" s="113" t="n">
        <f aca="false">SUM(Q26:Q28)</f>
        <v>6585629766</v>
      </c>
    </row>
    <row r="29" customFormat="false" ht="18.75" hidden="false" customHeight="false" outlineLevel="0" collapsed="false">
      <c r="A29" s="122" t="n">
        <v>7</v>
      </c>
      <c r="B29" s="123" t="s">
        <v>139</v>
      </c>
      <c r="C29" s="124" t="n">
        <f aca="false">KH_Nam_Hieuchinh!C28</f>
        <v>950000000</v>
      </c>
      <c r="D29" s="126" t="n">
        <f aca="false">KH_Nam_Hieuchinh!G28</f>
        <v>0</v>
      </c>
      <c r="E29" s="125" t="n">
        <f aca="false">SUMPRODUCT(
 (DT_Thucte!$E$2:$E$1007)*
 (DT_Thucte!$A$2:$A$1007="ITO")*
 (YEAR(DT_Thucte!$F$2:$F$1007)=$C$20)*
 (MONTH(DT_Thucte!$F$2:$F$1007)=VALUE(RIGHT($B29,2)))
)</f>
        <v>867129105</v>
      </c>
      <c r="F29" s="124" t="n">
        <f aca="false">KH_Nam_Hieuchinh!D28</f>
        <v>670000000</v>
      </c>
      <c r="G29" s="172" t="n">
        <f aca="false">SUMPRODUCT(
 ('KH DT_HD da ky'!$E$2:$E$993)*
 ('KH DT_HD da ky'!$A$2:$A$993="UNI")*
 (YEAR('KH DT_HD da ky'!$F$2:$F$993)=$C$20)*
 (MONTH('KH DT_HD da ky'!$F$2:$F$993)=VALUE(RIGHT($B29,2)))
)</f>
        <v>0</v>
      </c>
      <c r="H29" s="126" t="n">
        <f aca="false">KH_Nam_Hieuchinh!H28</f>
        <v>0</v>
      </c>
      <c r="I29" s="125" t="n">
        <f aca="false">SUMPRODUCT(
 (DT_Thucte!$E$2:$E$1007)*
 (DT_Thucte!$A$2:$A$1007="UNI")*
 (YEAR(DT_Thucte!$F$2:$F$1007)=$C$20)*
 (MONTH(DT_Thucte!$F$2:$F$1007)=VALUE(RIGHT($B29,2)))
)</f>
        <v>2197067500</v>
      </c>
      <c r="J29" s="124" t="n">
        <f aca="false">KH_Nam_Hieuchinh!E28</f>
        <v>400000000</v>
      </c>
      <c r="K29" s="172" t="n">
        <f aca="false">SUMPRODUCT(
 ('KH DT_HD da ky'!$E$2:$E$993)*
 ('KH DT_HD da ky'!$A$2:$A$993="G2B")*
 (YEAR('KH DT_HD da ky'!$F$2:$F$993)=$C$20)*
 (MONTH('KH DT_HD da ky'!$F$2:$F$993)=VALUE(RIGHT($B29,2)))
)</f>
        <v>0</v>
      </c>
      <c r="L29" s="126" t="n">
        <f aca="false">KH_Nam_Hieuchinh!I28</f>
        <v>0</v>
      </c>
      <c r="M29" s="125" t="n">
        <f aca="false">SUMPRODUCT(
 (DT_Thucte!$E$2:$E$1007)*
 (DT_Thucte!$A$2:$A$1007="G2B")*
 (YEAR(DT_Thucte!$F$2:$F$1007)=$C$20)*
 (MONTH(DT_Thucte!$F$2:$F$1007)=VALUE(RIGHT($B29,2)))
)</f>
        <v>16500000</v>
      </c>
      <c r="N29" s="124" t="n">
        <f aca="false">C29+F29+J29</f>
        <v>2020000000</v>
      </c>
      <c r="O29" s="172" t="n">
        <f aca="false">G29+K29</f>
        <v>0</v>
      </c>
      <c r="P29" s="126" t="n">
        <f aca="false">D29+H29+L29</f>
        <v>0</v>
      </c>
      <c r="Q29" s="125" t="n">
        <f aca="false">E29+I29+M29</f>
        <v>3080696605</v>
      </c>
    </row>
    <row r="30" customFormat="false" ht="18.75" hidden="false" customHeight="false" outlineLevel="0" collapsed="false">
      <c r="A30" s="122" t="n">
        <v>8</v>
      </c>
      <c r="B30" s="123" t="s">
        <v>140</v>
      </c>
      <c r="C30" s="124" t="n">
        <f aca="false">KH_Nam_Hieuchinh!C29</f>
        <v>950000000</v>
      </c>
      <c r="D30" s="126" t="n">
        <f aca="false">KH_Nam_Hieuchinh!G29</f>
        <v>0</v>
      </c>
      <c r="E30" s="125" t="n">
        <f aca="false">SUMPRODUCT(
 (DT_Thucte!$E$2:$E$1007)*
 (DT_Thucte!$A$2:$A$1007="ITO")*
 (YEAR(DT_Thucte!$F$2:$F$1007)=$C$20)*
 (MONTH(DT_Thucte!$F$2:$F$1007)=VALUE(RIGHT($B30,2)))
)</f>
        <v>866631085</v>
      </c>
      <c r="F30" s="124" t="n">
        <f aca="false">KH_Nam_Hieuchinh!D29</f>
        <v>831000000</v>
      </c>
      <c r="G30" s="172" t="n">
        <f aca="false">SUMPRODUCT(
 ('KH DT_HD da ky'!$E$2:$E$993)*
 ('KH DT_HD da ky'!$A$2:$A$993="UNI")*
 (YEAR('KH DT_HD da ky'!$F$2:$F$993)=$C$20)*
 (MONTH('KH DT_HD da ky'!$F$2:$F$993)=VALUE(RIGHT($B30,2)))
)</f>
        <v>0</v>
      </c>
      <c r="H30" s="126" t="n">
        <f aca="false">KH_Nam_Hieuchinh!H29</f>
        <v>0</v>
      </c>
      <c r="I30" s="125" t="n">
        <f aca="false">SUMPRODUCT(
 (DT_Thucte!$E$2:$E$1007)*
 (DT_Thucte!$A$2:$A$1007="UNI")*
 (YEAR(DT_Thucte!$F$2:$F$1007)=$C$20)*
 (MONTH(DT_Thucte!$F$2:$F$1007)=VALUE(RIGHT($B30,2)))
)</f>
        <v>0</v>
      </c>
      <c r="J30" s="124" t="n">
        <f aca="false">KH_Nam_Hieuchinh!E29</f>
        <v>900000000</v>
      </c>
      <c r="K30" s="172" t="n">
        <f aca="false">SUMPRODUCT(
 ('KH DT_HD da ky'!$E$2:$E$993)*
 ('KH DT_HD da ky'!$A$2:$A$993="G2B")*
 (YEAR('KH DT_HD da ky'!$F$2:$F$993)=$C$20)*
 (MONTH('KH DT_HD da ky'!$F$2:$F$993)=VALUE(RIGHT($B30,2)))
)</f>
        <v>235925500</v>
      </c>
      <c r="L30" s="126" t="n">
        <f aca="false">KH_Nam_Hieuchinh!I29</f>
        <v>0</v>
      </c>
      <c r="M30" s="125" t="n">
        <f aca="false">SUMPRODUCT(
 (DT_Thucte!$E$2:$E$1007)*
 (DT_Thucte!$A$2:$A$1007="G2B")*
 (YEAR(DT_Thucte!$F$2:$F$1007)=$C$20)*
 (MONTH(DT_Thucte!$F$2:$F$1007)=VALUE(RIGHT($B30,2)))
)</f>
        <v>88500000</v>
      </c>
      <c r="N30" s="124" t="n">
        <f aca="false">C30+F30+J30</f>
        <v>2681000000</v>
      </c>
      <c r="O30" s="172" t="n">
        <f aca="false">G30+K30</f>
        <v>235925500</v>
      </c>
      <c r="P30" s="126" t="n">
        <f aca="false">D30+H30+L30</f>
        <v>0</v>
      </c>
      <c r="Q30" s="125" t="n">
        <f aca="false">E30+I30+M30</f>
        <v>955131085</v>
      </c>
    </row>
    <row r="31" customFormat="false" ht="18.75" hidden="false" customHeight="false" outlineLevel="0" collapsed="false">
      <c r="A31" s="122" t="n">
        <v>9</v>
      </c>
      <c r="B31" s="123" t="s">
        <v>141</v>
      </c>
      <c r="C31" s="124" t="n">
        <f aca="false">KH_Nam_Hieuchinh!C30</f>
        <v>950000000</v>
      </c>
      <c r="D31" s="126" t="n">
        <f aca="false">KH_Nam_Hieuchinh!G30</f>
        <v>950000000</v>
      </c>
      <c r="E31" s="125" t="n">
        <f aca="false">SUMPRODUCT(
 (DT_Thucte!$E$2:$E$1007)*
 (DT_Thucte!$A$2:$A$1007="ITO")*
 (YEAR(DT_Thucte!$F$2:$F$1007)=$C$20)*
 (MONTH(DT_Thucte!$F$2:$F$1007)=VALUE(RIGHT($B31,2)))
)</f>
        <v>0</v>
      </c>
      <c r="F31" s="124" t="n">
        <f aca="false">KH_Nam_Hieuchinh!D30</f>
        <v>725500000</v>
      </c>
      <c r="G31" s="172" t="n">
        <f aca="false">SUMPRODUCT(
 ('KH DT_HD da ky'!$E$2:$E$993)*
 ('KH DT_HD da ky'!$A$2:$A$993="UNI")*
 (YEAR('KH DT_HD da ky'!$F$2:$F$993)=$C$20)*
 (MONTH('KH DT_HD da ky'!$F$2:$F$993)=VALUE(RIGHT($B31,2)))
)</f>
        <v>0</v>
      </c>
      <c r="H31" s="126" t="n">
        <f aca="false">KH_Nam_Hieuchinh!H30</f>
        <v>2111910000</v>
      </c>
      <c r="I31" s="125" t="n">
        <f aca="false">SUMPRODUCT(
 (DT_Thucte!$E$2:$E$1007)*
 (DT_Thucte!$A$2:$A$1007="UNI")*
 (YEAR(DT_Thucte!$F$2:$F$1007)=$C$20)*
 (MONTH(DT_Thucte!$F$2:$F$1007)=VALUE(RIGHT($B31,2)))
)</f>
        <v>143505000</v>
      </c>
      <c r="J31" s="124" t="n">
        <f aca="false">KH_Nam_Hieuchinh!E30</f>
        <v>800000000</v>
      </c>
      <c r="K31" s="172" t="n">
        <f aca="false">SUMPRODUCT(
 ('KH DT_HD da ky'!$E$2:$E$993)*
 ('KH DT_HD da ky'!$A$2:$A$993="G2B")*
 (YEAR('KH DT_HD da ky'!$F$2:$F$993)=$C$20)*
 (MONTH('KH DT_HD da ky'!$F$2:$F$993)=VALUE(RIGHT($B31,2)))
)</f>
        <v>0</v>
      </c>
      <c r="L31" s="126" t="n">
        <f aca="false">KH_Nam_Hieuchinh!I30</f>
        <v>978610000</v>
      </c>
      <c r="M31" s="125" t="n">
        <f aca="false">SUMPRODUCT(
 (DT_Thucte!$E$2:$E$1007)*
 (DT_Thucte!$A$2:$A$1007="G2B")*
 (YEAR(DT_Thucte!$F$2:$F$1007)=$C$20)*
 (MONTH(DT_Thucte!$F$2:$F$1007)=VALUE(RIGHT($B31,2)))
)</f>
        <v>42000000</v>
      </c>
      <c r="N31" s="124" t="n">
        <f aca="false">C31+F31+J31</f>
        <v>2475500000</v>
      </c>
      <c r="O31" s="172" t="n">
        <f aca="false">G31+K31</f>
        <v>0</v>
      </c>
      <c r="P31" s="126" t="n">
        <f aca="false">D31+H31+L31</f>
        <v>4040520000</v>
      </c>
      <c r="Q31" s="125" t="n">
        <f aca="false">E31+I31+M31</f>
        <v>185505000</v>
      </c>
      <c r="R31" s="113" t="n">
        <f aca="false">SUM(Q29:Q31)</f>
        <v>4221332690</v>
      </c>
    </row>
    <row r="32" customFormat="false" ht="18.75" hidden="false" customHeight="false" outlineLevel="0" collapsed="false">
      <c r="A32" s="122" t="n">
        <v>10</v>
      </c>
      <c r="B32" s="123" t="s">
        <v>142</v>
      </c>
      <c r="C32" s="124" t="n">
        <f aca="false">KH_Nam_Hieuchinh!C31</f>
        <v>950000000</v>
      </c>
      <c r="D32" s="126" t="n">
        <f aca="false">KH_Nam_Hieuchinh!G31</f>
        <v>950000000</v>
      </c>
      <c r="E32" s="125" t="n">
        <f aca="false">SUMPRODUCT(
 (DT_Thucte!$E$2:$E$1007)*
 (DT_Thucte!$A$2:$A$1007="ITO")*
 (YEAR(DT_Thucte!$F$2:$F$1007)=$C$20)*
 (MONTH(DT_Thucte!$F$2:$F$1007)=VALUE(RIGHT($B32,2)))
)</f>
        <v>0</v>
      </c>
      <c r="F32" s="124" t="n">
        <f aca="false">KH_Nam_Hieuchinh!D31</f>
        <v>682500000</v>
      </c>
      <c r="G32" s="172" t="n">
        <f aca="false">SUMPRODUCT(
 ('KH DT_HD da ky'!$E$2:$E$993)*
 ('KH DT_HD da ky'!$A$2:$A$993="UNI")*
 (YEAR('KH DT_HD da ky'!$F$2:$F$993)=$C$20)*
 (MONTH('KH DT_HD da ky'!$F$2:$F$993)=VALUE(RIGHT($B32,2)))
)</f>
        <v>26000000</v>
      </c>
      <c r="H32" s="126" t="n">
        <f aca="false">KH_Nam_Hieuchinh!H31</f>
        <v>2254800000</v>
      </c>
      <c r="I32" s="125" t="n">
        <f aca="false">SUMPRODUCT(
 (DT_Thucte!$E$2:$E$1007)*
 (DT_Thucte!$A$2:$A$1007="UNI")*
 (YEAR(DT_Thucte!$F$2:$F$1007)=$C$20)*
 (MONTH(DT_Thucte!$F$2:$F$1007)=VALUE(RIGHT($B32,2)))
)</f>
        <v>0</v>
      </c>
      <c r="J32" s="124" t="n">
        <f aca="false">KH_Nam_Hieuchinh!E31</f>
        <v>600000000</v>
      </c>
      <c r="K32" s="172" t="n">
        <f aca="false">SUMPRODUCT(
 ('KH DT_HD da ky'!$E$2:$E$993)*
 ('KH DT_HD da ky'!$A$2:$A$993="G2B")*
 (YEAR('KH DT_HD da ky'!$F$2:$F$993)=$C$20)*
 (MONTH('KH DT_HD da ky'!$F$2:$F$993)=VALUE(RIGHT($B32,2)))
)</f>
        <v>16500000</v>
      </c>
      <c r="L32" s="126" t="n">
        <f aca="false">KH_Nam_Hieuchinh!I31</f>
        <v>2237370000</v>
      </c>
      <c r="M32" s="125" t="n">
        <f aca="false">SUMPRODUCT(
 (DT_Thucte!$E$2:$E$1007)*
 (DT_Thucte!$A$2:$A$1007="G2B")*
 (YEAR(DT_Thucte!$F$2:$F$1007)=$C$20)*
 (MONTH(DT_Thucte!$F$2:$F$1007)=VALUE(RIGHT($B32,2)))
)</f>
        <v>0</v>
      </c>
      <c r="N32" s="124" t="n">
        <f aca="false">C32+F32+J32</f>
        <v>2232500000</v>
      </c>
      <c r="O32" s="172" t="n">
        <f aca="false">G32+K32</f>
        <v>42500000</v>
      </c>
      <c r="P32" s="126" t="n">
        <f aca="false">D32+H32+L32</f>
        <v>5442170000</v>
      </c>
      <c r="Q32" s="125" t="n">
        <f aca="false">E32+I32+M32</f>
        <v>0</v>
      </c>
    </row>
    <row r="33" customFormat="false" ht="18.75" hidden="false" customHeight="false" outlineLevel="0" collapsed="false">
      <c r="A33" s="122" t="n">
        <v>11</v>
      </c>
      <c r="B33" s="123" t="s">
        <v>143</v>
      </c>
      <c r="C33" s="124" t="n">
        <f aca="false">KH_Nam_Hieuchinh!C32</f>
        <v>950000000</v>
      </c>
      <c r="D33" s="126" t="n">
        <f aca="false">KH_Nam_Hieuchinh!G32</f>
        <v>950000000</v>
      </c>
      <c r="E33" s="125" t="n">
        <f aca="false">SUMPRODUCT(
 (DT_Thucte!$E$2:$E$1007)*
 (DT_Thucte!$A$2:$A$1007="ITO")*
 (YEAR(DT_Thucte!$F$2:$F$1007)=$C$20)*
 (MONTH(DT_Thucte!$F$2:$F$1007)=VALUE(RIGHT($B33,2)))
)</f>
        <v>0</v>
      </c>
      <c r="F33" s="124" t="n">
        <f aca="false">KH_Nam_Hieuchinh!D32</f>
        <v>700000000</v>
      </c>
      <c r="G33" s="172" t="n">
        <f aca="false">SUMPRODUCT(
 ('KH DT_HD da ky'!$E$2:$E$993)*
 ('KH DT_HD da ky'!$A$2:$A$993="UNI")*
 (YEAR('KH DT_HD da ky'!$F$2:$F$993)=$C$20)*
 (MONTH('KH DT_HD da ky'!$F$2:$F$993)=VALUE(RIGHT($B33,2)))
)</f>
        <v>0</v>
      </c>
      <c r="H33" s="126" t="n">
        <f aca="false">KH_Nam_Hieuchinh!H32</f>
        <v>437800000</v>
      </c>
      <c r="I33" s="125" t="n">
        <f aca="false">SUMPRODUCT(
 (DT_Thucte!$E$2:$E$1007)*
 (DT_Thucte!$A$2:$A$1007="UNI")*
 (YEAR(DT_Thucte!$F$2:$F$1007)=$C$20)*
 (MONTH(DT_Thucte!$F$2:$F$1007)=VALUE(RIGHT($B33,2)))
)</f>
        <v>0</v>
      </c>
      <c r="J33" s="124" t="n">
        <f aca="false">KH_Nam_Hieuchinh!E32</f>
        <v>970000000</v>
      </c>
      <c r="K33" s="172" t="n">
        <f aca="false">SUMPRODUCT(
 ('KH DT_HD da ky'!$E$2:$E$993)*
 ('KH DT_HD da ky'!$A$2:$A$993="G2B")*
 (YEAR('KH DT_HD da ky'!$F$2:$F$993)=$C$20)*
 (MONTH('KH DT_HD da ky'!$F$2:$F$993)=VALUE(RIGHT($B33,2)))
)</f>
        <v>168798600</v>
      </c>
      <c r="L33" s="126" t="n">
        <f aca="false">KH_Nam_Hieuchinh!I32</f>
        <v>1203500000</v>
      </c>
      <c r="M33" s="125" t="n">
        <f aca="false">SUMPRODUCT(
 (DT_Thucte!$E$2:$E$1007)*
 (DT_Thucte!$A$2:$A$1007="G2B")*
 (YEAR(DT_Thucte!$F$2:$F$1007)=$C$20)*
 (MONTH(DT_Thucte!$F$2:$F$1007)=VALUE(RIGHT($B33,2)))
)</f>
        <v>0</v>
      </c>
      <c r="N33" s="124" t="n">
        <f aca="false">C33+F33+J33</f>
        <v>2620000000</v>
      </c>
      <c r="O33" s="172" t="n">
        <f aca="false">G33+K33</f>
        <v>168798600</v>
      </c>
      <c r="P33" s="126" t="n">
        <f aca="false">D33+H33+L33</f>
        <v>2591300000</v>
      </c>
      <c r="Q33" s="125" t="n">
        <f aca="false">E33+I33+M33</f>
        <v>0</v>
      </c>
      <c r="R33" s="113"/>
    </row>
    <row r="34" customFormat="false" ht="18.75" hidden="false" customHeight="false" outlineLevel="0" collapsed="false">
      <c r="A34" s="122" t="n">
        <v>12</v>
      </c>
      <c r="B34" s="123" t="s">
        <v>144</v>
      </c>
      <c r="C34" s="124" t="n">
        <f aca="false">KH_Nam_Hieuchinh!C33</f>
        <v>950000000</v>
      </c>
      <c r="D34" s="126" t="n">
        <f aca="false">KH_Nam_Hieuchinh!G33</f>
        <v>950000000</v>
      </c>
      <c r="E34" s="125" t="n">
        <f aca="false">SUMPRODUCT(
 (DT_Thucte!$E$2:$E$1007)*
 (DT_Thucte!$A$2:$A$1007="ITO")*
 (YEAR(DT_Thucte!$F$2:$F$1007)=$C$20)*
 (MONTH(DT_Thucte!$F$2:$F$1007)=VALUE(RIGHT($B34,2)))
)</f>
        <v>0</v>
      </c>
      <c r="F34" s="124" t="n">
        <f aca="false">KH_Nam_Hieuchinh!D33</f>
        <v>1645000000</v>
      </c>
      <c r="G34" s="172" t="n">
        <f aca="false">SUMPRODUCT(
 ('KH DT_HD da ky'!$E$2:$E$993)*
 ('KH DT_HD da ky'!$A$2:$A$993="UNI")*
 (YEAR('KH DT_HD da ky'!$F$2:$F$993)=$C$20)*
 (MONTH('KH DT_HD da ky'!$F$2:$F$993)=VALUE(RIGHT($B34,2)))
)</f>
        <v>756370588</v>
      </c>
      <c r="H34" s="126" t="n">
        <f aca="false">KH_Nam_Hieuchinh!H33</f>
        <v>9027526000</v>
      </c>
      <c r="I34" s="125" t="n">
        <f aca="false">SUMPRODUCT(
 (DT_Thucte!$E$2:$E$1007)*
 (DT_Thucte!$A$2:$A$1007="UNI")*
 (YEAR(DT_Thucte!$F$2:$F$1007)=$C$20)*
 (MONTH(DT_Thucte!$F$2:$F$1007)=VALUE(RIGHT($B34,2)))
)</f>
        <v>0</v>
      </c>
      <c r="J34" s="124" t="n">
        <f aca="false">KH_Nam_Hieuchinh!E33</f>
        <v>1500000000</v>
      </c>
      <c r="K34" s="172" t="n">
        <f aca="false">SUMPRODUCT(
 ('KH DT_HD da ky'!$E$2:$E$993)*
 ('KH DT_HD da ky'!$A$2:$A$993="G2B")*
 (YEAR('KH DT_HD da ky'!$F$2:$F$993)=$C$20)*
 (MONTH('KH DT_HD da ky'!$F$2:$F$993)=VALUE(RIGHT($B34,2)))
)</f>
        <v>102500000</v>
      </c>
      <c r="L34" s="126" t="n">
        <f aca="false">KH_Nam_Hieuchinh!I33</f>
        <v>2520000000</v>
      </c>
      <c r="M34" s="125" t="n">
        <f aca="false">SUMPRODUCT(
 (DT_Thucte!$E$2:$E$1007)*
 (DT_Thucte!$A$2:$A$1007="G2B")*
 (YEAR(DT_Thucte!$F$2:$F$1007)=$C$20)*
 (MONTH(DT_Thucte!$F$2:$F$1007)=VALUE(RIGHT($B34,2)))
)</f>
        <v>0</v>
      </c>
      <c r="N34" s="124" t="n">
        <f aca="false">C34+F34+J34</f>
        <v>4095000000</v>
      </c>
      <c r="O34" s="172" t="n">
        <f aca="false">G34+K34</f>
        <v>858870588</v>
      </c>
      <c r="P34" s="126" t="n">
        <f aca="false">D34+H34+L34</f>
        <v>12497526000</v>
      </c>
      <c r="Q34" s="125" t="n">
        <f aca="false">E34+I34+M34</f>
        <v>0</v>
      </c>
      <c r="R34" s="113" t="n">
        <f aca="false">SUM(Q32:Q34)</f>
        <v>0</v>
      </c>
    </row>
    <row r="35" customFormat="false" ht="18.75" hidden="false" customHeight="false" outlineLevel="0" collapsed="false">
      <c r="A35" s="127"/>
      <c r="B35" s="128" t="s">
        <v>158</v>
      </c>
      <c r="C35" s="129" t="n">
        <f aca="false">SUM(C23:C34)</f>
        <v>11400000000</v>
      </c>
      <c r="D35" s="129" t="n">
        <f aca="false">SUM(D23:D34)</f>
        <v>3800000000</v>
      </c>
      <c r="E35" s="130" t="n">
        <f aca="false">SUM(E23:E34)</f>
        <v>7467087080</v>
      </c>
      <c r="F35" s="129" t="n">
        <f aca="false">SUM(F23:F34)</f>
        <v>9300000000</v>
      </c>
      <c r="G35" s="173" t="n">
        <f aca="false">SUM(G23:G34)</f>
        <v>782370588</v>
      </c>
      <c r="H35" s="129" t="n">
        <f aca="false">SUM(H23:H34)</f>
        <v>13832036000</v>
      </c>
      <c r="I35" s="130" t="n">
        <f aca="false">SUM(I23:I34)</f>
        <v>4924423600</v>
      </c>
      <c r="J35" s="129" t="n">
        <f aca="false">SUM(J23:J34)</f>
        <v>9300000000</v>
      </c>
      <c r="K35" s="173" t="n">
        <f aca="false">SUM(K23:K34)</f>
        <v>523724100</v>
      </c>
      <c r="L35" s="129" t="n">
        <f aca="false">SUM(L23:L34)</f>
        <v>6939480000</v>
      </c>
      <c r="M35" s="130" t="n">
        <f aca="false">SUM(M23:M34)</f>
        <v>2710468311</v>
      </c>
      <c r="N35" s="129" t="n">
        <f aca="false">C35+F35+J35</f>
        <v>30000000000</v>
      </c>
      <c r="O35" s="173" t="n">
        <f aca="false">G35+K35</f>
        <v>1306094688</v>
      </c>
      <c r="P35" s="129" t="n">
        <f aca="false">D35+H35+L35</f>
        <v>24571516000</v>
      </c>
      <c r="Q35" s="130" t="n">
        <f aca="false">E35+I35+M35</f>
        <v>15101978991</v>
      </c>
      <c r="R35" s="156"/>
    </row>
    <row r="36" customFormat="false" ht="18.75" hidden="false" customHeight="false" outlineLevel="0" collapsed="false">
      <c r="A36" s="157"/>
      <c r="B36" s="114" t="s">
        <v>145</v>
      </c>
      <c r="D36" s="117"/>
      <c r="E36" s="117" t="n">
        <f aca="false">E35/C35</f>
        <v>0.655007638596491</v>
      </c>
      <c r="F36" s="113"/>
      <c r="H36" s="137"/>
      <c r="I36" s="117" t="n">
        <f aca="false">I35/F35</f>
        <v>0.529507913978495</v>
      </c>
      <c r="J36" s="113"/>
      <c r="L36" s="117"/>
      <c r="M36" s="117" t="n">
        <f aca="false">M35/J35</f>
        <v>0.291448205483871</v>
      </c>
      <c r="N36" s="113"/>
      <c r="P36" s="117"/>
      <c r="Q36" s="132" t="n">
        <f aca="false">Q35/N35</f>
        <v>0.5033992997</v>
      </c>
      <c r="R36" s="117"/>
      <c r="S36" s="112"/>
    </row>
    <row r="37" customFormat="false" ht="18.75" hidden="false" customHeight="false" outlineLevel="0" collapsed="false">
      <c r="A37" s="157"/>
      <c r="B37" s="158"/>
      <c r="E37" s="158"/>
      <c r="I37" s="159"/>
      <c r="J37" s="113"/>
      <c r="M37" s="117"/>
      <c r="P37" s="134" t="s">
        <v>146</v>
      </c>
      <c r="Q37" s="118" t="n">
        <f aca="false">I35+M35</f>
        <v>7634891911</v>
      </c>
    </row>
    <row r="38" customFormat="false" ht="18.75" hidden="false" customHeight="false" outlineLevel="0" collapsed="false">
      <c r="Q38" s="157"/>
    </row>
    <row r="39" customFormat="false" ht="18.75" hidden="false" customHeight="false" outlineLevel="0" collapsed="false">
      <c r="Q39" s="157"/>
    </row>
    <row r="40" customFormat="false" ht="18.75" hidden="false" customHeight="false" outlineLevel="0" collapsed="false">
      <c r="H40" s="133"/>
      <c r="J40" s="133"/>
      <c r="N40" s="113" t="n">
        <f aca="false">SUM(M8:M10)</f>
        <v>0</v>
      </c>
      <c r="O40" s="113" t="n">
        <f aca="false">SUM(O26:O28)</f>
        <v>0</v>
      </c>
      <c r="P40" s="113" t="n">
        <f aca="false">SUM(P26:P28)</f>
        <v>0</v>
      </c>
    </row>
    <row r="41" customFormat="false" ht="18.75" hidden="false" customHeight="false" outlineLevel="0" collapsed="false">
      <c r="S41" s="113"/>
    </row>
    <row r="42" customFormat="false" ht="18.75" hidden="false" customHeight="false" outlineLevel="0" collapsed="false">
      <c r="O42" s="113" t="n">
        <f aca="false">O40+P40</f>
        <v>0</v>
      </c>
    </row>
  </sheetData>
  <mergeCells count="12">
    <mergeCell ref="A3:A4"/>
    <mergeCell ref="B3:B4"/>
    <mergeCell ref="C3:E3"/>
    <mergeCell ref="F3:H3"/>
    <mergeCell ref="I3:K3"/>
    <mergeCell ref="L3:N3"/>
    <mergeCell ref="A21:A22"/>
    <mergeCell ref="B21:B22"/>
    <mergeCell ref="C21:E21"/>
    <mergeCell ref="F21:I21"/>
    <mergeCell ref="J21:M21"/>
    <mergeCell ref="N21:Q2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E315"/>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pane xSplit="2" ySplit="3" topLeftCell="C103" activePane="bottomRight" state="frozen"/>
      <selection pane="topLeft" activeCell="A1" activeCellId="0" sqref="A1"/>
      <selection pane="topRight" activeCell="C1" activeCellId="0" sqref="C1"/>
      <selection pane="bottomLeft" activeCell="A103" activeCellId="0" sqref="A103"/>
      <selection pane="bottomRight" activeCell="O224" activeCellId="0" sqref="O224"/>
    </sheetView>
  </sheetViews>
  <sheetFormatPr defaultColWidth="8.859375" defaultRowHeight="18.75" customHeight="false" zeroHeight="false" outlineLevelRow="0" outlineLevelCol="0"/>
  <cols>
    <col collapsed="false" customWidth="true" hidden="false" outlineLevel="0" max="1" min="1" style="110" width="10.71"/>
    <col collapsed="false" customWidth="true" hidden="false" outlineLevel="0" max="2" min="2" style="174" width="89.15"/>
    <col collapsed="false" customWidth="true" hidden="false" outlineLevel="0" max="3" min="3" style="175" width="10.71"/>
    <col collapsed="false" customWidth="true" hidden="false" outlineLevel="0" max="5" min="4" style="110" width="20.71"/>
    <col collapsed="false" customWidth="true" hidden="false" outlineLevel="0" max="6" min="6" style="175" width="20.71"/>
    <col collapsed="false" customWidth="true" hidden="false" outlineLevel="0" max="13" min="7" style="110" width="20.71"/>
    <col collapsed="false" customWidth="true" hidden="false" outlineLevel="0" max="14" min="14" style="110" width="21.43"/>
    <col collapsed="false" customWidth="true" hidden="false" outlineLevel="0" max="15" min="15" style="110" width="19.42"/>
    <col collapsed="false" customWidth="true" hidden="false" outlineLevel="0" max="16" min="16" style="110" width="19.29"/>
    <col collapsed="false" customWidth="false" hidden="false" outlineLevel="0" max="16384" min="17" style="110" width="8.86"/>
  </cols>
  <sheetData>
    <row r="1" customFormat="false" ht="18.75" hidden="false" customHeight="false" outlineLevel="0" collapsed="false">
      <c r="D1" s="176" t="n">
        <f aca="false">D4+D6+D107+D208</f>
        <v>0</v>
      </c>
      <c r="E1" s="176" t="n">
        <f aca="false">E4+E6+E107+E208</f>
        <v>0</v>
      </c>
      <c r="F1" s="177"/>
      <c r="G1" s="177"/>
      <c r="H1" s="118" t="n">
        <f aca="false">SUMIF($C$4:$C$308,"X",$H$4:$H$308)</f>
        <v>0</v>
      </c>
      <c r="I1" s="118" t="n">
        <f aca="false">SUMIF($C$4:$C$308,"X",$I$4:$I$308)</f>
        <v>0</v>
      </c>
    </row>
    <row r="2" customFormat="false" ht="18.75" hidden="false" customHeight="false" outlineLevel="0" collapsed="false">
      <c r="A2" s="178" t="s">
        <v>169</v>
      </c>
      <c r="B2" s="179" t="s">
        <v>170</v>
      </c>
      <c r="C2" s="179" t="s">
        <v>171</v>
      </c>
      <c r="D2" s="180"/>
      <c r="E2" s="181" t="s">
        <v>172</v>
      </c>
      <c r="F2" s="182"/>
      <c r="G2" s="183"/>
      <c r="H2" s="180"/>
      <c r="I2" s="184"/>
      <c r="J2" s="182" t="s">
        <v>9</v>
      </c>
      <c r="K2" s="184"/>
      <c r="L2" s="184"/>
      <c r="M2" s="185"/>
      <c r="R2" s="111"/>
      <c r="S2" s="111"/>
      <c r="T2" s="111"/>
      <c r="U2" s="111"/>
      <c r="V2" s="111"/>
      <c r="W2" s="111"/>
      <c r="X2" s="111"/>
      <c r="Y2" s="111"/>
      <c r="Z2" s="111"/>
      <c r="AA2" s="111"/>
      <c r="AB2" s="111"/>
      <c r="AC2" s="111"/>
      <c r="AD2" s="111"/>
      <c r="AE2" s="111"/>
      <c r="AF2" s="111"/>
      <c r="AG2" s="111"/>
      <c r="AH2" s="111"/>
      <c r="AI2" s="111"/>
      <c r="AJ2" s="111"/>
      <c r="AK2" s="111"/>
      <c r="AL2" s="111"/>
      <c r="AM2" s="111"/>
      <c r="AN2" s="111"/>
      <c r="AO2" s="111"/>
      <c r="AP2" s="111"/>
      <c r="AQ2" s="111"/>
      <c r="AR2" s="111"/>
      <c r="AS2" s="111"/>
      <c r="AT2" s="111"/>
      <c r="AU2" s="111"/>
      <c r="AV2" s="111"/>
      <c r="AW2" s="111"/>
      <c r="AX2" s="111"/>
      <c r="AY2" s="111"/>
      <c r="AZ2" s="111"/>
      <c r="BA2" s="111"/>
      <c r="BB2" s="111"/>
      <c r="BC2" s="111"/>
      <c r="BD2" s="111"/>
      <c r="BE2" s="111"/>
    </row>
    <row r="3" customFormat="false" ht="18.75" hidden="false" customHeight="false" outlineLevel="0" collapsed="false">
      <c r="A3" s="186"/>
      <c r="B3" s="187"/>
      <c r="C3" s="188"/>
      <c r="D3" s="189" t="s">
        <v>160</v>
      </c>
      <c r="E3" s="189" t="s">
        <v>166</v>
      </c>
      <c r="F3" s="189" t="s">
        <v>173</v>
      </c>
      <c r="G3" s="189" t="s">
        <v>174</v>
      </c>
      <c r="H3" s="189" t="s">
        <v>160</v>
      </c>
      <c r="I3" s="189" t="s">
        <v>166</v>
      </c>
      <c r="J3" s="189" t="s">
        <v>175</v>
      </c>
      <c r="K3" s="189" t="s">
        <v>176</v>
      </c>
      <c r="L3" s="189" t="s">
        <v>177</v>
      </c>
      <c r="M3" s="189" t="s">
        <v>178</v>
      </c>
      <c r="R3" s="111"/>
      <c r="S3" s="111"/>
      <c r="T3" s="111"/>
      <c r="U3" s="111"/>
      <c r="V3" s="111"/>
      <c r="W3" s="111"/>
      <c r="X3" s="111"/>
      <c r="Y3" s="111"/>
      <c r="Z3" s="111"/>
      <c r="AA3" s="111"/>
      <c r="AB3" s="111"/>
      <c r="AC3" s="111"/>
      <c r="AD3" s="111"/>
      <c r="AE3" s="111"/>
      <c r="AF3" s="111"/>
      <c r="AG3" s="111"/>
      <c r="AH3" s="111"/>
      <c r="AI3" s="111"/>
      <c r="AJ3" s="111"/>
      <c r="AK3" s="111"/>
      <c r="AL3" s="111"/>
      <c r="AM3" s="111"/>
      <c r="AN3" s="111"/>
      <c r="AO3" s="111"/>
      <c r="AP3" s="111"/>
      <c r="AQ3" s="111"/>
      <c r="AR3" s="111"/>
      <c r="AS3" s="111"/>
      <c r="AT3" s="111"/>
      <c r="AU3" s="111"/>
      <c r="AV3" s="111"/>
      <c r="AW3" s="111"/>
      <c r="AX3" s="111"/>
      <c r="AY3" s="111"/>
      <c r="AZ3" s="111"/>
      <c r="BA3" s="111"/>
      <c r="BB3" s="111"/>
      <c r="BC3" s="111"/>
      <c r="BD3" s="111"/>
      <c r="BE3" s="111"/>
    </row>
    <row r="4" customFormat="false" ht="18.75" hidden="false" customHeight="false" outlineLevel="0" collapsed="false">
      <c r="A4" s="190" t="s">
        <v>179</v>
      </c>
      <c r="B4" s="191"/>
      <c r="C4" s="192"/>
      <c r="D4" s="193" t="n">
        <f aca="false">D5</f>
        <v>0</v>
      </c>
      <c r="E4" s="193" t="n">
        <f aca="false">E5</f>
        <v>0</v>
      </c>
      <c r="F4" s="194"/>
      <c r="G4" s="195"/>
      <c r="H4" s="195"/>
      <c r="I4" s="195"/>
      <c r="J4" s="195"/>
      <c r="K4" s="195"/>
      <c r="L4" s="195"/>
      <c r="M4" s="195"/>
    </row>
    <row r="5" customFormat="false" ht="18.75" hidden="false" customHeight="false" outlineLevel="0" collapsed="false">
      <c r="A5" s="196" t="s">
        <v>180</v>
      </c>
      <c r="B5" s="197" t="s">
        <v>181</v>
      </c>
      <c r="C5" s="198"/>
      <c r="D5" s="199"/>
      <c r="E5" s="199" t="n">
        <f aca="false">D5</f>
        <v>0</v>
      </c>
      <c r="F5" s="200"/>
      <c r="G5" s="201"/>
      <c r="H5" s="202" t="n">
        <f aca="false">VLOOKUP(A5,'Thuc te theo thang'!$A$4:$I$309,8,FALSE())</f>
        <v>0</v>
      </c>
      <c r="I5" s="202" t="n">
        <f aca="false">VLOOKUP(A5,'Thuc te theo thang'!$A$4:$I$309,9,FALSE())</f>
        <v>0</v>
      </c>
      <c r="J5" s="202"/>
      <c r="K5" s="202" t="n">
        <f aca="false">H5-I5-J5</f>
        <v>0</v>
      </c>
      <c r="L5" s="202"/>
      <c r="M5" s="202"/>
    </row>
    <row r="6" customFormat="false" ht="18.75" hidden="false" customHeight="false" outlineLevel="0" collapsed="false">
      <c r="A6" s="190" t="s">
        <v>182</v>
      </c>
      <c r="B6" s="191"/>
      <c r="C6" s="192"/>
      <c r="D6" s="193" t="n">
        <f aca="false">SUM(D7:D106)</f>
        <v>0</v>
      </c>
      <c r="E6" s="193" t="n">
        <f aca="false">SUM(E7:E106)</f>
        <v>0</v>
      </c>
      <c r="F6" s="203"/>
      <c r="G6" s="195"/>
      <c r="H6" s="204" t="n">
        <f aca="false">SUMIF($C$7:$C$106,"x",H7:H106)</f>
        <v>0</v>
      </c>
      <c r="I6" s="204" t="n">
        <f aca="false">SUMIF($C$7:$C$106,"x",I7:I106)</f>
        <v>0</v>
      </c>
      <c r="J6" s="195"/>
      <c r="K6" s="205" t="n">
        <f aca="false">SUM(K7:K106)</f>
        <v>0</v>
      </c>
      <c r="L6" s="195"/>
      <c r="M6" s="195"/>
    </row>
    <row r="7" customFormat="false" ht="18.75" hidden="false" customHeight="false" outlineLevel="0" collapsed="false">
      <c r="A7" s="196" t="s">
        <v>183</v>
      </c>
      <c r="B7" s="197"/>
      <c r="C7" s="198"/>
      <c r="D7" s="199"/>
      <c r="E7" s="199"/>
      <c r="F7" s="200"/>
      <c r="G7" s="206"/>
      <c r="H7" s="153" t="n">
        <f aca="false">VLOOKUP(A7,'Thuc te theo thang'!$A$4:$I$309,8,FALSE())</f>
        <v>0</v>
      </c>
      <c r="I7" s="153" t="n">
        <f aca="false">VLOOKUP(A7,'Thuc te theo thang'!$A$4:$I$309,9,FALSE())</f>
        <v>0</v>
      </c>
      <c r="J7" s="153"/>
      <c r="K7" s="153" t="n">
        <f aca="false">H7-I7-J7</f>
        <v>0</v>
      </c>
      <c r="L7" s="153"/>
      <c r="M7" s="153"/>
    </row>
    <row r="8" customFormat="false" ht="18.75" hidden="false" customHeight="false" outlineLevel="0" collapsed="false">
      <c r="A8" s="196" t="s">
        <v>184</v>
      </c>
      <c r="B8" s="197"/>
      <c r="C8" s="198"/>
      <c r="D8" s="199"/>
      <c r="E8" s="199"/>
      <c r="F8" s="200"/>
      <c r="G8" s="207"/>
      <c r="H8" s="153" t="n">
        <f aca="false">VLOOKUP(A8,'Thuc te theo thang'!$A$4:$I$309,8,FALSE())</f>
        <v>0</v>
      </c>
      <c r="I8" s="153" t="n">
        <f aca="false">VLOOKUP(A8,'Thuc te theo thang'!$A$4:$I$309,9,FALSE())</f>
        <v>0</v>
      </c>
      <c r="J8" s="153"/>
      <c r="K8" s="153" t="n">
        <f aca="false">H8-I8-J8</f>
        <v>0</v>
      </c>
      <c r="L8" s="153"/>
      <c r="M8" s="153"/>
    </row>
    <row r="9" customFormat="false" ht="18.75" hidden="false" customHeight="false" outlineLevel="0" collapsed="false">
      <c r="A9" s="196" t="s">
        <v>185</v>
      </c>
      <c r="B9" s="197"/>
      <c r="C9" s="198"/>
      <c r="D9" s="199"/>
      <c r="E9" s="199"/>
      <c r="F9" s="200"/>
      <c r="G9" s="207"/>
      <c r="H9" s="153" t="n">
        <f aca="false">VLOOKUP(A9,'Thuc te theo thang'!$A$4:$I$309,8,FALSE())</f>
        <v>0</v>
      </c>
      <c r="I9" s="153" t="n">
        <f aca="false">VLOOKUP(A9,'Thuc te theo thang'!$A$4:$I$309,9,FALSE())</f>
        <v>0</v>
      </c>
      <c r="J9" s="153"/>
      <c r="K9" s="153" t="n">
        <f aca="false">H9-I9-J9</f>
        <v>0</v>
      </c>
      <c r="L9" s="153"/>
      <c r="M9" s="153"/>
    </row>
    <row r="10" customFormat="false" ht="18.75" hidden="false" customHeight="false" outlineLevel="0" collapsed="false">
      <c r="A10" s="196" t="s">
        <v>186</v>
      </c>
      <c r="B10" s="197"/>
      <c r="C10" s="198"/>
      <c r="D10" s="199"/>
      <c r="E10" s="199"/>
      <c r="F10" s="200"/>
      <c r="G10" s="207"/>
      <c r="H10" s="153" t="n">
        <f aca="false">VLOOKUP(A10,'Thuc te theo thang'!$A$4:$I$309,8,FALSE())</f>
        <v>0</v>
      </c>
      <c r="I10" s="153" t="n">
        <f aca="false">VLOOKUP(A10,'Thuc te theo thang'!$A$4:$I$309,9,FALSE())</f>
        <v>0</v>
      </c>
      <c r="J10" s="153"/>
      <c r="K10" s="153" t="n">
        <f aca="false">H10-I10-J10</f>
        <v>0</v>
      </c>
      <c r="L10" s="153"/>
      <c r="M10" s="153"/>
    </row>
    <row r="11" customFormat="false" ht="20.25" hidden="false" customHeight="true" outlineLevel="0" collapsed="false">
      <c r="A11" s="196" t="s">
        <v>187</v>
      </c>
      <c r="B11" s="197"/>
      <c r="C11" s="198"/>
      <c r="D11" s="199"/>
      <c r="E11" s="199"/>
      <c r="F11" s="200"/>
      <c r="G11" s="207"/>
      <c r="H11" s="153" t="n">
        <f aca="false">VLOOKUP(A11,'Thuc te theo thang'!$A$4:$I$309,8,FALSE())</f>
        <v>0</v>
      </c>
      <c r="I11" s="153" t="n">
        <f aca="false">VLOOKUP(A11,'Thuc te theo thang'!$A$4:$I$309,9,FALSE())</f>
        <v>0</v>
      </c>
      <c r="J11" s="153"/>
      <c r="K11" s="153" t="n">
        <f aca="false">H11-I11-J11</f>
        <v>0</v>
      </c>
      <c r="L11" s="153"/>
      <c r="M11" s="153"/>
    </row>
    <row r="12" customFormat="false" ht="18.75" hidden="false" customHeight="false" outlineLevel="0" collapsed="false">
      <c r="A12" s="196" t="s">
        <v>188</v>
      </c>
      <c r="B12" s="197"/>
      <c r="C12" s="198"/>
      <c r="D12" s="199"/>
      <c r="E12" s="199"/>
      <c r="F12" s="200"/>
      <c r="G12" s="207"/>
      <c r="H12" s="153" t="n">
        <f aca="false">VLOOKUP(A12,'Thuc te theo thang'!$A$4:$I$309,8,FALSE())</f>
        <v>0</v>
      </c>
      <c r="I12" s="153" t="n">
        <f aca="false">VLOOKUP(A12,'Thuc te theo thang'!$A$4:$I$309,9,FALSE())</f>
        <v>0</v>
      </c>
      <c r="J12" s="153"/>
      <c r="K12" s="153" t="n">
        <f aca="false">H12-I12-J12</f>
        <v>0</v>
      </c>
      <c r="L12" s="153"/>
      <c r="M12" s="153"/>
    </row>
    <row r="13" customFormat="false" ht="18.75" hidden="false" customHeight="false" outlineLevel="0" collapsed="false">
      <c r="A13" s="196" t="s">
        <v>189</v>
      </c>
      <c r="B13" s="197"/>
      <c r="C13" s="198"/>
      <c r="D13" s="199"/>
      <c r="E13" s="199"/>
      <c r="F13" s="200"/>
      <c r="G13" s="207"/>
      <c r="H13" s="153" t="n">
        <f aca="false">VLOOKUP(A13,'Thuc te theo thang'!$A$4:$I$309,8,FALSE())</f>
        <v>0</v>
      </c>
      <c r="I13" s="153" t="n">
        <f aca="false">VLOOKUP(A13,'Thuc te theo thang'!$A$4:$I$309,9,FALSE())</f>
        <v>0</v>
      </c>
      <c r="J13" s="153"/>
      <c r="K13" s="153" t="n">
        <f aca="false">H13-I13-J13</f>
        <v>0</v>
      </c>
      <c r="L13" s="153"/>
      <c r="M13" s="153"/>
    </row>
    <row r="14" customFormat="false" ht="18.75" hidden="false" customHeight="false" outlineLevel="0" collapsed="false">
      <c r="A14" s="196" t="s">
        <v>190</v>
      </c>
      <c r="B14" s="197"/>
      <c r="C14" s="198"/>
      <c r="D14" s="199"/>
      <c r="E14" s="199"/>
      <c r="F14" s="200"/>
      <c r="G14" s="200"/>
      <c r="H14" s="153" t="n">
        <f aca="false">VLOOKUP(A14,'Thuc te theo thang'!$A$4:$I$309,8,FALSE())</f>
        <v>0</v>
      </c>
      <c r="I14" s="153" t="n">
        <f aca="false">VLOOKUP(A14,'Thuc te theo thang'!$A$4:$I$309,9,FALSE())</f>
        <v>0</v>
      </c>
      <c r="J14" s="153"/>
      <c r="K14" s="153" t="n">
        <f aca="false">H14-I14-J14</f>
        <v>0</v>
      </c>
      <c r="L14" s="153"/>
      <c r="M14" s="153"/>
    </row>
    <row r="15" customFormat="false" ht="18.75" hidden="false" customHeight="false" outlineLevel="0" collapsed="false">
      <c r="A15" s="196" t="s">
        <v>191</v>
      </c>
      <c r="B15" s="197"/>
      <c r="C15" s="198"/>
      <c r="D15" s="199"/>
      <c r="E15" s="199"/>
      <c r="F15" s="200"/>
      <c r="G15" s="207"/>
      <c r="H15" s="153" t="n">
        <f aca="false">VLOOKUP(A15,'Thuc te theo thang'!$A$4:$I$309,8,FALSE())</f>
        <v>0</v>
      </c>
      <c r="I15" s="153" t="n">
        <f aca="false">VLOOKUP(A15,'Thuc te theo thang'!$A$4:$I$309,9,FALSE())</f>
        <v>0</v>
      </c>
      <c r="J15" s="153"/>
      <c r="K15" s="153" t="n">
        <f aca="false">H15-I15-J15</f>
        <v>0</v>
      </c>
      <c r="L15" s="153"/>
      <c r="M15" s="153"/>
    </row>
    <row r="16" customFormat="false" ht="18.75" hidden="false" customHeight="false" outlineLevel="0" collapsed="false">
      <c r="A16" s="196" t="s">
        <v>192</v>
      </c>
      <c r="B16" s="197"/>
      <c r="C16" s="198"/>
      <c r="D16" s="199"/>
      <c r="E16" s="199"/>
      <c r="F16" s="200"/>
      <c r="G16" s="200"/>
      <c r="H16" s="153" t="n">
        <f aca="false">VLOOKUP(A16,'Thuc te theo thang'!$A$4:$I$309,8,FALSE())</f>
        <v>0</v>
      </c>
      <c r="I16" s="153" t="n">
        <f aca="false">VLOOKUP(A16,'Thuc te theo thang'!$A$4:$I$309,9,FALSE())</f>
        <v>0</v>
      </c>
      <c r="J16" s="153"/>
      <c r="K16" s="153" t="n">
        <f aca="false">H16-I16-J16</f>
        <v>0</v>
      </c>
      <c r="L16" s="153"/>
      <c r="M16" s="153"/>
    </row>
    <row r="17" customFormat="false" ht="18.75" hidden="false" customHeight="true" outlineLevel="0" collapsed="false">
      <c r="A17" s="196" t="s">
        <v>193</v>
      </c>
      <c r="B17" s="197"/>
      <c r="C17" s="198"/>
      <c r="D17" s="199"/>
      <c r="E17" s="199"/>
      <c r="F17" s="200"/>
      <c r="G17" s="207"/>
      <c r="H17" s="153" t="n">
        <f aca="false">VLOOKUP(A17,'Thuc te theo thang'!$A$4:$I$309,8,FALSE())</f>
        <v>0</v>
      </c>
      <c r="I17" s="153" t="n">
        <f aca="false">VLOOKUP(A17,'Thuc te theo thang'!$A$4:$I$309,9,FALSE())</f>
        <v>0</v>
      </c>
      <c r="J17" s="153"/>
      <c r="K17" s="153" t="n">
        <f aca="false">H17-I17-J17</f>
        <v>0</v>
      </c>
      <c r="L17" s="153"/>
      <c r="M17" s="153"/>
    </row>
    <row r="18" customFormat="false" ht="18.75" hidden="false" customHeight="false" outlineLevel="0" collapsed="false">
      <c r="A18" s="196" t="s">
        <v>194</v>
      </c>
      <c r="B18" s="197"/>
      <c r="C18" s="198"/>
      <c r="D18" s="199"/>
      <c r="E18" s="199"/>
      <c r="F18" s="200"/>
      <c r="G18" s="208"/>
      <c r="H18" s="153" t="n">
        <f aca="false">VLOOKUP(A18,'Thuc te theo thang'!$A$4:$I$309,8,FALSE())</f>
        <v>0</v>
      </c>
      <c r="I18" s="153" t="n">
        <f aca="false">VLOOKUP(A18,'Thuc te theo thang'!$A$4:$I$309,9,FALSE())</f>
        <v>0</v>
      </c>
      <c r="J18" s="153"/>
      <c r="K18" s="153" t="n">
        <f aca="false">H18-I18-J18</f>
        <v>0</v>
      </c>
      <c r="L18" s="153"/>
      <c r="M18" s="153"/>
    </row>
    <row r="19" customFormat="false" ht="20.25" hidden="false" customHeight="true" outlineLevel="0" collapsed="false">
      <c r="A19" s="196" t="s">
        <v>195</v>
      </c>
      <c r="B19" s="197"/>
      <c r="C19" s="198"/>
      <c r="D19" s="199"/>
      <c r="E19" s="199"/>
      <c r="F19" s="200"/>
      <c r="G19" s="200"/>
      <c r="H19" s="153" t="n">
        <f aca="false">VLOOKUP(A19,'Thuc te theo thang'!$A$4:$I$309,8,FALSE())</f>
        <v>0</v>
      </c>
      <c r="I19" s="153" t="n">
        <f aca="false">VLOOKUP(A19,'Thuc te theo thang'!$A$4:$I$309,9,FALSE())</f>
        <v>0</v>
      </c>
      <c r="J19" s="153"/>
      <c r="K19" s="153" t="n">
        <f aca="false">H19-I19-J19</f>
        <v>0</v>
      </c>
      <c r="L19" s="153"/>
      <c r="M19" s="153"/>
    </row>
    <row r="20" customFormat="false" ht="18.75" hidden="false" customHeight="false" outlineLevel="0" collapsed="false">
      <c r="A20" s="196" t="s">
        <v>196</v>
      </c>
      <c r="B20" s="197"/>
      <c r="C20" s="198"/>
      <c r="D20" s="199"/>
      <c r="E20" s="199"/>
      <c r="F20" s="200"/>
      <c r="G20" s="200"/>
      <c r="H20" s="153" t="n">
        <f aca="false">VLOOKUP(A20,'Thuc te theo thang'!$A$4:$I$309,8,FALSE())</f>
        <v>0</v>
      </c>
      <c r="I20" s="153" t="n">
        <f aca="false">VLOOKUP(A20,'Thuc te theo thang'!$A$4:$I$309,9,FALSE())</f>
        <v>0</v>
      </c>
      <c r="J20" s="153"/>
      <c r="K20" s="153" t="n">
        <f aca="false">H20-I20-J20</f>
        <v>0</v>
      </c>
      <c r="L20" s="153"/>
      <c r="M20" s="153"/>
    </row>
    <row r="21" customFormat="false" ht="20.25" hidden="false" customHeight="true" outlineLevel="0" collapsed="false">
      <c r="A21" s="196" t="s">
        <v>197</v>
      </c>
      <c r="B21" s="197"/>
      <c r="C21" s="198"/>
      <c r="D21" s="199"/>
      <c r="E21" s="199"/>
      <c r="F21" s="200"/>
      <c r="G21" s="200"/>
      <c r="H21" s="153" t="n">
        <f aca="false">VLOOKUP(A21,'Thuc te theo thang'!$A$4:$I$309,8,FALSE())</f>
        <v>0</v>
      </c>
      <c r="I21" s="153" t="n">
        <f aca="false">VLOOKUP(A21,'Thuc te theo thang'!$A$4:$I$309,9,FALSE())</f>
        <v>0</v>
      </c>
      <c r="J21" s="153"/>
      <c r="K21" s="153" t="n">
        <f aca="false">H21-I21-J21</f>
        <v>0</v>
      </c>
      <c r="L21" s="153"/>
      <c r="M21" s="153"/>
    </row>
    <row r="22" customFormat="false" ht="18.75" hidden="false" customHeight="false" outlineLevel="0" collapsed="false">
      <c r="A22" s="196" t="s">
        <v>198</v>
      </c>
      <c r="B22" s="197"/>
      <c r="C22" s="198"/>
      <c r="D22" s="199"/>
      <c r="E22" s="199"/>
      <c r="F22" s="200"/>
      <c r="G22" s="207"/>
      <c r="H22" s="153" t="n">
        <f aca="false">VLOOKUP(A22,'Thuc te theo thang'!$A$4:$I$309,8,FALSE())</f>
        <v>0</v>
      </c>
      <c r="I22" s="153" t="n">
        <f aca="false">VLOOKUP(A22,'Thuc te theo thang'!$A$4:$I$309,9,FALSE())</f>
        <v>0</v>
      </c>
      <c r="J22" s="153"/>
      <c r="K22" s="153" t="n">
        <f aca="false">H22-I22-J22</f>
        <v>0</v>
      </c>
      <c r="L22" s="153"/>
      <c r="M22" s="153"/>
    </row>
    <row r="23" customFormat="false" ht="20.25" hidden="false" customHeight="true" outlineLevel="0" collapsed="false">
      <c r="A23" s="196" t="s">
        <v>199</v>
      </c>
      <c r="B23" s="197"/>
      <c r="C23" s="198"/>
      <c r="D23" s="199"/>
      <c r="E23" s="199"/>
      <c r="F23" s="200"/>
      <c r="G23" s="207"/>
      <c r="H23" s="153" t="n">
        <f aca="false">VLOOKUP(A23,'Thuc te theo thang'!$A$4:$I$309,8,FALSE())</f>
        <v>0</v>
      </c>
      <c r="I23" s="153" t="n">
        <f aca="false">VLOOKUP(A23,'Thuc te theo thang'!$A$4:$I$309,9,FALSE())</f>
        <v>0</v>
      </c>
      <c r="J23" s="153"/>
      <c r="K23" s="153" t="n">
        <f aca="false">H23-I23-J23</f>
        <v>0</v>
      </c>
      <c r="L23" s="153"/>
      <c r="M23" s="153"/>
    </row>
    <row r="24" customFormat="false" ht="20.25" hidden="false" customHeight="true" outlineLevel="0" collapsed="false">
      <c r="A24" s="196" t="s">
        <v>200</v>
      </c>
      <c r="B24" s="197"/>
      <c r="C24" s="198"/>
      <c r="D24" s="199"/>
      <c r="E24" s="199"/>
      <c r="F24" s="200"/>
      <c r="G24" s="200"/>
      <c r="H24" s="153" t="n">
        <f aca="false">VLOOKUP(A24,'Thuc te theo thang'!$A$4:$I$309,8,FALSE())</f>
        <v>0</v>
      </c>
      <c r="I24" s="153" t="n">
        <f aca="false">VLOOKUP(A24,'Thuc te theo thang'!$A$4:$I$309,9,FALSE())</f>
        <v>0</v>
      </c>
      <c r="J24" s="153"/>
      <c r="K24" s="153" t="n">
        <f aca="false">H24-I24-J24</f>
        <v>0</v>
      </c>
      <c r="L24" s="153"/>
      <c r="M24" s="153"/>
    </row>
    <row r="25" customFormat="false" ht="18.75" hidden="false" customHeight="false" outlineLevel="0" collapsed="false">
      <c r="A25" s="196" t="s">
        <v>201</v>
      </c>
      <c r="B25" s="197"/>
      <c r="C25" s="198"/>
      <c r="D25" s="199"/>
      <c r="E25" s="199"/>
      <c r="F25" s="200"/>
      <c r="G25" s="207"/>
      <c r="H25" s="153" t="n">
        <f aca="false">VLOOKUP(A25,'Thuc te theo thang'!$A$4:$I$309,8,FALSE())</f>
        <v>0</v>
      </c>
      <c r="I25" s="153" t="n">
        <f aca="false">VLOOKUP(A25,'Thuc te theo thang'!$A$4:$I$309,9,FALSE())</f>
        <v>0</v>
      </c>
      <c r="J25" s="153"/>
      <c r="K25" s="153" t="n">
        <f aca="false">H25-I25-J25</f>
        <v>0</v>
      </c>
      <c r="L25" s="153"/>
      <c r="M25" s="153"/>
    </row>
    <row r="26" customFormat="false" ht="18.75" hidden="false" customHeight="false" outlineLevel="0" collapsed="false">
      <c r="A26" s="196" t="s">
        <v>202</v>
      </c>
      <c r="B26" s="197"/>
      <c r="C26" s="198"/>
      <c r="D26" s="199"/>
      <c r="E26" s="199"/>
      <c r="F26" s="200"/>
      <c r="G26" s="200"/>
      <c r="H26" s="153" t="n">
        <f aca="false">VLOOKUP(A26,'Thuc te theo thang'!$A$4:$I$309,8,FALSE())</f>
        <v>0</v>
      </c>
      <c r="I26" s="153" t="n">
        <f aca="false">VLOOKUP(A26,'Thuc te theo thang'!$A$4:$I$309,9,FALSE())</f>
        <v>0</v>
      </c>
      <c r="J26" s="153"/>
      <c r="K26" s="153" t="n">
        <f aca="false">H26-I26-J26</f>
        <v>0</v>
      </c>
      <c r="L26" s="153"/>
      <c r="M26" s="153"/>
    </row>
    <row r="27" customFormat="false" ht="18.75" hidden="false" customHeight="false" outlineLevel="0" collapsed="false">
      <c r="A27" s="196" t="s">
        <v>203</v>
      </c>
      <c r="B27" s="197"/>
      <c r="C27" s="198"/>
      <c r="D27" s="199"/>
      <c r="E27" s="199"/>
      <c r="F27" s="200"/>
      <c r="G27" s="207"/>
      <c r="H27" s="153" t="n">
        <f aca="false">VLOOKUP(A27,'Thuc te theo thang'!$A$4:$I$309,8,FALSE())</f>
        <v>0</v>
      </c>
      <c r="I27" s="153" t="n">
        <f aca="false">VLOOKUP(A27,'Thuc te theo thang'!$A$4:$I$309,9,FALSE())</f>
        <v>0</v>
      </c>
      <c r="J27" s="153"/>
      <c r="K27" s="153" t="n">
        <f aca="false">H27-I27-J27</f>
        <v>0</v>
      </c>
      <c r="L27" s="153"/>
      <c r="M27" s="153"/>
    </row>
    <row r="28" customFormat="false" ht="18.75" hidden="false" customHeight="false" outlineLevel="0" collapsed="false">
      <c r="A28" s="196" t="s">
        <v>204</v>
      </c>
      <c r="B28" s="197"/>
      <c r="C28" s="198"/>
      <c r="D28" s="199"/>
      <c r="E28" s="199"/>
      <c r="F28" s="200"/>
      <c r="G28" s="207"/>
      <c r="H28" s="153" t="n">
        <f aca="false">VLOOKUP(A28,'Thuc te theo thang'!$A$4:$I$309,8,FALSE())</f>
        <v>0</v>
      </c>
      <c r="I28" s="153" t="n">
        <f aca="false">VLOOKUP(A28,'Thuc te theo thang'!$A$4:$I$309,9,FALSE())</f>
        <v>0</v>
      </c>
      <c r="J28" s="153"/>
      <c r="K28" s="153" t="n">
        <f aca="false">H28-I28-J28</f>
        <v>0</v>
      </c>
      <c r="L28" s="153"/>
      <c r="M28" s="153"/>
    </row>
    <row r="29" customFormat="false" ht="18.75" hidden="false" customHeight="false" outlineLevel="0" collapsed="false">
      <c r="A29" s="196" t="s">
        <v>205</v>
      </c>
      <c r="B29" s="197"/>
      <c r="C29" s="198"/>
      <c r="D29" s="199"/>
      <c r="E29" s="199"/>
      <c r="F29" s="200"/>
      <c r="G29" s="207"/>
      <c r="H29" s="153" t="n">
        <f aca="false">VLOOKUP(A29,'Thuc te theo thang'!$A$4:$I$309,8,FALSE())</f>
        <v>0</v>
      </c>
      <c r="I29" s="153" t="n">
        <f aca="false">VLOOKUP(A29,'Thuc te theo thang'!$A$4:$I$309,9,FALSE())</f>
        <v>0</v>
      </c>
      <c r="J29" s="153"/>
      <c r="K29" s="153" t="n">
        <f aca="false">H29-I29-J29</f>
        <v>0</v>
      </c>
      <c r="L29" s="153"/>
      <c r="M29" s="153"/>
    </row>
    <row r="30" customFormat="false" ht="18.75" hidden="false" customHeight="false" outlineLevel="0" collapsed="false">
      <c r="A30" s="196" t="s">
        <v>206</v>
      </c>
      <c r="B30" s="197"/>
      <c r="C30" s="198"/>
      <c r="D30" s="199"/>
      <c r="E30" s="199"/>
      <c r="F30" s="200"/>
      <c r="G30" s="207"/>
      <c r="H30" s="153" t="n">
        <f aca="false">VLOOKUP(A30,'Thuc te theo thang'!$A$4:$I$309,8,FALSE())</f>
        <v>0</v>
      </c>
      <c r="I30" s="153" t="n">
        <f aca="false">VLOOKUP(A30,'Thuc te theo thang'!$A$4:$I$309,9,FALSE())</f>
        <v>0</v>
      </c>
      <c r="J30" s="153"/>
      <c r="K30" s="153" t="n">
        <f aca="false">H30-I30-J30</f>
        <v>0</v>
      </c>
      <c r="L30" s="153"/>
      <c r="M30" s="153"/>
    </row>
    <row r="31" customFormat="false" ht="18.75" hidden="false" customHeight="false" outlineLevel="0" collapsed="false">
      <c r="A31" s="196" t="s">
        <v>207</v>
      </c>
      <c r="B31" s="197"/>
      <c r="C31" s="198"/>
      <c r="D31" s="199"/>
      <c r="E31" s="199"/>
      <c r="F31" s="200"/>
      <c r="G31" s="200"/>
      <c r="H31" s="153" t="n">
        <f aca="false">VLOOKUP(A31,'Thuc te theo thang'!$A$4:$I$309,8,FALSE())</f>
        <v>0</v>
      </c>
      <c r="I31" s="153" t="n">
        <f aca="false">VLOOKUP(A31,'Thuc te theo thang'!$A$4:$I$309,9,FALSE())</f>
        <v>0</v>
      </c>
      <c r="J31" s="153"/>
      <c r="K31" s="153" t="n">
        <f aca="false">H31-I31-J31</f>
        <v>0</v>
      </c>
      <c r="L31" s="153"/>
      <c r="M31" s="153"/>
    </row>
    <row r="32" customFormat="false" ht="18.75" hidden="false" customHeight="false" outlineLevel="0" collapsed="false">
      <c r="A32" s="196" t="s">
        <v>208</v>
      </c>
      <c r="B32" s="197"/>
      <c r="C32" s="198"/>
      <c r="D32" s="199"/>
      <c r="E32" s="199"/>
      <c r="F32" s="200"/>
      <c r="G32" s="207"/>
      <c r="H32" s="153" t="n">
        <f aca="false">VLOOKUP(A32,'Thuc te theo thang'!$A$4:$I$309,8,FALSE())</f>
        <v>0</v>
      </c>
      <c r="I32" s="153" t="n">
        <f aca="false">VLOOKUP(A32,'Thuc te theo thang'!$A$4:$I$309,9,FALSE())</f>
        <v>0</v>
      </c>
      <c r="J32" s="153"/>
      <c r="K32" s="153" t="n">
        <f aca="false">H32-I32-J32</f>
        <v>0</v>
      </c>
      <c r="L32" s="153"/>
      <c r="M32" s="153"/>
    </row>
    <row r="33" customFormat="false" ht="18.75" hidden="false" customHeight="false" outlineLevel="0" collapsed="false">
      <c r="A33" s="196" t="s">
        <v>209</v>
      </c>
      <c r="B33" s="197"/>
      <c r="C33" s="198"/>
      <c r="D33" s="199"/>
      <c r="E33" s="199"/>
      <c r="F33" s="200"/>
      <c r="G33" s="207"/>
      <c r="H33" s="153" t="n">
        <f aca="false">VLOOKUP(A33,'Thuc te theo thang'!$A$4:$I$309,8,FALSE())</f>
        <v>0</v>
      </c>
      <c r="I33" s="153" t="n">
        <f aca="false">VLOOKUP(A33,'Thuc te theo thang'!$A$4:$I$309,9,FALSE())</f>
        <v>0</v>
      </c>
      <c r="J33" s="153"/>
      <c r="K33" s="153" t="n">
        <f aca="false">H33-I33-J33</f>
        <v>0</v>
      </c>
      <c r="L33" s="153"/>
      <c r="M33" s="153"/>
    </row>
    <row r="34" customFormat="false" ht="18.75" hidden="false" customHeight="false" outlineLevel="0" collapsed="false">
      <c r="A34" s="196" t="s">
        <v>210</v>
      </c>
      <c r="B34" s="197"/>
      <c r="C34" s="198"/>
      <c r="D34" s="199"/>
      <c r="E34" s="199"/>
      <c r="F34" s="200"/>
      <c r="G34" s="201"/>
      <c r="H34" s="153" t="n">
        <f aca="false">VLOOKUP(A34,'Thuc te theo thang'!$A$4:$I$309,8,FALSE())</f>
        <v>0</v>
      </c>
      <c r="I34" s="153" t="n">
        <f aca="false">VLOOKUP(A34,'Thuc te theo thang'!$A$4:$I$309,9,FALSE())</f>
        <v>0</v>
      </c>
      <c r="J34" s="153"/>
      <c r="K34" s="153" t="n">
        <f aca="false">H34-I34-J34</f>
        <v>0</v>
      </c>
      <c r="L34" s="153"/>
      <c r="M34" s="153"/>
    </row>
    <row r="35" customFormat="false" ht="18.75" hidden="false" customHeight="false" outlineLevel="0" collapsed="false">
      <c r="A35" s="196" t="s">
        <v>211</v>
      </c>
      <c r="B35" s="197"/>
      <c r="C35" s="198"/>
      <c r="D35" s="199"/>
      <c r="E35" s="199"/>
      <c r="F35" s="200"/>
      <c r="G35" s="207"/>
      <c r="H35" s="153" t="n">
        <f aca="false">VLOOKUP(A35,'Thuc te theo thang'!$A$4:$I$309,8,FALSE())</f>
        <v>0</v>
      </c>
      <c r="I35" s="153" t="n">
        <f aca="false">VLOOKUP(A35,'Thuc te theo thang'!$A$4:$I$309,9,FALSE())</f>
        <v>0</v>
      </c>
      <c r="J35" s="153"/>
      <c r="K35" s="153" t="n">
        <f aca="false">H35-I35-J35</f>
        <v>0</v>
      </c>
      <c r="L35" s="153"/>
      <c r="M35" s="153"/>
    </row>
    <row r="36" customFormat="false" ht="18.75" hidden="false" customHeight="false" outlineLevel="0" collapsed="false">
      <c r="A36" s="196" t="s">
        <v>212</v>
      </c>
      <c r="B36" s="197"/>
      <c r="C36" s="198"/>
      <c r="D36" s="199"/>
      <c r="E36" s="199"/>
      <c r="F36" s="200"/>
      <c r="G36" s="201"/>
      <c r="H36" s="153" t="n">
        <f aca="false">VLOOKUP(A36,'Thuc te theo thang'!$A$4:$I$309,8,FALSE())</f>
        <v>0</v>
      </c>
      <c r="I36" s="153" t="n">
        <f aca="false">VLOOKUP(A36,'Thuc te theo thang'!$A$4:$I$309,9,FALSE())</f>
        <v>0</v>
      </c>
      <c r="J36" s="153"/>
      <c r="K36" s="153" t="n">
        <f aca="false">H36-I36-J36</f>
        <v>0</v>
      </c>
      <c r="L36" s="153"/>
      <c r="M36" s="153"/>
    </row>
    <row r="37" customFormat="false" ht="18.75" hidden="false" customHeight="false" outlineLevel="0" collapsed="false">
      <c r="A37" s="196" t="s">
        <v>213</v>
      </c>
      <c r="B37" s="197"/>
      <c r="C37" s="198"/>
      <c r="D37" s="199"/>
      <c r="E37" s="199"/>
      <c r="F37" s="200"/>
      <c r="G37" s="201"/>
      <c r="H37" s="153" t="n">
        <f aca="false">VLOOKUP(A37,'Thuc te theo thang'!$A$4:$I$309,8,FALSE())</f>
        <v>0</v>
      </c>
      <c r="I37" s="153" t="n">
        <f aca="false">VLOOKUP(A37,'Thuc te theo thang'!$A$4:$I$309,9,FALSE())</f>
        <v>0</v>
      </c>
      <c r="J37" s="153"/>
      <c r="K37" s="153" t="n">
        <f aca="false">H37-I37-J37</f>
        <v>0</v>
      </c>
      <c r="L37" s="153"/>
      <c r="M37" s="153"/>
    </row>
    <row r="38" customFormat="false" ht="18.75" hidden="false" customHeight="false" outlineLevel="0" collapsed="false">
      <c r="A38" s="196" t="s">
        <v>214</v>
      </c>
      <c r="B38" s="209"/>
      <c r="C38" s="198"/>
      <c r="D38" s="199"/>
      <c r="E38" s="199"/>
      <c r="F38" s="200"/>
      <c r="G38" s="201"/>
      <c r="H38" s="153" t="n">
        <f aca="false">VLOOKUP(A38,'Thuc te theo thang'!$A$4:$I$309,8,FALSE())</f>
        <v>0</v>
      </c>
      <c r="I38" s="153" t="n">
        <f aca="false">VLOOKUP(A38,'Thuc te theo thang'!$A$4:$I$309,9,FALSE())</f>
        <v>0</v>
      </c>
      <c r="J38" s="153"/>
      <c r="K38" s="153" t="n">
        <f aca="false">H38-I38-J38</f>
        <v>0</v>
      </c>
      <c r="L38" s="153"/>
      <c r="M38" s="153"/>
    </row>
    <row r="39" customFormat="false" ht="18.75" hidden="false" customHeight="false" outlineLevel="0" collapsed="false">
      <c r="A39" s="196" t="s">
        <v>215</v>
      </c>
      <c r="B39" s="197"/>
      <c r="C39" s="198"/>
      <c r="D39" s="199"/>
      <c r="E39" s="199"/>
      <c r="F39" s="200"/>
      <c r="G39" s="201"/>
      <c r="H39" s="153" t="n">
        <f aca="false">VLOOKUP(A39,'Thuc te theo thang'!$A$4:$I$309,8,FALSE())</f>
        <v>0</v>
      </c>
      <c r="I39" s="153" t="n">
        <f aca="false">VLOOKUP(A39,'Thuc te theo thang'!$A$4:$I$309,9,FALSE())</f>
        <v>0</v>
      </c>
      <c r="J39" s="153"/>
      <c r="K39" s="153" t="n">
        <f aca="false">H39-I39-J39</f>
        <v>0</v>
      </c>
      <c r="L39" s="153"/>
      <c r="M39" s="153"/>
    </row>
    <row r="40" customFormat="false" ht="18.75" hidden="false" customHeight="false" outlineLevel="0" collapsed="false">
      <c r="A40" s="196" t="s">
        <v>216</v>
      </c>
      <c r="B40" s="197"/>
      <c r="C40" s="198"/>
      <c r="D40" s="199"/>
      <c r="E40" s="199"/>
      <c r="F40" s="200"/>
      <c r="G40" s="201"/>
      <c r="H40" s="153" t="n">
        <f aca="false">VLOOKUP(A40,'Thuc te theo thang'!$A$4:$I$309,8,FALSE())</f>
        <v>0</v>
      </c>
      <c r="I40" s="153" t="n">
        <f aca="false">VLOOKUP(A40,'Thuc te theo thang'!$A$4:$I$309,9,FALSE())</f>
        <v>0</v>
      </c>
      <c r="J40" s="153"/>
      <c r="K40" s="153" t="n">
        <f aca="false">H40-I40-J40</f>
        <v>0</v>
      </c>
      <c r="L40" s="153"/>
      <c r="M40" s="153"/>
    </row>
    <row r="41" customFormat="false" ht="18.75" hidden="false" customHeight="false" outlineLevel="0" collapsed="false">
      <c r="A41" s="196" t="s">
        <v>217</v>
      </c>
      <c r="B41" s="197"/>
      <c r="C41" s="198"/>
      <c r="D41" s="199"/>
      <c r="E41" s="199"/>
      <c r="F41" s="200"/>
      <c r="G41" s="199"/>
      <c r="H41" s="153" t="n">
        <f aca="false">VLOOKUP(A41,'Thuc te theo thang'!$A$4:$I$309,8,FALSE())</f>
        <v>0</v>
      </c>
      <c r="I41" s="153" t="n">
        <f aca="false">VLOOKUP(A41,'Thuc te theo thang'!$A$4:$I$309,9,FALSE())</f>
        <v>0</v>
      </c>
      <c r="J41" s="153"/>
      <c r="K41" s="153" t="n">
        <f aca="false">H41-I41-J41</f>
        <v>0</v>
      </c>
      <c r="L41" s="153"/>
      <c r="M41" s="153"/>
    </row>
    <row r="42" customFormat="false" ht="18.75" hidden="false" customHeight="false" outlineLevel="0" collapsed="false">
      <c r="A42" s="196" t="s">
        <v>218</v>
      </c>
      <c r="B42" s="197"/>
      <c r="C42" s="198"/>
      <c r="D42" s="199"/>
      <c r="E42" s="199"/>
      <c r="F42" s="200"/>
      <c r="G42" s="199"/>
      <c r="H42" s="153" t="n">
        <f aca="false">VLOOKUP(A42,'Thuc te theo thang'!$A$4:$I$309,8,FALSE())</f>
        <v>0</v>
      </c>
      <c r="I42" s="153" t="n">
        <f aca="false">VLOOKUP(A42,'Thuc te theo thang'!$A$4:$I$309,9,FALSE())</f>
        <v>0</v>
      </c>
      <c r="J42" s="153"/>
      <c r="K42" s="153" t="n">
        <f aca="false">H42-I42-J42</f>
        <v>0</v>
      </c>
      <c r="L42" s="153"/>
      <c r="M42" s="153"/>
    </row>
    <row r="43" customFormat="false" ht="18.75" hidden="false" customHeight="false" outlineLevel="0" collapsed="false">
      <c r="A43" s="196" t="s">
        <v>219</v>
      </c>
      <c r="B43" s="209"/>
      <c r="C43" s="198"/>
      <c r="D43" s="199"/>
      <c r="E43" s="199"/>
      <c r="F43" s="200"/>
      <c r="G43" s="210"/>
      <c r="H43" s="153" t="n">
        <f aca="false">VLOOKUP(A43,'Thuc te theo thang'!$A$4:$I$309,8,FALSE())</f>
        <v>0</v>
      </c>
      <c r="I43" s="153" t="n">
        <f aca="false">VLOOKUP(A43,'Thuc te theo thang'!$A$4:$I$309,9,FALSE())</f>
        <v>0</v>
      </c>
      <c r="J43" s="153"/>
      <c r="K43" s="153" t="n">
        <f aca="false">H43-I43-J43</f>
        <v>0</v>
      </c>
      <c r="L43" s="153"/>
      <c r="M43" s="153"/>
    </row>
    <row r="44" customFormat="false" ht="18.75" hidden="false" customHeight="false" outlineLevel="0" collapsed="false">
      <c r="A44" s="196" t="s">
        <v>220</v>
      </c>
      <c r="B44" s="197"/>
      <c r="C44" s="198"/>
      <c r="D44" s="199"/>
      <c r="E44" s="199"/>
      <c r="F44" s="200"/>
      <c r="G44" s="199"/>
      <c r="H44" s="153" t="n">
        <f aca="false">VLOOKUP(A44,'Thuc te theo thang'!$A$4:$I$309,8,FALSE())</f>
        <v>0</v>
      </c>
      <c r="I44" s="153" t="n">
        <f aca="false">VLOOKUP(A44,'Thuc te theo thang'!$A$4:$I$309,9,FALSE())</f>
        <v>0</v>
      </c>
      <c r="J44" s="153"/>
      <c r="K44" s="153" t="n">
        <f aca="false">H44-I44-J44</f>
        <v>0</v>
      </c>
      <c r="L44" s="153"/>
      <c r="M44" s="153"/>
      <c r="N44" s="113"/>
      <c r="O44" s="113"/>
    </row>
    <row r="45" customFormat="false" ht="18.75" hidden="false" customHeight="false" outlineLevel="0" collapsed="false">
      <c r="A45" s="196" t="s">
        <v>221</v>
      </c>
      <c r="B45" s="197"/>
      <c r="C45" s="198"/>
      <c r="D45" s="199"/>
      <c r="E45" s="199"/>
      <c r="F45" s="207"/>
      <c r="G45" s="201"/>
      <c r="H45" s="153" t="n">
        <f aca="false">VLOOKUP(A45,'Thuc te theo thang'!$A$4:$I$309,8,FALSE())</f>
        <v>0</v>
      </c>
      <c r="I45" s="153" t="n">
        <f aca="false">VLOOKUP(A45,'Thuc te theo thang'!$A$4:$I$309,9,FALSE())</f>
        <v>0</v>
      </c>
      <c r="J45" s="153"/>
      <c r="K45" s="153" t="n">
        <f aca="false">H45-I45-J45</f>
        <v>0</v>
      </c>
      <c r="L45" s="153"/>
      <c r="M45" s="153"/>
      <c r="N45" s="113"/>
      <c r="O45" s="113"/>
    </row>
    <row r="46" customFormat="false" ht="18.75" hidden="false" customHeight="false" outlineLevel="0" collapsed="false">
      <c r="A46" s="196" t="s">
        <v>222</v>
      </c>
      <c r="B46" s="209"/>
      <c r="C46" s="198"/>
      <c r="D46" s="199"/>
      <c r="E46" s="199"/>
      <c r="F46" s="207"/>
      <c r="G46" s="201"/>
      <c r="H46" s="153" t="n">
        <f aca="false">VLOOKUP(A46,'Thuc te theo thang'!$A$4:$I$309,8,FALSE())</f>
        <v>0</v>
      </c>
      <c r="I46" s="153" t="n">
        <f aca="false">VLOOKUP(A46,'Thuc te theo thang'!$A$4:$I$309,9,FALSE())</f>
        <v>0</v>
      </c>
      <c r="J46" s="153"/>
      <c r="K46" s="153" t="n">
        <f aca="false">H46-I46-J46</f>
        <v>0</v>
      </c>
      <c r="L46" s="153"/>
      <c r="M46" s="153"/>
      <c r="N46" s="113"/>
      <c r="O46" s="113"/>
    </row>
    <row r="47" customFormat="false" ht="18.75" hidden="false" customHeight="false" outlineLevel="0" collapsed="false">
      <c r="A47" s="196" t="s">
        <v>223</v>
      </c>
      <c r="B47" s="209"/>
      <c r="C47" s="198"/>
      <c r="D47" s="199"/>
      <c r="E47" s="199"/>
      <c r="F47" s="200"/>
      <c r="G47" s="199"/>
      <c r="H47" s="153" t="n">
        <f aca="false">VLOOKUP(A47,'Thuc te theo thang'!$A$4:$I$309,8,FALSE())</f>
        <v>0</v>
      </c>
      <c r="I47" s="153" t="n">
        <f aca="false">VLOOKUP(A47,'Thuc te theo thang'!$A$4:$I$309,9,FALSE())</f>
        <v>0</v>
      </c>
      <c r="J47" s="153"/>
      <c r="K47" s="153" t="n">
        <f aca="false">H47-I47-J47</f>
        <v>0</v>
      </c>
      <c r="L47" s="153"/>
      <c r="M47" s="153"/>
      <c r="N47" s="113"/>
      <c r="O47" s="113"/>
    </row>
    <row r="48" customFormat="false" ht="18.75" hidden="false" customHeight="false" outlineLevel="0" collapsed="false">
      <c r="A48" s="196" t="s">
        <v>224</v>
      </c>
      <c r="B48" s="209"/>
      <c r="C48" s="198"/>
      <c r="D48" s="199"/>
      <c r="E48" s="199"/>
      <c r="F48" s="200"/>
      <c r="G48" s="199"/>
      <c r="H48" s="153" t="n">
        <f aca="false">VLOOKUP(A48,'Thuc te theo thang'!$A$4:$I$309,8,FALSE())</f>
        <v>0</v>
      </c>
      <c r="I48" s="153" t="n">
        <f aca="false">VLOOKUP(A48,'Thuc te theo thang'!$A$4:$I$309,9,FALSE())</f>
        <v>0</v>
      </c>
      <c r="J48" s="153"/>
      <c r="K48" s="153" t="n">
        <f aca="false">H48-I48-J48</f>
        <v>0</v>
      </c>
      <c r="L48" s="153"/>
      <c r="M48" s="153"/>
      <c r="N48" s="113"/>
      <c r="O48" s="113"/>
    </row>
    <row r="49" customFormat="false" ht="18.75" hidden="false" customHeight="false" outlineLevel="0" collapsed="false">
      <c r="A49" s="196" t="s">
        <v>225</v>
      </c>
      <c r="B49" s="209"/>
      <c r="C49" s="198"/>
      <c r="D49" s="199"/>
      <c r="E49" s="199"/>
      <c r="F49" s="200"/>
      <c r="G49" s="199"/>
      <c r="H49" s="153" t="n">
        <f aca="false">VLOOKUP(A49,'Thuc te theo thang'!$A$4:$I$309,8,FALSE())</f>
        <v>0</v>
      </c>
      <c r="I49" s="153" t="n">
        <f aca="false">VLOOKUP(A49,'Thuc te theo thang'!$A$4:$I$309,9,FALSE())</f>
        <v>0</v>
      </c>
      <c r="J49" s="153"/>
      <c r="K49" s="153" t="n">
        <f aca="false">H49-I49-J49</f>
        <v>0</v>
      </c>
      <c r="L49" s="153"/>
      <c r="M49" s="153"/>
      <c r="N49" s="113"/>
      <c r="O49" s="113"/>
    </row>
    <row r="50" customFormat="false" ht="18.75" hidden="false" customHeight="false" outlineLevel="0" collapsed="false">
      <c r="A50" s="196" t="s">
        <v>226</v>
      </c>
      <c r="B50" s="211"/>
      <c r="C50" s="198"/>
      <c r="D50" s="199"/>
      <c r="E50" s="199"/>
      <c r="F50" s="200"/>
      <c r="G50" s="201"/>
      <c r="H50" s="153" t="n">
        <f aca="false">VLOOKUP(A50,'Thuc te theo thang'!$A$4:$I$309,8,FALSE())</f>
        <v>0</v>
      </c>
      <c r="I50" s="153" t="n">
        <f aca="false">VLOOKUP(A50,'Thuc te theo thang'!$A$4:$I$309,9,FALSE())</f>
        <v>0</v>
      </c>
      <c r="J50" s="153"/>
      <c r="K50" s="153" t="n">
        <f aca="false">H50-I50-J50</f>
        <v>0</v>
      </c>
      <c r="L50" s="153"/>
      <c r="M50" s="153"/>
      <c r="N50" s="113"/>
      <c r="O50" s="113"/>
    </row>
    <row r="51" customFormat="false" ht="18.75" hidden="false" customHeight="false" outlineLevel="0" collapsed="false">
      <c r="A51" s="196" t="s">
        <v>227</v>
      </c>
      <c r="B51" s="211"/>
      <c r="C51" s="198"/>
      <c r="D51" s="199"/>
      <c r="E51" s="199"/>
      <c r="F51" s="200"/>
      <c r="G51" s="201"/>
      <c r="H51" s="153" t="n">
        <f aca="false">VLOOKUP(A51,'Thuc te theo thang'!$A$4:$I$309,8,FALSE())</f>
        <v>0</v>
      </c>
      <c r="I51" s="153" t="n">
        <f aca="false">VLOOKUP(A51,'Thuc te theo thang'!$A$4:$I$309,9,FALSE())</f>
        <v>0</v>
      </c>
      <c r="J51" s="153"/>
      <c r="K51" s="153" t="n">
        <f aca="false">H51-I51-J51</f>
        <v>0</v>
      </c>
      <c r="L51" s="153"/>
      <c r="M51" s="153"/>
      <c r="N51" s="113"/>
      <c r="O51" s="113"/>
    </row>
    <row r="52" customFormat="false" ht="18.75" hidden="false" customHeight="false" outlineLevel="0" collapsed="false">
      <c r="A52" s="196" t="s">
        <v>228</v>
      </c>
      <c r="B52" s="209"/>
      <c r="C52" s="198"/>
      <c r="D52" s="199"/>
      <c r="E52" s="199"/>
      <c r="F52" s="200"/>
      <c r="G52" s="201"/>
      <c r="H52" s="153" t="n">
        <f aca="false">VLOOKUP(A52,'Thuc te theo thang'!$A$4:$I$309,8,FALSE())</f>
        <v>0</v>
      </c>
      <c r="I52" s="153" t="n">
        <f aca="false">VLOOKUP(A52,'Thuc te theo thang'!$A$4:$I$309,9,FALSE())</f>
        <v>0</v>
      </c>
      <c r="J52" s="153"/>
      <c r="K52" s="153" t="n">
        <f aca="false">H52-I52-J52</f>
        <v>0</v>
      </c>
      <c r="L52" s="153"/>
      <c r="M52" s="153"/>
      <c r="N52" s="113"/>
      <c r="O52" s="113"/>
    </row>
    <row r="53" customFormat="false" ht="18.75" hidden="false" customHeight="false" outlineLevel="0" collapsed="false">
      <c r="A53" s="196" t="s">
        <v>229</v>
      </c>
      <c r="B53" s="209"/>
      <c r="C53" s="198"/>
      <c r="D53" s="199"/>
      <c r="E53" s="199"/>
      <c r="F53" s="200"/>
      <c r="G53" s="201"/>
      <c r="H53" s="153" t="n">
        <f aca="false">VLOOKUP(A53,'Thuc te theo thang'!$A$4:$I$309,8,FALSE())</f>
        <v>0</v>
      </c>
      <c r="I53" s="153" t="n">
        <f aca="false">VLOOKUP(A53,'Thuc te theo thang'!$A$4:$I$309,9,FALSE())</f>
        <v>0</v>
      </c>
      <c r="J53" s="153"/>
      <c r="K53" s="153" t="n">
        <f aca="false">H53-I53-J53</f>
        <v>0</v>
      </c>
      <c r="L53" s="153"/>
      <c r="M53" s="153"/>
      <c r="N53" s="113"/>
      <c r="O53" s="113"/>
    </row>
    <row r="54" customFormat="false" ht="18.75" hidden="false" customHeight="false" outlineLevel="0" collapsed="false">
      <c r="A54" s="196" t="s">
        <v>230</v>
      </c>
      <c r="B54" s="209"/>
      <c r="C54" s="198"/>
      <c r="D54" s="199"/>
      <c r="E54" s="199"/>
      <c r="F54" s="200"/>
      <c r="G54" s="201"/>
      <c r="H54" s="153" t="n">
        <f aca="false">VLOOKUP(A54,'Thuc te theo thang'!$A$4:$I$309,8,FALSE())</f>
        <v>0</v>
      </c>
      <c r="I54" s="153" t="n">
        <f aca="false">VLOOKUP(A54,'Thuc te theo thang'!$A$4:$I$309,9,FALSE())</f>
        <v>0</v>
      </c>
      <c r="J54" s="153"/>
      <c r="K54" s="153" t="n">
        <f aca="false">H54-I54-J54</f>
        <v>0</v>
      </c>
      <c r="L54" s="153"/>
      <c r="M54" s="153"/>
      <c r="N54" s="113"/>
      <c r="O54" s="113"/>
    </row>
    <row r="55" customFormat="false" ht="18.75" hidden="false" customHeight="false" outlineLevel="0" collapsed="false">
      <c r="A55" s="196" t="s">
        <v>231</v>
      </c>
      <c r="B55" s="212"/>
      <c r="C55" s="198"/>
      <c r="D55" s="199"/>
      <c r="E55" s="199"/>
      <c r="F55" s="200"/>
      <c r="G55" s="201"/>
      <c r="H55" s="153" t="n">
        <f aca="false">VLOOKUP(A55,'Thuc te theo thang'!$A$4:$I$309,8,FALSE())</f>
        <v>0</v>
      </c>
      <c r="I55" s="153" t="n">
        <f aca="false">VLOOKUP(A55,'Thuc te theo thang'!$A$4:$I$309,9,FALSE())</f>
        <v>0</v>
      </c>
      <c r="J55" s="153"/>
      <c r="K55" s="153" t="n">
        <f aca="false">H55-I55-J55</f>
        <v>0</v>
      </c>
      <c r="L55" s="153"/>
      <c r="M55" s="153"/>
      <c r="N55" s="113"/>
      <c r="O55" s="113"/>
    </row>
    <row r="56" customFormat="false" ht="18.75" hidden="false" customHeight="false" outlineLevel="0" collapsed="false">
      <c r="A56" s="196" t="s">
        <v>232</v>
      </c>
      <c r="B56" s="211"/>
      <c r="C56" s="198"/>
      <c r="D56" s="199"/>
      <c r="E56" s="199"/>
      <c r="F56" s="200"/>
      <c r="G56" s="201"/>
      <c r="H56" s="153" t="n">
        <f aca="false">VLOOKUP(A56,'Thuc te theo thang'!$A$4:$I$309,8,FALSE())</f>
        <v>0</v>
      </c>
      <c r="I56" s="153" t="n">
        <f aca="false">VLOOKUP(A56,'Thuc te theo thang'!$A$4:$I$309,9,FALSE())</f>
        <v>0</v>
      </c>
      <c r="J56" s="153"/>
      <c r="K56" s="153" t="n">
        <f aca="false">H56-I56-J56</f>
        <v>0</v>
      </c>
      <c r="L56" s="153"/>
      <c r="M56" s="153"/>
      <c r="N56" s="113"/>
      <c r="O56" s="113"/>
    </row>
    <row r="57" customFormat="false" ht="18.75" hidden="false" customHeight="false" outlineLevel="0" collapsed="false">
      <c r="A57" s="196" t="s">
        <v>233</v>
      </c>
      <c r="B57" s="197"/>
      <c r="C57" s="198"/>
      <c r="D57" s="199"/>
      <c r="E57" s="199"/>
      <c r="F57" s="200"/>
      <c r="G57" s="201"/>
      <c r="H57" s="153" t="n">
        <f aca="false">VLOOKUP(A57,'Thuc te theo thang'!$A$4:$I$309,8,FALSE())</f>
        <v>0</v>
      </c>
      <c r="I57" s="153" t="n">
        <f aca="false">VLOOKUP(A57,'Thuc te theo thang'!$A$4:$I$309,9,FALSE())</f>
        <v>0</v>
      </c>
      <c r="J57" s="153"/>
      <c r="K57" s="153" t="n">
        <f aca="false">H57-I57-J57</f>
        <v>0</v>
      </c>
      <c r="L57" s="153"/>
      <c r="M57" s="153"/>
      <c r="N57" s="113"/>
      <c r="O57" s="113"/>
    </row>
    <row r="58" customFormat="false" ht="18.75" hidden="false" customHeight="false" outlineLevel="0" collapsed="false">
      <c r="A58" s="196" t="s">
        <v>234</v>
      </c>
      <c r="B58" s="209"/>
      <c r="C58" s="198"/>
      <c r="D58" s="199"/>
      <c r="E58" s="199"/>
      <c r="F58" s="200"/>
      <c r="G58" s="201"/>
      <c r="H58" s="153" t="n">
        <f aca="false">VLOOKUP(A58,'Thuc te theo thang'!$A$4:$I$309,8,FALSE())</f>
        <v>0</v>
      </c>
      <c r="I58" s="153" t="n">
        <f aca="false">VLOOKUP(A58,'Thuc te theo thang'!$A$4:$I$309,9,FALSE())</f>
        <v>0</v>
      </c>
      <c r="J58" s="153"/>
      <c r="K58" s="153" t="n">
        <f aca="false">H58-I58-J58</f>
        <v>0</v>
      </c>
      <c r="L58" s="153"/>
      <c r="M58" s="153"/>
      <c r="N58" s="113"/>
      <c r="O58" s="113"/>
    </row>
    <row r="59" customFormat="false" ht="18.75" hidden="false" customHeight="false" outlineLevel="0" collapsed="false">
      <c r="A59" s="196" t="s">
        <v>235</v>
      </c>
      <c r="B59" s="197"/>
      <c r="C59" s="198"/>
      <c r="D59" s="199"/>
      <c r="E59" s="199"/>
      <c r="F59" s="200"/>
      <c r="G59" s="201"/>
      <c r="H59" s="153" t="n">
        <f aca="false">VLOOKUP(A59,'Thuc te theo thang'!$A$4:$I$309,8,FALSE())</f>
        <v>0</v>
      </c>
      <c r="I59" s="153" t="n">
        <f aca="false">VLOOKUP(A59,'Thuc te theo thang'!$A$4:$I$309,9,FALSE())</f>
        <v>0</v>
      </c>
      <c r="J59" s="153"/>
      <c r="K59" s="153" t="n">
        <f aca="false">H59-I59-J59</f>
        <v>0</v>
      </c>
      <c r="L59" s="153"/>
      <c r="M59" s="153"/>
      <c r="N59" s="113"/>
      <c r="O59" s="113"/>
    </row>
    <row r="60" customFormat="false" ht="18.75" hidden="false" customHeight="false" outlineLevel="0" collapsed="false">
      <c r="A60" s="196" t="s">
        <v>236</v>
      </c>
      <c r="B60" s="197"/>
      <c r="C60" s="198"/>
      <c r="D60" s="199"/>
      <c r="E60" s="199"/>
      <c r="F60" s="200"/>
      <c r="G60" s="201"/>
      <c r="H60" s="153" t="n">
        <f aca="false">VLOOKUP(A60,'Thuc te theo thang'!$A$4:$I$309,8,FALSE())</f>
        <v>0</v>
      </c>
      <c r="I60" s="153" t="n">
        <f aca="false">VLOOKUP(A60,'Thuc te theo thang'!$A$4:$I$309,9,FALSE())</f>
        <v>0</v>
      </c>
      <c r="J60" s="153"/>
      <c r="K60" s="153" t="n">
        <f aca="false">H60-I60-J60</f>
        <v>0</v>
      </c>
      <c r="L60" s="153"/>
      <c r="M60" s="153"/>
      <c r="N60" s="113"/>
    </row>
    <row r="61" customFormat="false" ht="18.75" hidden="false" customHeight="false" outlineLevel="0" collapsed="false">
      <c r="A61" s="196" t="s">
        <v>237</v>
      </c>
      <c r="B61" s="197"/>
      <c r="C61" s="198"/>
      <c r="D61" s="199"/>
      <c r="E61" s="199"/>
      <c r="F61" s="200"/>
      <c r="G61" s="201"/>
      <c r="H61" s="153" t="n">
        <f aca="false">VLOOKUP(A61,'Thuc te theo thang'!$A$4:$I$309,8,FALSE())</f>
        <v>0</v>
      </c>
      <c r="I61" s="153" t="n">
        <f aca="false">VLOOKUP(A61,'Thuc te theo thang'!$A$4:$I$309,9,FALSE())</f>
        <v>0</v>
      </c>
      <c r="J61" s="153"/>
      <c r="K61" s="153" t="n">
        <f aca="false">H61-I61-J61</f>
        <v>0</v>
      </c>
      <c r="L61" s="153"/>
      <c r="M61" s="153"/>
      <c r="N61" s="113"/>
    </row>
    <row r="62" customFormat="false" ht="18.75" hidden="false" customHeight="false" outlineLevel="0" collapsed="false">
      <c r="A62" s="196" t="s">
        <v>238</v>
      </c>
      <c r="B62" s="209"/>
      <c r="C62" s="198"/>
      <c r="D62" s="199"/>
      <c r="E62" s="199"/>
      <c r="F62" s="200"/>
      <c r="G62" s="201"/>
      <c r="H62" s="153" t="n">
        <f aca="false">VLOOKUP(A62,'Thuc te theo thang'!$A$4:$I$309,8,FALSE())</f>
        <v>0</v>
      </c>
      <c r="I62" s="153" t="n">
        <f aca="false">VLOOKUP(A62,'Thuc te theo thang'!$A$4:$I$309,9,FALSE())</f>
        <v>0</v>
      </c>
      <c r="J62" s="153"/>
      <c r="K62" s="153" t="n">
        <f aca="false">H62-I62-J62</f>
        <v>0</v>
      </c>
      <c r="L62" s="153"/>
      <c r="M62" s="153"/>
      <c r="N62" s="113"/>
    </row>
    <row r="63" customFormat="false" ht="18.75" hidden="false" customHeight="false" outlineLevel="0" collapsed="false">
      <c r="A63" s="196" t="s">
        <v>239</v>
      </c>
      <c r="B63" s="197"/>
      <c r="C63" s="198"/>
      <c r="D63" s="199"/>
      <c r="E63" s="199"/>
      <c r="F63" s="200"/>
      <c r="G63" s="201"/>
      <c r="H63" s="153" t="n">
        <f aca="false">VLOOKUP(A63,'Thuc te theo thang'!$A$4:$I$309,8,FALSE())</f>
        <v>0</v>
      </c>
      <c r="I63" s="153" t="n">
        <f aca="false">VLOOKUP(A63,'Thuc te theo thang'!$A$4:$I$309,9,FALSE())</f>
        <v>0</v>
      </c>
      <c r="J63" s="153"/>
      <c r="K63" s="153" t="n">
        <f aca="false">H63-I63-J63</f>
        <v>0</v>
      </c>
      <c r="L63" s="153"/>
      <c r="M63" s="153"/>
      <c r="N63" s="113"/>
    </row>
    <row r="64" customFormat="false" ht="18.75" hidden="false" customHeight="false" outlineLevel="0" collapsed="false">
      <c r="A64" s="196" t="s">
        <v>240</v>
      </c>
      <c r="B64" s="197"/>
      <c r="C64" s="198"/>
      <c r="D64" s="199"/>
      <c r="E64" s="199"/>
      <c r="F64" s="200"/>
      <c r="G64" s="201"/>
      <c r="H64" s="153" t="n">
        <f aca="false">VLOOKUP(A64,'Thuc te theo thang'!$A$4:$I$309,8,FALSE())</f>
        <v>0</v>
      </c>
      <c r="I64" s="153" t="n">
        <f aca="false">VLOOKUP(A64,'Thuc te theo thang'!$A$4:$I$309,9,FALSE())</f>
        <v>0</v>
      </c>
      <c r="J64" s="153"/>
      <c r="K64" s="153" t="n">
        <f aca="false">H64-I64-J64</f>
        <v>0</v>
      </c>
      <c r="L64" s="153"/>
      <c r="M64" s="153"/>
      <c r="N64" s="113"/>
    </row>
    <row r="65" customFormat="false" ht="18.75" hidden="false" customHeight="false" outlineLevel="0" collapsed="false">
      <c r="A65" s="196" t="s">
        <v>241</v>
      </c>
      <c r="B65" s="197"/>
      <c r="C65" s="198"/>
      <c r="D65" s="199"/>
      <c r="E65" s="199"/>
      <c r="F65" s="200"/>
      <c r="G65" s="201"/>
      <c r="H65" s="153" t="n">
        <f aca="false">VLOOKUP(A65,'Thuc te theo thang'!$A$4:$I$309,8,FALSE())</f>
        <v>0</v>
      </c>
      <c r="I65" s="153" t="n">
        <f aca="false">VLOOKUP(A65,'Thuc te theo thang'!$A$4:$I$309,9,FALSE())</f>
        <v>0</v>
      </c>
      <c r="J65" s="153"/>
      <c r="K65" s="153" t="n">
        <f aca="false">H65-I65-J65</f>
        <v>0</v>
      </c>
      <c r="L65" s="153"/>
      <c r="M65" s="153"/>
      <c r="N65" s="113"/>
    </row>
    <row r="66" customFormat="false" ht="18.75" hidden="false" customHeight="false" outlineLevel="0" collapsed="false">
      <c r="A66" s="196" t="s">
        <v>242</v>
      </c>
      <c r="B66" s="197"/>
      <c r="C66" s="198"/>
      <c r="D66" s="199"/>
      <c r="E66" s="199"/>
      <c r="F66" s="200"/>
      <c r="G66" s="201"/>
      <c r="H66" s="153" t="n">
        <f aca="false">VLOOKUP(A66,'Thuc te theo thang'!$A$4:$I$309,8,FALSE())</f>
        <v>0</v>
      </c>
      <c r="I66" s="153" t="n">
        <f aca="false">VLOOKUP(A66,'Thuc te theo thang'!$A$4:$I$309,9,FALSE())</f>
        <v>0</v>
      </c>
      <c r="J66" s="153"/>
      <c r="K66" s="153" t="n">
        <f aca="false">H66-I66-J66</f>
        <v>0</v>
      </c>
      <c r="L66" s="153"/>
      <c r="M66" s="153"/>
      <c r="N66" s="113"/>
    </row>
    <row r="67" customFormat="false" ht="18.75" hidden="false" customHeight="false" outlineLevel="0" collapsed="false">
      <c r="A67" s="196" t="s">
        <v>243</v>
      </c>
      <c r="B67" s="197"/>
      <c r="C67" s="198"/>
      <c r="D67" s="199"/>
      <c r="E67" s="199"/>
      <c r="F67" s="200"/>
      <c r="G67" s="201"/>
      <c r="H67" s="153" t="n">
        <f aca="false">VLOOKUP(A67,'Thuc te theo thang'!$A$4:$I$309,8,FALSE())</f>
        <v>0</v>
      </c>
      <c r="I67" s="153" t="n">
        <f aca="false">VLOOKUP(A67,'Thuc te theo thang'!$A$4:$I$309,9,FALSE())</f>
        <v>0</v>
      </c>
      <c r="J67" s="153"/>
      <c r="K67" s="153" t="n">
        <f aca="false">H67-I67-J67</f>
        <v>0</v>
      </c>
      <c r="L67" s="153"/>
      <c r="M67" s="153"/>
      <c r="N67" s="113"/>
    </row>
    <row r="68" customFormat="false" ht="18.75" hidden="false" customHeight="false" outlineLevel="0" collapsed="false">
      <c r="A68" s="196" t="s">
        <v>244</v>
      </c>
      <c r="B68" s="197"/>
      <c r="C68" s="198"/>
      <c r="D68" s="199"/>
      <c r="E68" s="199"/>
      <c r="F68" s="200"/>
      <c r="G68" s="201"/>
      <c r="H68" s="153" t="n">
        <f aca="false">VLOOKUP(A68,'Thuc te theo thang'!$A$4:$I$309,8,FALSE())</f>
        <v>0</v>
      </c>
      <c r="I68" s="153" t="n">
        <f aca="false">VLOOKUP(A68,'Thuc te theo thang'!$A$4:$I$309,9,FALSE())</f>
        <v>0</v>
      </c>
      <c r="J68" s="153"/>
      <c r="K68" s="153" t="n">
        <f aca="false">H68-I68-J68</f>
        <v>0</v>
      </c>
      <c r="L68" s="153"/>
      <c r="M68" s="153"/>
      <c r="N68" s="113"/>
    </row>
    <row r="69" customFormat="false" ht="18.75" hidden="false" customHeight="false" outlineLevel="0" collapsed="false">
      <c r="A69" s="196" t="s">
        <v>245</v>
      </c>
      <c r="B69" s="197"/>
      <c r="C69" s="198"/>
      <c r="D69" s="199"/>
      <c r="E69" s="199"/>
      <c r="F69" s="200"/>
      <c r="G69" s="201"/>
      <c r="H69" s="153" t="n">
        <f aca="false">VLOOKUP(A69,'Thuc te theo thang'!$A$4:$I$309,8,FALSE())</f>
        <v>0</v>
      </c>
      <c r="I69" s="153" t="n">
        <f aca="false">VLOOKUP(A69,'Thuc te theo thang'!$A$4:$I$309,9,FALSE())</f>
        <v>0</v>
      </c>
      <c r="J69" s="153"/>
      <c r="K69" s="153" t="n">
        <f aca="false">H69-I69-J69</f>
        <v>0</v>
      </c>
      <c r="L69" s="153"/>
      <c r="M69" s="153"/>
      <c r="N69" s="113"/>
    </row>
    <row r="70" customFormat="false" ht="18.75" hidden="false" customHeight="false" outlineLevel="0" collapsed="false">
      <c r="A70" s="196" t="s">
        <v>246</v>
      </c>
      <c r="B70" s="197"/>
      <c r="C70" s="198"/>
      <c r="D70" s="199"/>
      <c r="E70" s="199"/>
      <c r="F70" s="200"/>
      <c r="G70" s="199"/>
      <c r="H70" s="153" t="n">
        <f aca="false">VLOOKUP(A70,'Thuc te theo thang'!$A$4:$I$309,8,FALSE())</f>
        <v>0</v>
      </c>
      <c r="I70" s="153" t="n">
        <f aca="false">VLOOKUP(A70,'Thuc te theo thang'!$A$4:$I$309,9,FALSE())</f>
        <v>0</v>
      </c>
      <c r="J70" s="153"/>
      <c r="K70" s="153" t="n">
        <f aca="false">H70-I70-J70</f>
        <v>0</v>
      </c>
      <c r="L70" s="153"/>
      <c r="M70" s="153"/>
      <c r="N70" s="113"/>
    </row>
    <row r="71" customFormat="false" ht="18.75" hidden="false" customHeight="false" outlineLevel="0" collapsed="false">
      <c r="A71" s="196" t="s">
        <v>247</v>
      </c>
      <c r="B71" s="197"/>
      <c r="C71" s="198"/>
      <c r="D71" s="199"/>
      <c r="E71" s="199"/>
      <c r="F71" s="200"/>
      <c r="G71" s="201"/>
      <c r="H71" s="153" t="n">
        <f aca="false">VLOOKUP(A71,'Thuc te theo thang'!$A$4:$I$309,8,FALSE())</f>
        <v>0</v>
      </c>
      <c r="I71" s="153" t="n">
        <f aca="false">VLOOKUP(A71,'Thuc te theo thang'!$A$4:$I$309,9,FALSE())</f>
        <v>0</v>
      </c>
      <c r="J71" s="153"/>
      <c r="K71" s="153" t="n">
        <f aca="false">H71-I71-J71</f>
        <v>0</v>
      </c>
      <c r="L71" s="153"/>
      <c r="M71" s="153"/>
    </row>
    <row r="72" customFormat="false" ht="18.75" hidden="false" customHeight="false" outlineLevel="0" collapsed="false">
      <c r="A72" s="196" t="s">
        <v>248</v>
      </c>
      <c r="B72" s="197"/>
      <c r="C72" s="198"/>
      <c r="D72" s="199"/>
      <c r="E72" s="199"/>
      <c r="F72" s="200"/>
      <c r="G72" s="210"/>
      <c r="H72" s="153" t="n">
        <f aca="false">VLOOKUP(A72,'Thuc te theo thang'!$A$4:$I$309,8,FALSE())</f>
        <v>0</v>
      </c>
      <c r="I72" s="153" t="n">
        <f aca="false">VLOOKUP(A72,'Thuc te theo thang'!$A$4:$I$309,9,FALSE())</f>
        <v>0</v>
      </c>
      <c r="J72" s="153"/>
      <c r="K72" s="153" t="n">
        <f aca="false">H72-I72-J72</f>
        <v>0</v>
      </c>
      <c r="L72" s="153"/>
      <c r="M72" s="153"/>
    </row>
    <row r="73" customFormat="false" ht="18.75" hidden="false" customHeight="false" outlineLevel="0" collapsed="false">
      <c r="A73" s="196" t="s">
        <v>249</v>
      </c>
      <c r="B73" s="197"/>
      <c r="C73" s="198"/>
      <c r="D73" s="199"/>
      <c r="E73" s="199"/>
      <c r="F73" s="200"/>
      <c r="G73" s="201"/>
      <c r="H73" s="153" t="n">
        <f aca="false">VLOOKUP(A73,'Thuc te theo thang'!$A$4:$I$309,8,FALSE())</f>
        <v>0</v>
      </c>
      <c r="I73" s="153" t="n">
        <f aca="false">VLOOKUP(A73,'Thuc te theo thang'!$A$4:$I$309,9,FALSE())</f>
        <v>0</v>
      </c>
      <c r="J73" s="153"/>
      <c r="K73" s="153" t="n">
        <f aca="false">H73-I73-J73</f>
        <v>0</v>
      </c>
      <c r="L73" s="153"/>
      <c r="M73" s="153"/>
    </row>
    <row r="74" customFormat="false" ht="18.75" hidden="false" customHeight="false" outlineLevel="0" collapsed="false">
      <c r="A74" s="196" t="s">
        <v>250</v>
      </c>
      <c r="B74" s="197"/>
      <c r="C74" s="198"/>
      <c r="D74" s="199"/>
      <c r="E74" s="199"/>
      <c r="F74" s="200"/>
      <c r="G74" s="201"/>
      <c r="H74" s="153" t="n">
        <f aca="false">VLOOKUP(A74,'Thuc te theo thang'!$A$4:$I$309,8,FALSE())</f>
        <v>0</v>
      </c>
      <c r="I74" s="153" t="n">
        <f aca="false">VLOOKUP(A74,'Thuc te theo thang'!$A$4:$I$309,9,FALSE())</f>
        <v>0</v>
      </c>
      <c r="J74" s="153"/>
      <c r="K74" s="153" t="n">
        <f aca="false">H74-I74-J74</f>
        <v>0</v>
      </c>
      <c r="L74" s="153"/>
      <c r="M74" s="153"/>
    </row>
    <row r="75" customFormat="false" ht="18.75" hidden="false" customHeight="false" outlineLevel="0" collapsed="false">
      <c r="A75" s="196" t="s">
        <v>251</v>
      </c>
      <c r="B75" s="197"/>
      <c r="C75" s="198"/>
      <c r="D75" s="199"/>
      <c r="E75" s="199"/>
      <c r="F75" s="200"/>
      <c r="G75" s="201"/>
      <c r="H75" s="153" t="n">
        <f aca="false">VLOOKUP(A75,'Thuc te theo thang'!$A$4:$I$309,8,FALSE())</f>
        <v>0</v>
      </c>
      <c r="I75" s="153" t="n">
        <f aca="false">VLOOKUP(A75,'Thuc te theo thang'!$A$4:$I$309,9,FALSE())</f>
        <v>0</v>
      </c>
      <c r="J75" s="153"/>
      <c r="K75" s="153" t="n">
        <f aca="false">H75-I75-J75</f>
        <v>0</v>
      </c>
      <c r="L75" s="153"/>
      <c r="M75" s="153"/>
    </row>
    <row r="76" customFormat="false" ht="18.75" hidden="false" customHeight="false" outlineLevel="0" collapsed="false">
      <c r="A76" s="196" t="s">
        <v>252</v>
      </c>
      <c r="B76" s="197"/>
      <c r="C76" s="198"/>
      <c r="D76" s="199"/>
      <c r="E76" s="199"/>
      <c r="F76" s="200"/>
      <c r="G76" s="201"/>
      <c r="H76" s="153" t="n">
        <f aca="false">VLOOKUP(A76,'Thuc te theo thang'!$A$4:$I$309,8,FALSE())</f>
        <v>0</v>
      </c>
      <c r="I76" s="153" t="n">
        <f aca="false">VLOOKUP(A76,'Thuc te theo thang'!$A$4:$I$309,9,FALSE())</f>
        <v>0</v>
      </c>
      <c r="J76" s="153"/>
      <c r="K76" s="153" t="n">
        <f aca="false">H76-I76-J76</f>
        <v>0</v>
      </c>
      <c r="L76" s="153"/>
      <c r="M76" s="153"/>
    </row>
    <row r="77" customFormat="false" ht="18.75" hidden="false" customHeight="false" outlineLevel="0" collapsed="false">
      <c r="A77" s="196" t="s">
        <v>253</v>
      </c>
      <c r="B77" s="197"/>
      <c r="C77" s="198"/>
      <c r="D77" s="199"/>
      <c r="E77" s="199"/>
      <c r="F77" s="200"/>
      <c r="G77" s="201"/>
      <c r="H77" s="153" t="n">
        <f aca="false">VLOOKUP(A77,'Thuc te theo thang'!$A$4:$I$309,8,FALSE())</f>
        <v>0</v>
      </c>
      <c r="I77" s="153" t="n">
        <f aca="false">VLOOKUP(A77,'Thuc te theo thang'!$A$4:$I$309,9,FALSE())</f>
        <v>0</v>
      </c>
      <c r="J77" s="153"/>
      <c r="K77" s="153"/>
      <c r="L77" s="153"/>
      <c r="M77" s="153"/>
    </row>
    <row r="78" customFormat="false" ht="18.75" hidden="false" customHeight="false" outlineLevel="0" collapsed="false">
      <c r="A78" s="196" t="s">
        <v>254</v>
      </c>
      <c r="B78" s="197"/>
      <c r="C78" s="198"/>
      <c r="D78" s="199"/>
      <c r="E78" s="199"/>
      <c r="F78" s="200"/>
      <c r="G78" s="201"/>
      <c r="H78" s="153" t="n">
        <f aca="false">VLOOKUP(A78,'Thuc te theo thang'!$A$4:$I$309,8,FALSE())</f>
        <v>0</v>
      </c>
      <c r="I78" s="153" t="n">
        <f aca="false">VLOOKUP(A78,'Thuc te theo thang'!$A$4:$I$309,9,FALSE())</f>
        <v>0</v>
      </c>
      <c r="J78" s="153"/>
      <c r="K78" s="153" t="n">
        <f aca="false">H78-I78-J78</f>
        <v>0</v>
      </c>
      <c r="L78" s="153"/>
      <c r="M78" s="153"/>
    </row>
    <row r="79" customFormat="false" ht="18.75" hidden="false" customHeight="false" outlineLevel="0" collapsed="false">
      <c r="A79" s="196" t="s">
        <v>255</v>
      </c>
      <c r="B79" s="197"/>
      <c r="C79" s="198"/>
      <c r="D79" s="199"/>
      <c r="E79" s="199"/>
      <c r="F79" s="200"/>
      <c r="G79" s="201"/>
      <c r="H79" s="153" t="n">
        <f aca="false">VLOOKUP(A79,'Thuc te theo thang'!$A$4:$I$309,8,FALSE())</f>
        <v>0</v>
      </c>
      <c r="I79" s="153" t="n">
        <f aca="false">VLOOKUP(A79,'Thuc te theo thang'!$A$4:$I$309,9,FALSE())</f>
        <v>0</v>
      </c>
      <c r="J79" s="153"/>
      <c r="K79" s="153" t="n">
        <f aca="false">H79-I79-J79</f>
        <v>0</v>
      </c>
      <c r="L79" s="153"/>
      <c r="M79" s="153"/>
    </row>
    <row r="80" customFormat="false" ht="18.75" hidden="false" customHeight="false" outlineLevel="0" collapsed="false">
      <c r="A80" s="196" t="s">
        <v>256</v>
      </c>
      <c r="B80" s="197"/>
      <c r="C80" s="198"/>
      <c r="D80" s="199"/>
      <c r="E80" s="199"/>
      <c r="F80" s="200"/>
      <c r="G80" s="201"/>
      <c r="H80" s="153" t="n">
        <f aca="false">VLOOKUP(A80,'Thuc te theo thang'!$A$4:$I$309,8,FALSE())</f>
        <v>0</v>
      </c>
      <c r="I80" s="153" t="n">
        <f aca="false">VLOOKUP(A80,'Thuc te theo thang'!$A$4:$I$309,9,FALSE())</f>
        <v>0</v>
      </c>
      <c r="J80" s="153"/>
      <c r="K80" s="153" t="n">
        <f aca="false">H80-I80-J80</f>
        <v>0</v>
      </c>
      <c r="L80" s="153"/>
      <c r="M80" s="153"/>
    </row>
    <row r="81" customFormat="false" ht="18.75" hidden="false" customHeight="false" outlineLevel="0" collapsed="false">
      <c r="A81" s="196" t="s">
        <v>257</v>
      </c>
      <c r="B81" s="197"/>
      <c r="C81" s="198"/>
      <c r="D81" s="199"/>
      <c r="E81" s="199"/>
      <c r="F81" s="200"/>
      <c r="G81" s="201"/>
      <c r="H81" s="153" t="n">
        <f aca="false">VLOOKUP(A81,'Thuc te theo thang'!$A$4:$I$309,8,FALSE())</f>
        <v>0</v>
      </c>
      <c r="I81" s="153" t="n">
        <f aca="false">VLOOKUP(A81,'Thuc te theo thang'!$A$4:$I$309,9,FALSE())</f>
        <v>0</v>
      </c>
      <c r="J81" s="153"/>
      <c r="K81" s="153" t="n">
        <f aca="false">H81-I81-J81</f>
        <v>0</v>
      </c>
      <c r="L81" s="153"/>
      <c r="M81" s="153"/>
    </row>
    <row r="82" customFormat="false" ht="18.75" hidden="false" customHeight="false" outlineLevel="0" collapsed="false">
      <c r="A82" s="196" t="s">
        <v>258</v>
      </c>
      <c r="B82" s="197"/>
      <c r="C82" s="198"/>
      <c r="D82" s="199"/>
      <c r="E82" s="199"/>
      <c r="F82" s="200"/>
      <c r="G82" s="201"/>
      <c r="H82" s="153" t="n">
        <f aca="false">VLOOKUP(A82,'Thuc te theo thang'!$A$4:$I$309,8,FALSE())</f>
        <v>0</v>
      </c>
      <c r="I82" s="153" t="n">
        <f aca="false">VLOOKUP(A82,'Thuc te theo thang'!$A$4:$I$309,9,FALSE())</f>
        <v>0</v>
      </c>
      <c r="J82" s="153"/>
      <c r="K82" s="153" t="n">
        <f aca="false">H82-I82-J82</f>
        <v>0</v>
      </c>
      <c r="L82" s="153"/>
      <c r="M82" s="153"/>
    </row>
    <row r="83" customFormat="false" ht="18.75" hidden="false" customHeight="false" outlineLevel="0" collapsed="false">
      <c r="A83" s="196" t="s">
        <v>259</v>
      </c>
      <c r="B83" s="197"/>
      <c r="C83" s="198"/>
      <c r="D83" s="199"/>
      <c r="E83" s="199"/>
      <c r="F83" s="200"/>
      <c r="G83" s="201"/>
      <c r="H83" s="153" t="n">
        <f aca="false">VLOOKUP(A83,'Thuc te theo thang'!$A$4:$I$309,8,FALSE())</f>
        <v>0</v>
      </c>
      <c r="I83" s="153" t="n">
        <f aca="false">VLOOKUP(A83,'Thuc te theo thang'!$A$4:$I$309,9,FALSE())</f>
        <v>0</v>
      </c>
      <c r="J83" s="153"/>
      <c r="K83" s="153" t="n">
        <f aca="false">H83-I83-J83</f>
        <v>0</v>
      </c>
      <c r="L83" s="153"/>
      <c r="M83" s="153"/>
    </row>
    <row r="84" customFormat="false" ht="18.75" hidden="false" customHeight="false" outlineLevel="0" collapsed="false">
      <c r="A84" s="196" t="s">
        <v>260</v>
      </c>
      <c r="B84" s="197"/>
      <c r="C84" s="198"/>
      <c r="D84" s="199"/>
      <c r="E84" s="199"/>
      <c r="F84" s="200"/>
      <c r="G84" s="199"/>
      <c r="H84" s="153" t="n">
        <f aca="false">VLOOKUP(A84,'Thuc te theo thang'!$A$4:$I$309,8,FALSE())</f>
        <v>0</v>
      </c>
      <c r="I84" s="153" t="n">
        <f aca="false">VLOOKUP(A84,'Thuc te theo thang'!$A$4:$I$309,9,FALSE())</f>
        <v>0</v>
      </c>
      <c r="J84" s="153"/>
      <c r="K84" s="153" t="n">
        <f aca="false">H84-I84-J84</f>
        <v>0</v>
      </c>
      <c r="L84" s="153"/>
      <c r="M84" s="153"/>
    </row>
    <row r="85" customFormat="false" ht="18.75" hidden="false" customHeight="false" outlineLevel="0" collapsed="false">
      <c r="A85" s="196" t="s">
        <v>261</v>
      </c>
      <c r="B85" s="197"/>
      <c r="C85" s="198"/>
      <c r="D85" s="199"/>
      <c r="E85" s="199"/>
      <c r="F85" s="200"/>
      <c r="G85" s="201"/>
      <c r="H85" s="153" t="n">
        <f aca="false">VLOOKUP(A85,'Thuc te theo thang'!$A$4:$I$309,8,FALSE())</f>
        <v>0</v>
      </c>
      <c r="I85" s="153" t="n">
        <f aca="false">VLOOKUP(A85,'Thuc te theo thang'!$A$4:$I$309,9,FALSE())</f>
        <v>0</v>
      </c>
      <c r="J85" s="153"/>
      <c r="K85" s="153" t="n">
        <f aca="false">H85-I85-J85</f>
        <v>0</v>
      </c>
      <c r="L85" s="153"/>
      <c r="M85" s="153"/>
    </row>
    <row r="86" customFormat="false" ht="18.75" hidden="false" customHeight="false" outlineLevel="0" collapsed="false">
      <c r="A86" s="196" t="s">
        <v>262</v>
      </c>
      <c r="B86" s="197"/>
      <c r="C86" s="198"/>
      <c r="D86" s="199"/>
      <c r="E86" s="199"/>
      <c r="F86" s="200"/>
      <c r="G86" s="210"/>
      <c r="H86" s="153" t="n">
        <f aca="false">VLOOKUP(A86,'Thuc te theo thang'!$A$4:$I$309,8,FALSE())</f>
        <v>0</v>
      </c>
      <c r="I86" s="153" t="n">
        <f aca="false">VLOOKUP(A86,'Thuc te theo thang'!$A$4:$I$309,9,FALSE())</f>
        <v>0</v>
      </c>
      <c r="J86" s="153"/>
      <c r="K86" s="153" t="n">
        <f aca="false">H86-I86-J86</f>
        <v>0</v>
      </c>
      <c r="L86" s="153"/>
      <c r="M86" s="153"/>
    </row>
    <row r="87" customFormat="false" ht="18.75" hidden="false" customHeight="false" outlineLevel="0" collapsed="false">
      <c r="A87" s="196" t="s">
        <v>263</v>
      </c>
      <c r="B87" s="197"/>
      <c r="C87" s="198"/>
      <c r="D87" s="199"/>
      <c r="E87" s="199"/>
      <c r="F87" s="200"/>
      <c r="G87" s="201"/>
      <c r="H87" s="153" t="n">
        <f aca="false">VLOOKUP(A87,'Thuc te theo thang'!$A$4:$I$309,8,FALSE())</f>
        <v>0</v>
      </c>
      <c r="I87" s="153" t="n">
        <f aca="false">VLOOKUP(A87,'Thuc te theo thang'!$A$4:$I$309,9,FALSE())</f>
        <v>0</v>
      </c>
      <c r="J87" s="153"/>
      <c r="K87" s="153" t="n">
        <f aca="false">H87-I87-J87</f>
        <v>0</v>
      </c>
      <c r="L87" s="153"/>
      <c r="M87" s="153"/>
    </row>
    <row r="88" customFormat="false" ht="18.75" hidden="false" customHeight="false" outlineLevel="0" collapsed="false">
      <c r="A88" s="196" t="s">
        <v>264</v>
      </c>
      <c r="B88" s="197"/>
      <c r="C88" s="198"/>
      <c r="D88" s="199"/>
      <c r="E88" s="199"/>
      <c r="F88" s="200"/>
      <c r="G88" s="201"/>
      <c r="H88" s="153" t="n">
        <f aca="false">VLOOKUP(A88,'Thuc te theo thang'!$A$4:$I$309,8,FALSE())</f>
        <v>0</v>
      </c>
      <c r="I88" s="153" t="n">
        <f aca="false">VLOOKUP(A88,'Thuc te theo thang'!$A$4:$I$309,9,FALSE())</f>
        <v>0</v>
      </c>
      <c r="J88" s="153"/>
      <c r="K88" s="153" t="n">
        <f aca="false">H88-I88-J88</f>
        <v>0</v>
      </c>
      <c r="L88" s="153"/>
      <c r="M88" s="153"/>
    </row>
    <row r="89" customFormat="false" ht="18.75" hidden="false" customHeight="false" outlineLevel="0" collapsed="false">
      <c r="A89" s="196" t="s">
        <v>265</v>
      </c>
      <c r="B89" s="197"/>
      <c r="C89" s="198"/>
      <c r="D89" s="199"/>
      <c r="E89" s="199"/>
      <c r="F89" s="200"/>
      <c r="G89" s="201"/>
      <c r="H89" s="153" t="n">
        <f aca="false">VLOOKUP(A89,'Thuc te theo thang'!$A$4:$I$309,8,FALSE())</f>
        <v>0</v>
      </c>
      <c r="I89" s="153" t="n">
        <f aca="false">VLOOKUP(A89,'Thuc te theo thang'!$A$4:$I$309,9,FALSE())</f>
        <v>0</v>
      </c>
      <c r="J89" s="153"/>
      <c r="K89" s="153" t="n">
        <f aca="false">H89-I89-J89</f>
        <v>0</v>
      </c>
      <c r="L89" s="153"/>
      <c r="M89" s="153"/>
    </row>
    <row r="90" customFormat="false" ht="18.75" hidden="false" customHeight="false" outlineLevel="0" collapsed="false">
      <c r="A90" s="196" t="s">
        <v>266</v>
      </c>
      <c r="B90" s="197"/>
      <c r="C90" s="198"/>
      <c r="D90" s="199"/>
      <c r="E90" s="199"/>
      <c r="F90" s="200"/>
      <c r="G90" s="201"/>
      <c r="H90" s="153" t="n">
        <f aca="false">VLOOKUP(A90,'Thuc te theo thang'!$A$4:$I$309,8,FALSE())</f>
        <v>0</v>
      </c>
      <c r="I90" s="153" t="n">
        <f aca="false">VLOOKUP(A90,'Thuc te theo thang'!$A$4:$I$309,9,FALSE())</f>
        <v>0</v>
      </c>
      <c r="J90" s="153"/>
      <c r="K90" s="153" t="n">
        <f aca="false">H90-I90-J90</f>
        <v>0</v>
      </c>
      <c r="L90" s="153"/>
      <c r="M90" s="153"/>
    </row>
    <row r="91" customFormat="false" ht="18.75" hidden="false" customHeight="false" outlineLevel="0" collapsed="false">
      <c r="A91" s="196" t="s">
        <v>267</v>
      </c>
      <c r="B91" s="197"/>
      <c r="C91" s="198"/>
      <c r="D91" s="199"/>
      <c r="E91" s="199"/>
      <c r="F91" s="200"/>
      <c r="G91" s="201"/>
      <c r="H91" s="153" t="n">
        <f aca="false">VLOOKUP(A91,'Thuc te theo thang'!$A$4:$I$309,8,FALSE())</f>
        <v>0</v>
      </c>
      <c r="I91" s="153" t="n">
        <f aca="false">VLOOKUP(A91,'Thuc te theo thang'!$A$4:$I$309,9,FALSE())</f>
        <v>0</v>
      </c>
      <c r="J91" s="153"/>
      <c r="K91" s="153" t="n">
        <f aca="false">H91-I91-J91</f>
        <v>0</v>
      </c>
      <c r="L91" s="153"/>
      <c r="M91" s="153"/>
    </row>
    <row r="92" customFormat="false" ht="19.5" hidden="false" customHeight="true" outlineLevel="0" collapsed="false">
      <c r="A92" s="196" t="s">
        <v>268</v>
      </c>
      <c r="B92" s="197"/>
      <c r="C92" s="198"/>
      <c r="D92" s="199"/>
      <c r="E92" s="199"/>
      <c r="F92" s="207"/>
      <c r="G92" s="201"/>
      <c r="H92" s="153" t="n">
        <f aca="false">VLOOKUP(A92,'Thuc te theo thang'!$A$4:$I$309,8,FALSE())</f>
        <v>0</v>
      </c>
      <c r="I92" s="153" t="n">
        <f aca="false">VLOOKUP(A92,'Thuc te theo thang'!$A$4:$I$309,9,FALSE())</f>
        <v>0</v>
      </c>
      <c r="J92" s="153"/>
      <c r="K92" s="153" t="n">
        <f aca="false">H92-I92-J92</f>
        <v>0</v>
      </c>
      <c r="L92" s="153"/>
      <c r="M92" s="153"/>
    </row>
    <row r="93" customFormat="false" ht="18.75" hidden="false" customHeight="false" outlineLevel="0" collapsed="false">
      <c r="A93" s="196" t="s">
        <v>269</v>
      </c>
      <c r="B93" s="197"/>
      <c r="C93" s="198"/>
      <c r="D93" s="199"/>
      <c r="E93" s="199"/>
      <c r="F93" s="207"/>
      <c r="G93" s="201"/>
      <c r="H93" s="153" t="n">
        <f aca="false">VLOOKUP(A93,'Thuc te theo thang'!$A$4:$I$309,8,FALSE())</f>
        <v>0</v>
      </c>
      <c r="I93" s="153" t="n">
        <f aca="false">VLOOKUP(A93,'Thuc te theo thang'!$A$4:$I$309,9,FALSE())</f>
        <v>0</v>
      </c>
      <c r="J93" s="153"/>
      <c r="K93" s="153" t="n">
        <f aca="false">H93-I93-J93</f>
        <v>0</v>
      </c>
      <c r="L93" s="153"/>
      <c r="M93" s="153"/>
    </row>
    <row r="94" customFormat="false" ht="18.75" hidden="false" customHeight="false" outlineLevel="0" collapsed="false">
      <c r="A94" s="196" t="s">
        <v>270</v>
      </c>
      <c r="B94" s="197"/>
      <c r="C94" s="198"/>
      <c r="D94" s="199"/>
      <c r="E94" s="199"/>
      <c r="F94" s="207"/>
      <c r="G94" s="199"/>
      <c r="H94" s="153" t="n">
        <f aca="false">VLOOKUP(A94,'Thuc te theo thang'!$A$4:$I$309,8,FALSE())</f>
        <v>0</v>
      </c>
      <c r="I94" s="153" t="n">
        <f aca="false">VLOOKUP(A94,'Thuc te theo thang'!$A$4:$I$309,9,FALSE())</f>
        <v>0</v>
      </c>
      <c r="J94" s="153"/>
      <c r="K94" s="153" t="n">
        <f aca="false">H94-I94-J94</f>
        <v>0</v>
      </c>
      <c r="L94" s="153"/>
      <c r="M94" s="153"/>
    </row>
    <row r="95" customFormat="false" ht="18.75" hidden="false" customHeight="false" outlineLevel="0" collapsed="false">
      <c r="A95" s="196" t="s">
        <v>271</v>
      </c>
      <c r="B95" s="197"/>
      <c r="C95" s="198"/>
      <c r="D95" s="199"/>
      <c r="E95" s="199"/>
      <c r="F95" s="207"/>
      <c r="G95" s="201"/>
      <c r="H95" s="153" t="n">
        <f aca="false">VLOOKUP(A95,'Thuc te theo thang'!$A$4:$I$309,8,FALSE())</f>
        <v>0</v>
      </c>
      <c r="I95" s="153" t="n">
        <f aca="false">VLOOKUP(A95,'Thuc te theo thang'!$A$4:$I$309,9,FALSE())</f>
        <v>0</v>
      </c>
      <c r="J95" s="153"/>
      <c r="K95" s="153" t="n">
        <f aca="false">H95-I95-J95</f>
        <v>0</v>
      </c>
      <c r="L95" s="153"/>
      <c r="M95" s="153"/>
    </row>
    <row r="96" customFormat="false" ht="18.75" hidden="false" customHeight="false" outlineLevel="0" collapsed="false">
      <c r="A96" s="196" t="s">
        <v>272</v>
      </c>
      <c r="B96" s="197"/>
      <c r="C96" s="198"/>
      <c r="D96" s="199"/>
      <c r="E96" s="199"/>
      <c r="F96" s="207"/>
      <c r="G96" s="210"/>
      <c r="H96" s="153" t="n">
        <f aca="false">VLOOKUP(A96,'Thuc te theo thang'!$A$4:$I$309,8,FALSE())</f>
        <v>0</v>
      </c>
      <c r="I96" s="153" t="n">
        <f aca="false">VLOOKUP(A96,'Thuc te theo thang'!$A$4:$I$309,9,FALSE())</f>
        <v>0</v>
      </c>
      <c r="J96" s="153"/>
      <c r="K96" s="153" t="n">
        <f aca="false">H96-I96-J96</f>
        <v>0</v>
      </c>
      <c r="L96" s="153"/>
      <c r="M96" s="153"/>
    </row>
    <row r="97" customFormat="false" ht="18.75" hidden="false" customHeight="false" outlineLevel="0" collapsed="false">
      <c r="A97" s="196" t="s">
        <v>273</v>
      </c>
      <c r="B97" s="197"/>
      <c r="C97" s="198"/>
      <c r="D97" s="199"/>
      <c r="E97" s="199"/>
      <c r="F97" s="200"/>
      <c r="G97" s="201"/>
      <c r="H97" s="153" t="n">
        <f aca="false">VLOOKUP(A97,'Thuc te theo thang'!$A$4:$I$309,8,FALSE())</f>
        <v>0</v>
      </c>
      <c r="I97" s="153" t="n">
        <f aca="false">VLOOKUP(A97,'Thuc te theo thang'!$A$4:$I$309,9,FALSE())</f>
        <v>0</v>
      </c>
      <c r="J97" s="153"/>
      <c r="K97" s="153" t="n">
        <f aca="false">H97-I97-J97</f>
        <v>0</v>
      </c>
      <c r="L97" s="153"/>
      <c r="M97" s="153"/>
    </row>
    <row r="98" customFormat="false" ht="18.75" hidden="false" customHeight="false" outlineLevel="0" collapsed="false">
      <c r="A98" s="196" t="s">
        <v>274</v>
      </c>
      <c r="B98" s="197"/>
      <c r="C98" s="198"/>
      <c r="D98" s="199"/>
      <c r="E98" s="199"/>
      <c r="F98" s="200"/>
      <c r="G98" s="201"/>
      <c r="H98" s="153" t="n">
        <f aca="false">VLOOKUP(A98,'Thuc te theo thang'!$A$4:$I$309,8,FALSE())</f>
        <v>0</v>
      </c>
      <c r="I98" s="153" t="n">
        <f aca="false">VLOOKUP(A98,'Thuc te theo thang'!$A$4:$I$309,9,FALSE())</f>
        <v>0</v>
      </c>
      <c r="J98" s="153"/>
      <c r="K98" s="153" t="n">
        <f aca="false">H98-I98-J98</f>
        <v>0</v>
      </c>
      <c r="L98" s="153"/>
      <c r="M98" s="153"/>
    </row>
    <row r="99" customFormat="false" ht="18.75" hidden="false" customHeight="false" outlineLevel="0" collapsed="false">
      <c r="A99" s="196" t="s">
        <v>275</v>
      </c>
      <c r="B99" s="197"/>
      <c r="C99" s="198"/>
      <c r="D99" s="199"/>
      <c r="E99" s="199"/>
      <c r="F99" s="200"/>
      <c r="G99" s="201"/>
      <c r="H99" s="153" t="n">
        <f aca="false">VLOOKUP(A99,'Thuc te theo thang'!$A$4:$I$309,8,FALSE())</f>
        <v>0</v>
      </c>
      <c r="I99" s="153" t="n">
        <f aca="false">VLOOKUP(A99,'Thuc te theo thang'!$A$4:$I$309,9,FALSE())</f>
        <v>0</v>
      </c>
      <c r="J99" s="153"/>
      <c r="K99" s="153" t="n">
        <f aca="false">H99-I99-J99</f>
        <v>0</v>
      </c>
      <c r="L99" s="153"/>
      <c r="M99" s="153"/>
    </row>
    <row r="100" customFormat="false" ht="18.75" hidden="false" customHeight="false" outlineLevel="0" collapsed="false">
      <c r="A100" s="196" t="s">
        <v>276</v>
      </c>
      <c r="B100" s="197"/>
      <c r="C100" s="198"/>
      <c r="D100" s="199"/>
      <c r="E100" s="199"/>
      <c r="F100" s="200"/>
      <c r="G100" s="201"/>
      <c r="H100" s="153" t="n">
        <f aca="false">VLOOKUP(A100,'Thuc te theo thang'!$A$4:$I$309,8,FALSE())</f>
        <v>0</v>
      </c>
      <c r="I100" s="153" t="n">
        <f aca="false">VLOOKUP(A100,'Thuc te theo thang'!$A$4:$I$309,9,FALSE())</f>
        <v>0</v>
      </c>
      <c r="J100" s="153"/>
      <c r="K100" s="153" t="n">
        <f aca="false">H100-I100-J100</f>
        <v>0</v>
      </c>
      <c r="L100" s="153"/>
      <c r="M100" s="153"/>
    </row>
    <row r="101" customFormat="false" ht="18.75" hidden="false" customHeight="false" outlineLevel="0" collapsed="false">
      <c r="A101" s="196" t="s">
        <v>277</v>
      </c>
      <c r="B101" s="197"/>
      <c r="C101" s="198"/>
      <c r="D101" s="199"/>
      <c r="E101" s="199"/>
      <c r="F101" s="200"/>
      <c r="G101" s="199"/>
      <c r="H101" s="153" t="n">
        <f aca="false">VLOOKUP(A101,'Thuc te theo thang'!$A$4:$I$309,8,FALSE())</f>
        <v>0</v>
      </c>
      <c r="I101" s="153" t="n">
        <f aca="false">VLOOKUP(A101,'Thuc te theo thang'!$A$4:$I$309,9,FALSE())</f>
        <v>0</v>
      </c>
      <c r="J101" s="153"/>
      <c r="K101" s="153" t="n">
        <f aca="false">H101-I101-J101</f>
        <v>0</v>
      </c>
      <c r="L101" s="153"/>
      <c r="M101" s="153"/>
    </row>
    <row r="102" customFormat="false" ht="18.75" hidden="false" customHeight="false" outlineLevel="0" collapsed="false">
      <c r="A102" s="196" t="s">
        <v>278</v>
      </c>
      <c r="B102" s="197"/>
      <c r="C102" s="213"/>
      <c r="D102" s="199"/>
      <c r="E102" s="199"/>
      <c r="F102" s="200"/>
      <c r="G102" s="201"/>
      <c r="H102" s="153" t="n">
        <f aca="false">VLOOKUP(A102,'Thuc te theo thang'!$A$4:$I$309,8,FALSE())</f>
        <v>0</v>
      </c>
      <c r="I102" s="153" t="n">
        <f aca="false">VLOOKUP(A102,'Thuc te theo thang'!$A$4:$I$309,9,FALSE())</f>
        <v>0</v>
      </c>
      <c r="J102" s="153"/>
      <c r="K102" s="153" t="n">
        <f aca="false">H102-I102-J102</f>
        <v>0</v>
      </c>
      <c r="L102" s="153"/>
      <c r="M102" s="153"/>
    </row>
    <row r="103" customFormat="false" ht="18.75" hidden="false" customHeight="false" outlineLevel="0" collapsed="false">
      <c r="A103" s="196" t="s">
        <v>279</v>
      </c>
      <c r="B103" s="209"/>
      <c r="C103" s="198"/>
      <c r="D103" s="199"/>
      <c r="E103" s="199"/>
      <c r="F103" s="200"/>
      <c r="G103" s="199"/>
      <c r="H103" s="153" t="n">
        <f aca="false">VLOOKUP(A103,'Thuc te theo thang'!$A$4:$I$309,8,FALSE())</f>
        <v>0</v>
      </c>
      <c r="I103" s="153" t="n">
        <f aca="false">VLOOKUP(A103,'Thuc te theo thang'!$A$4:$I$309,9,FALSE())</f>
        <v>0</v>
      </c>
      <c r="J103" s="153"/>
      <c r="K103" s="153" t="n">
        <f aca="false">H103-I103-J103</f>
        <v>0</v>
      </c>
      <c r="L103" s="153"/>
      <c r="M103" s="153"/>
    </row>
    <row r="104" customFormat="false" ht="18.75" hidden="false" customHeight="false" outlineLevel="0" collapsed="false">
      <c r="A104" s="196" t="s">
        <v>280</v>
      </c>
      <c r="B104" s="197"/>
      <c r="C104" s="198"/>
      <c r="D104" s="199"/>
      <c r="E104" s="199"/>
      <c r="F104" s="207"/>
      <c r="G104" s="201"/>
      <c r="H104" s="153" t="n">
        <f aca="false">VLOOKUP(A104,'Thuc te theo thang'!$A$4:$I$309,8,FALSE())</f>
        <v>0</v>
      </c>
      <c r="I104" s="153" t="n">
        <f aca="false">VLOOKUP(A104,'Thuc te theo thang'!$A$4:$I$309,9,FALSE())</f>
        <v>0</v>
      </c>
      <c r="J104" s="153"/>
      <c r="K104" s="153" t="n">
        <f aca="false">H104-I104-J104</f>
        <v>0</v>
      </c>
      <c r="L104" s="153"/>
      <c r="M104" s="153"/>
    </row>
    <row r="105" customFormat="false" ht="18.75" hidden="false" customHeight="false" outlineLevel="0" collapsed="false">
      <c r="A105" s="196" t="s">
        <v>281</v>
      </c>
      <c r="B105" s="214"/>
      <c r="C105" s="198"/>
      <c r="D105" s="199"/>
      <c r="E105" s="199"/>
      <c r="F105" s="207"/>
      <c r="G105" s="210"/>
      <c r="H105" s="153" t="n">
        <f aca="false">VLOOKUP(A105,'Thuc te theo thang'!$A$4:$I$309,8,FALSE())</f>
        <v>0</v>
      </c>
      <c r="I105" s="153" t="n">
        <f aca="false">VLOOKUP(A105,'Thuc te theo thang'!$A$4:$I$309,9,FALSE())</f>
        <v>0</v>
      </c>
      <c r="J105" s="153"/>
      <c r="K105" s="153" t="n">
        <f aca="false">H105-I105-J105</f>
        <v>0</v>
      </c>
      <c r="L105" s="153"/>
      <c r="M105" s="153"/>
    </row>
    <row r="106" customFormat="false" ht="18.75" hidden="false" customHeight="false" outlineLevel="0" collapsed="false">
      <c r="A106" s="196" t="s">
        <v>282</v>
      </c>
      <c r="B106" s="197" t="s">
        <v>283</v>
      </c>
      <c r="C106" s="198"/>
      <c r="D106" s="199"/>
      <c r="E106" s="199"/>
      <c r="F106" s="207"/>
      <c r="G106" s="210"/>
      <c r="H106" s="153" t="n">
        <f aca="false">VLOOKUP(A106,'Thuc te theo thang'!$A$4:$I$309,8,FALSE())</f>
        <v>0</v>
      </c>
      <c r="I106" s="153" t="n">
        <f aca="false">VLOOKUP(A106,'Thuc te theo thang'!$A$4:$I$309,9,FALSE())</f>
        <v>0</v>
      </c>
      <c r="J106" s="153"/>
      <c r="K106" s="153" t="n">
        <f aca="false">H106-I106-J106</f>
        <v>0</v>
      </c>
      <c r="L106" s="153"/>
      <c r="M106" s="153"/>
      <c r="N106" s="113"/>
    </row>
    <row r="107" customFormat="false" ht="18.75" hidden="true" customHeight="false" outlineLevel="0" collapsed="false">
      <c r="A107" s="190" t="s">
        <v>284</v>
      </c>
      <c r="B107" s="191"/>
      <c r="C107" s="192"/>
      <c r="D107" s="193" t="n">
        <f aca="false">SUM(D108:D207)</f>
        <v>0</v>
      </c>
      <c r="E107" s="193" t="n">
        <f aca="false">SUM(E108:E207)</f>
        <v>0</v>
      </c>
      <c r="F107" s="203"/>
      <c r="G107" s="195"/>
      <c r="H107" s="204" t="n">
        <f aca="false">SUMIF($C$108:$C$207,"x",H108:H207)</f>
        <v>0</v>
      </c>
      <c r="I107" s="202" t="n">
        <f aca="false">VLOOKUP(A107,'Thuc te theo thang'!$A$4:$I$309,9,FALSE())</f>
        <v>0</v>
      </c>
      <c r="J107" s="195"/>
      <c r="K107" s="195"/>
      <c r="L107" s="195"/>
      <c r="M107" s="195"/>
    </row>
    <row r="108" customFormat="false" ht="18.75" hidden="true" customHeight="false" outlineLevel="0" collapsed="false">
      <c r="A108" s="215" t="s">
        <v>285</v>
      </c>
      <c r="B108" s="197"/>
      <c r="C108" s="216"/>
      <c r="D108" s="199"/>
      <c r="E108" s="199"/>
      <c r="F108" s="200"/>
      <c r="G108" s="201"/>
      <c r="H108" s="202" t="n">
        <f aca="false">VLOOKUP(A108,'Thuc te theo thang'!$A$4:$I$309,8,FALSE())</f>
        <v>0</v>
      </c>
      <c r="I108" s="202" t="n">
        <f aca="false">VLOOKUP(A108,'Thuc te theo thang'!$A$4:$I$309,9,FALSE())</f>
        <v>0</v>
      </c>
      <c r="J108" s="202"/>
      <c r="K108" s="202" t="n">
        <f aca="false">H108-I108-J108</f>
        <v>0</v>
      </c>
      <c r="L108" s="202"/>
      <c r="M108" s="202"/>
    </row>
    <row r="109" customFormat="false" ht="18.75" hidden="true" customHeight="false" outlineLevel="0" collapsed="false">
      <c r="A109" s="215" t="s">
        <v>286</v>
      </c>
      <c r="C109" s="215"/>
      <c r="D109" s="199"/>
      <c r="E109" s="199"/>
      <c r="F109" s="200"/>
      <c r="G109" s="201"/>
      <c r="H109" s="202" t="n">
        <f aca="false">VLOOKUP(A109,'Thuc te theo thang'!$A$4:$I$309,8,FALSE())</f>
        <v>0</v>
      </c>
      <c r="I109" s="202" t="n">
        <f aca="false">VLOOKUP(A109,'Thuc te theo thang'!$A$4:$I$309,9,FALSE())</f>
        <v>0</v>
      </c>
      <c r="J109" s="202"/>
      <c r="K109" s="202" t="n">
        <f aca="false">H109-I109-J109</f>
        <v>0</v>
      </c>
      <c r="L109" s="202"/>
      <c r="M109" s="202"/>
    </row>
    <row r="110" customFormat="false" ht="18.75" hidden="true" customHeight="false" outlineLevel="0" collapsed="false">
      <c r="A110" s="215" t="s">
        <v>287</v>
      </c>
      <c r="B110" s="197"/>
      <c r="C110" s="216"/>
      <c r="D110" s="199"/>
      <c r="E110" s="199"/>
      <c r="F110" s="200"/>
      <c r="G110" s="201"/>
      <c r="H110" s="202" t="n">
        <f aca="false">VLOOKUP(A110,'Thuc te theo thang'!$A$4:$I$309,8,FALSE())</f>
        <v>0</v>
      </c>
      <c r="I110" s="202" t="n">
        <f aca="false">VLOOKUP(A110,'Thuc te theo thang'!$A$4:$I$309,9,FALSE())</f>
        <v>0</v>
      </c>
      <c r="J110" s="202"/>
      <c r="K110" s="202" t="n">
        <f aca="false">H110-I110-J110</f>
        <v>0</v>
      </c>
      <c r="L110" s="202"/>
      <c r="M110" s="202"/>
    </row>
    <row r="111" customFormat="false" ht="18.75" hidden="true" customHeight="false" outlineLevel="0" collapsed="false">
      <c r="A111" s="215" t="s">
        <v>288</v>
      </c>
      <c r="B111" s="197"/>
      <c r="C111" s="216"/>
      <c r="D111" s="199"/>
      <c r="E111" s="199"/>
      <c r="F111" s="200"/>
      <c r="G111" s="201"/>
      <c r="H111" s="202" t="n">
        <f aca="false">VLOOKUP(A111,'Thuc te theo thang'!$A$4:$I$309,8,FALSE())</f>
        <v>0</v>
      </c>
      <c r="I111" s="202" t="n">
        <f aca="false">VLOOKUP(A111,'Thuc te theo thang'!$A$4:$I$309,9,FALSE())</f>
        <v>0</v>
      </c>
      <c r="J111" s="202"/>
      <c r="K111" s="202" t="n">
        <f aca="false">H111-I111-J111</f>
        <v>0</v>
      </c>
      <c r="L111" s="202"/>
      <c r="M111" s="202"/>
    </row>
    <row r="112" customFormat="false" ht="18.75" hidden="true" customHeight="false" outlineLevel="0" collapsed="false">
      <c r="A112" s="215" t="s">
        <v>289</v>
      </c>
      <c r="B112" s="209"/>
      <c r="C112" s="215"/>
      <c r="D112" s="199"/>
      <c r="E112" s="199"/>
      <c r="F112" s="200"/>
      <c r="G112" s="201"/>
      <c r="H112" s="202" t="n">
        <f aca="false">VLOOKUP(A112,'Thuc te theo thang'!$A$4:$I$309,8,FALSE())</f>
        <v>0</v>
      </c>
      <c r="I112" s="202" t="n">
        <f aca="false">VLOOKUP(A112,'Thuc te theo thang'!$A$4:$I$309,9,FALSE())</f>
        <v>0</v>
      </c>
      <c r="J112" s="202"/>
      <c r="K112" s="202" t="n">
        <f aca="false">H112-I112-J112</f>
        <v>0</v>
      </c>
      <c r="L112" s="202"/>
      <c r="M112" s="202"/>
    </row>
    <row r="113" customFormat="false" ht="18.75" hidden="true" customHeight="false" outlineLevel="0" collapsed="false">
      <c r="A113" s="215" t="s">
        <v>290</v>
      </c>
      <c r="B113" s="209"/>
      <c r="C113" s="216"/>
      <c r="D113" s="199"/>
      <c r="E113" s="199"/>
      <c r="F113" s="200"/>
      <c r="G113" s="201"/>
      <c r="H113" s="202" t="n">
        <f aca="false">VLOOKUP(A113,'Thuc te theo thang'!$A$4:$I$309,8,FALSE())</f>
        <v>0</v>
      </c>
      <c r="I113" s="202" t="n">
        <f aca="false">VLOOKUP(A113,'Thuc te theo thang'!$A$4:$I$309,9,FALSE())</f>
        <v>0</v>
      </c>
      <c r="J113" s="202"/>
      <c r="K113" s="202" t="n">
        <f aca="false">H113-I113-J113</f>
        <v>0</v>
      </c>
      <c r="L113" s="202"/>
      <c r="M113" s="202"/>
    </row>
    <row r="114" customFormat="false" ht="18.75" hidden="true" customHeight="false" outlineLevel="0" collapsed="false">
      <c r="A114" s="215" t="s">
        <v>291</v>
      </c>
      <c r="B114" s="197"/>
      <c r="C114" s="216"/>
      <c r="D114" s="199"/>
      <c r="E114" s="199"/>
      <c r="F114" s="200"/>
      <c r="G114" s="201"/>
      <c r="H114" s="202" t="n">
        <f aca="false">VLOOKUP(A114,'Thuc te theo thang'!$A$4:$I$309,8,FALSE())</f>
        <v>0</v>
      </c>
      <c r="I114" s="202" t="n">
        <f aca="false">VLOOKUP(A114,'Thuc te theo thang'!$A$4:$I$309,9,FALSE())</f>
        <v>0</v>
      </c>
      <c r="J114" s="202"/>
      <c r="K114" s="202" t="n">
        <f aca="false">H114-I114-J114</f>
        <v>0</v>
      </c>
      <c r="L114" s="202"/>
      <c r="M114" s="202"/>
    </row>
    <row r="115" customFormat="false" ht="18.75" hidden="true" customHeight="false" outlineLevel="0" collapsed="false">
      <c r="A115" s="215" t="s">
        <v>292</v>
      </c>
      <c r="B115" s="209"/>
      <c r="C115" s="216"/>
      <c r="D115" s="199"/>
      <c r="E115" s="199"/>
      <c r="F115" s="200"/>
      <c r="G115" s="201"/>
      <c r="H115" s="202" t="n">
        <f aca="false">VLOOKUP(A115,'Thuc te theo thang'!$A$4:$I$309,8,FALSE())</f>
        <v>0</v>
      </c>
      <c r="I115" s="202" t="n">
        <f aca="false">VLOOKUP(A115,'Thuc te theo thang'!$A$4:$I$309,9,FALSE())</f>
        <v>0</v>
      </c>
      <c r="J115" s="202"/>
      <c r="K115" s="202" t="n">
        <f aca="false">H115-I115-J115</f>
        <v>0</v>
      </c>
      <c r="L115" s="202"/>
      <c r="M115" s="202"/>
    </row>
    <row r="116" customFormat="false" ht="18.75" hidden="true" customHeight="false" outlineLevel="0" collapsed="false">
      <c r="A116" s="215" t="s">
        <v>293</v>
      </c>
      <c r="C116" s="216"/>
      <c r="D116" s="199"/>
      <c r="E116" s="199"/>
      <c r="F116" s="200"/>
      <c r="G116" s="201"/>
      <c r="H116" s="202" t="n">
        <f aca="false">VLOOKUP(A116,'Thuc te theo thang'!$A$4:$I$309,8,FALSE())</f>
        <v>0</v>
      </c>
      <c r="I116" s="202" t="n">
        <f aca="false">VLOOKUP(A116,'Thuc te theo thang'!$A$4:$I$309,9,FALSE())</f>
        <v>0</v>
      </c>
      <c r="J116" s="202"/>
      <c r="K116" s="202" t="n">
        <f aca="false">H116-I116-J116</f>
        <v>0</v>
      </c>
      <c r="L116" s="202"/>
      <c r="M116" s="202"/>
    </row>
    <row r="117" customFormat="false" ht="18.75" hidden="true" customHeight="false" outlineLevel="0" collapsed="false">
      <c r="A117" s="215" t="s">
        <v>294</v>
      </c>
      <c r="B117" s="209"/>
      <c r="C117" s="216"/>
      <c r="D117" s="199"/>
      <c r="E117" s="199"/>
      <c r="F117" s="200"/>
      <c r="G117" s="199"/>
      <c r="H117" s="202" t="n">
        <f aca="false">VLOOKUP(A117,'Thuc te theo thang'!$A$4:$I$309,8,FALSE())</f>
        <v>0</v>
      </c>
      <c r="I117" s="202" t="n">
        <f aca="false">VLOOKUP(A117,'Thuc te theo thang'!$A$4:$I$309,9,FALSE())</f>
        <v>0</v>
      </c>
      <c r="J117" s="202"/>
      <c r="K117" s="202" t="n">
        <f aca="false">H117-I117-J117</f>
        <v>0</v>
      </c>
      <c r="L117" s="202"/>
      <c r="M117" s="202"/>
    </row>
    <row r="118" customFormat="false" ht="18.75" hidden="true" customHeight="false" outlineLevel="0" collapsed="false">
      <c r="A118" s="215" t="s">
        <v>295</v>
      </c>
      <c r="B118" s="209"/>
      <c r="C118" s="215"/>
      <c r="D118" s="199"/>
      <c r="E118" s="199"/>
      <c r="F118" s="200"/>
      <c r="G118" s="201"/>
      <c r="H118" s="202" t="n">
        <f aca="false">VLOOKUP(A118,'Thuc te theo thang'!$A$4:$I$309,8,FALSE())</f>
        <v>0</v>
      </c>
      <c r="I118" s="202" t="n">
        <f aca="false">VLOOKUP(A118,'Thuc te theo thang'!$A$4:$I$309,9,FALSE())</f>
        <v>0</v>
      </c>
      <c r="J118" s="202"/>
      <c r="K118" s="202" t="n">
        <f aca="false">H118-I118-J118</f>
        <v>0</v>
      </c>
      <c r="L118" s="202"/>
      <c r="M118" s="202"/>
    </row>
    <row r="119" customFormat="false" ht="18.75" hidden="true" customHeight="false" outlineLevel="0" collapsed="false">
      <c r="A119" s="215" t="s">
        <v>296</v>
      </c>
      <c r="B119" s="209"/>
      <c r="C119" s="216"/>
      <c r="D119" s="199"/>
      <c r="E119" s="199"/>
      <c r="F119" s="200"/>
      <c r="G119" s="201"/>
      <c r="H119" s="202" t="n">
        <f aca="false">VLOOKUP(A119,'Thuc te theo thang'!$A$4:$I$309,8,FALSE())</f>
        <v>0</v>
      </c>
      <c r="I119" s="202" t="n">
        <f aca="false">VLOOKUP(A119,'Thuc te theo thang'!$A$4:$I$309,9,FALSE())</f>
        <v>0</v>
      </c>
      <c r="J119" s="202"/>
      <c r="K119" s="202" t="n">
        <f aca="false">H119-I119-J119</f>
        <v>0</v>
      </c>
      <c r="L119" s="202"/>
      <c r="M119" s="202"/>
    </row>
    <row r="120" customFormat="false" ht="18.75" hidden="true" customHeight="false" outlineLevel="0" collapsed="false">
      <c r="A120" s="215" t="s">
        <v>297</v>
      </c>
      <c r="B120" s="209"/>
      <c r="C120" s="216"/>
      <c r="D120" s="199"/>
      <c r="E120" s="199"/>
      <c r="F120" s="200"/>
      <c r="G120" s="201"/>
      <c r="H120" s="202" t="n">
        <f aca="false">VLOOKUP(A120,'Thuc te theo thang'!$A$4:$I$309,8,FALSE())</f>
        <v>0</v>
      </c>
      <c r="I120" s="202" t="n">
        <f aca="false">VLOOKUP(A120,'Thuc te theo thang'!$A$4:$I$309,9,FALSE())</f>
        <v>0</v>
      </c>
      <c r="J120" s="202"/>
      <c r="K120" s="202" t="n">
        <f aca="false">H120-I120-J120</f>
        <v>0</v>
      </c>
      <c r="L120" s="202"/>
      <c r="M120" s="202"/>
    </row>
    <row r="121" customFormat="false" ht="18.75" hidden="true" customHeight="false" outlineLevel="0" collapsed="false">
      <c r="A121" s="215" t="s">
        <v>298</v>
      </c>
      <c r="B121" s="209"/>
      <c r="C121" s="216"/>
      <c r="D121" s="199"/>
      <c r="E121" s="199"/>
      <c r="F121" s="200"/>
      <c r="G121" s="201"/>
      <c r="H121" s="202" t="n">
        <f aca="false">VLOOKUP(A121,'Thuc te theo thang'!$A$4:$I$309,8,FALSE())</f>
        <v>0</v>
      </c>
      <c r="I121" s="202" t="n">
        <f aca="false">VLOOKUP(A121,'Thuc te theo thang'!$A$4:$I$309,9,FALSE())</f>
        <v>0</v>
      </c>
      <c r="J121" s="202"/>
      <c r="K121" s="202" t="n">
        <f aca="false">H121-I121-J121</f>
        <v>0</v>
      </c>
      <c r="L121" s="202"/>
      <c r="M121" s="202"/>
    </row>
    <row r="122" customFormat="false" ht="18.75" hidden="true" customHeight="false" outlineLevel="0" collapsed="false">
      <c r="A122" s="215" t="s">
        <v>299</v>
      </c>
      <c r="B122" s="209"/>
      <c r="C122" s="216"/>
      <c r="D122" s="199"/>
      <c r="E122" s="199"/>
      <c r="F122" s="200"/>
      <c r="G122" s="201"/>
      <c r="H122" s="202" t="n">
        <f aca="false">VLOOKUP(A122,'Thuc te theo thang'!$A$4:$I$309,8,FALSE())</f>
        <v>0</v>
      </c>
      <c r="I122" s="202" t="n">
        <f aca="false">VLOOKUP(A122,'Thuc te theo thang'!$A$4:$I$309,9,FALSE())</f>
        <v>0</v>
      </c>
      <c r="J122" s="202"/>
      <c r="K122" s="202" t="n">
        <f aca="false">H122-I122-J122</f>
        <v>0</v>
      </c>
      <c r="L122" s="202"/>
      <c r="M122" s="202"/>
    </row>
    <row r="123" customFormat="false" ht="18.75" hidden="true" customHeight="false" outlineLevel="0" collapsed="false">
      <c r="A123" s="215" t="s">
        <v>300</v>
      </c>
      <c r="B123" s="209"/>
      <c r="C123" s="216"/>
      <c r="D123" s="199"/>
      <c r="E123" s="199"/>
      <c r="F123" s="200"/>
      <c r="G123" s="199"/>
      <c r="H123" s="202" t="n">
        <f aca="false">VLOOKUP(A123,'Thuc te theo thang'!$A$4:$I$309,8,FALSE())</f>
        <v>0</v>
      </c>
      <c r="I123" s="202" t="n">
        <f aca="false">VLOOKUP(A123,'Thuc te theo thang'!$A$4:$I$309,9,FALSE())</f>
        <v>0</v>
      </c>
      <c r="J123" s="202"/>
      <c r="K123" s="202" t="n">
        <f aca="false">H123-I123-J123</f>
        <v>0</v>
      </c>
      <c r="L123" s="202"/>
      <c r="M123" s="202"/>
    </row>
    <row r="124" customFormat="false" ht="18.75" hidden="true" customHeight="false" outlineLevel="0" collapsed="false">
      <c r="A124" s="215" t="s">
        <v>301</v>
      </c>
      <c r="B124" s="209"/>
      <c r="C124" s="216"/>
      <c r="D124" s="199"/>
      <c r="E124" s="199"/>
      <c r="F124" s="200"/>
      <c r="G124" s="201"/>
      <c r="H124" s="202" t="n">
        <f aca="false">VLOOKUP(A124,'Thuc te theo thang'!$A$4:$I$309,8,FALSE())</f>
        <v>0</v>
      </c>
      <c r="I124" s="202" t="n">
        <f aca="false">VLOOKUP(A124,'Thuc te theo thang'!$A$4:$I$309,9,FALSE())</f>
        <v>0</v>
      </c>
      <c r="J124" s="202"/>
      <c r="K124" s="202" t="n">
        <f aca="false">H124-I124-J124</f>
        <v>0</v>
      </c>
      <c r="L124" s="202"/>
      <c r="M124" s="202"/>
    </row>
    <row r="125" customFormat="false" ht="18.75" hidden="true" customHeight="false" outlineLevel="0" collapsed="false">
      <c r="A125" s="215" t="s">
        <v>302</v>
      </c>
      <c r="B125" s="209"/>
      <c r="C125" s="216"/>
      <c r="D125" s="199"/>
      <c r="E125" s="199"/>
      <c r="F125" s="200"/>
      <c r="G125" s="210"/>
      <c r="H125" s="202" t="n">
        <f aca="false">VLOOKUP(A125,'Thuc te theo thang'!$A$4:$I$309,8,FALSE())</f>
        <v>0</v>
      </c>
      <c r="I125" s="202" t="n">
        <f aca="false">VLOOKUP(A125,'Thuc te theo thang'!$A$4:$I$309,9,FALSE())</f>
        <v>0</v>
      </c>
      <c r="J125" s="202"/>
      <c r="K125" s="202" t="n">
        <f aca="false">H125-I125-J125</f>
        <v>0</v>
      </c>
      <c r="L125" s="202"/>
      <c r="M125" s="202"/>
    </row>
    <row r="126" customFormat="false" ht="18.75" hidden="true" customHeight="false" outlineLevel="0" collapsed="false">
      <c r="A126" s="215" t="s">
        <v>303</v>
      </c>
      <c r="B126" s="209"/>
      <c r="C126" s="215"/>
      <c r="D126" s="199"/>
      <c r="E126" s="199"/>
      <c r="F126" s="200"/>
      <c r="G126" s="201"/>
      <c r="H126" s="202" t="n">
        <f aca="false">VLOOKUP(A126,'Thuc te theo thang'!$A$4:$I$309,8,FALSE())</f>
        <v>0</v>
      </c>
      <c r="I126" s="202" t="n">
        <f aca="false">VLOOKUP(A126,'Thuc te theo thang'!$A$4:$I$309,9,FALSE())</f>
        <v>0</v>
      </c>
      <c r="J126" s="202"/>
      <c r="K126" s="202" t="n">
        <f aca="false">H126-I126-J126</f>
        <v>0</v>
      </c>
      <c r="L126" s="202"/>
      <c r="M126" s="202"/>
    </row>
    <row r="127" customFormat="false" ht="18.75" hidden="true" customHeight="false" outlineLevel="0" collapsed="false">
      <c r="A127" s="215" t="s">
        <v>304</v>
      </c>
      <c r="B127" s="209"/>
      <c r="C127" s="215"/>
      <c r="D127" s="199"/>
      <c r="E127" s="199"/>
      <c r="F127" s="200"/>
      <c r="G127" s="201"/>
      <c r="H127" s="202" t="n">
        <f aca="false">VLOOKUP(A127,'Thuc te theo thang'!$A$4:$I$309,8,FALSE())</f>
        <v>0</v>
      </c>
      <c r="I127" s="202" t="n">
        <f aca="false">VLOOKUP(A127,'Thuc te theo thang'!$A$4:$I$309,9,FALSE())</f>
        <v>0</v>
      </c>
      <c r="J127" s="202"/>
      <c r="K127" s="202" t="n">
        <f aca="false">H127-I127-J127</f>
        <v>0</v>
      </c>
      <c r="L127" s="202"/>
      <c r="M127" s="202"/>
    </row>
    <row r="128" customFormat="false" ht="18.75" hidden="true" customHeight="false" outlineLevel="0" collapsed="false">
      <c r="A128" s="215" t="s">
        <v>305</v>
      </c>
      <c r="B128" s="209"/>
      <c r="C128" s="215"/>
      <c r="D128" s="199"/>
      <c r="E128" s="199"/>
      <c r="F128" s="200"/>
      <c r="G128" s="201"/>
      <c r="H128" s="202" t="n">
        <f aca="false">VLOOKUP(A128,'Thuc te theo thang'!$A$4:$I$309,8,FALSE())</f>
        <v>0</v>
      </c>
      <c r="I128" s="202" t="n">
        <f aca="false">VLOOKUP(A128,'Thuc te theo thang'!$A$4:$I$309,9,FALSE())</f>
        <v>0</v>
      </c>
      <c r="J128" s="202"/>
      <c r="K128" s="202" t="n">
        <f aca="false">H128-I128-J128</f>
        <v>0</v>
      </c>
      <c r="L128" s="202"/>
      <c r="M128" s="202"/>
    </row>
    <row r="129" customFormat="false" ht="18.75" hidden="true" customHeight="false" outlineLevel="0" collapsed="false">
      <c r="A129" s="215" t="s">
        <v>306</v>
      </c>
      <c r="B129" s="209"/>
      <c r="C129" s="216"/>
      <c r="D129" s="199"/>
      <c r="E129" s="199"/>
      <c r="F129" s="200"/>
      <c r="G129" s="201"/>
      <c r="H129" s="202" t="n">
        <f aca="false">VLOOKUP(A129,'Thuc te theo thang'!$A$4:$I$309,8,FALSE())</f>
        <v>0</v>
      </c>
      <c r="I129" s="202" t="n">
        <f aca="false">VLOOKUP(A129,'Thuc te theo thang'!$A$4:$I$309,9,FALSE())</f>
        <v>0</v>
      </c>
      <c r="J129" s="202"/>
      <c r="K129" s="202" t="n">
        <f aca="false">H129-I129-J129</f>
        <v>0</v>
      </c>
      <c r="L129" s="202"/>
      <c r="M129" s="202"/>
    </row>
    <row r="130" customFormat="false" ht="18.75" hidden="true" customHeight="false" outlineLevel="0" collapsed="false">
      <c r="A130" s="215" t="s">
        <v>307</v>
      </c>
      <c r="B130" s="209"/>
      <c r="C130" s="216"/>
      <c r="D130" s="199"/>
      <c r="E130" s="199"/>
      <c r="F130" s="200"/>
      <c r="G130" s="201"/>
      <c r="H130" s="202" t="n">
        <f aca="false">VLOOKUP(A130,'Thuc te theo thang'!$A$4:$I$309,8,FALSE())</f>
        <v>0</v>
      </c>
      <c r="I130" s="202" t="n">
        <f aca="false">VLOOKUP(A130,'Thuc te theo thang'!$A$4:$I$309,9,FALSE())</f>
        <v>0</v>
      </c>
      <c r="J130" s="202"/>
      <c r="K130" s="202" t="n">
        <f aca="false">H130-I130-J130</f>
        <v>0</v>
      </c>
      <c r="L130" s="202"/>
      <c r="M130" s="202"/>
    </row>
    <row r="131" customFormat="false" ht="18.75" hidden="true" customHeight="false" outlineLevel="0" collapsed="false">
      <c r="A131" s="215" t="s">
        <v>308</v>
      </c>
      <c r="B131" s="209"/>
      <c r="C131" s="216"/>
      <c r="D131" s="199"/>
      <c r="E131" s="199"/>
      <c r="F131" s="200"/>
      <c r="G131" s="201"/>
      <c r="H131" s="202" t="n">
        <f aca="false">VLOOKUP(A131,'Thuc te theo thang'!$A$4:$I$309,8,FALSE())</f>
        <v>0</v>
      </c>
      <c r="I131" s="202" t="n">
        <f aca="false">VLOOKUP(A131,'Thuc te theo thang'!$A$4:$I$309,9,FALSE())</f>
        <v>0</v>
      </c>
      <c r="J131" s="202"/>
      <c r="K131" s="202" t="n">
        <f aca="false">H131-I131-J131</f>
        <v>0</v>
      </c>
      <c r="L131" s="202"/>
      <c r="M131" s="202"/>
    </row>
    <row r="132" customFormat="false" ht="18.75" hidden="true" customHeight="false" outlineLevel="0" collapsed="false">
      <c r="A132" s="215" t="s">
        <v>309</v>
      </c>
      <c r="B132" s="209"/>
      <c r="C132" s="215"/>
      <c r="D132" s="199"/>
      <c r="E132" s="199"/>
      <c r="F132" s="200"/>
      <c r="G132" s="201"/>
      <c r="H132" s="202" t="n">
        <f aca="false">VLOOKUP(A132,'Thuc te theo thang'!$A$4:$I$309,8,FALSE())</f>
        <v>0</v>
      </c>
      <c r="I132" s="202" t="n">
        <f aca="false">VLOOKUP(A132,'Thuc te theo thang'!$A$4:$I$309,9,FALSE())</f>
        <v>0</v>
      </c>
      <c r="J132" s="202"/>
      <c r="K132" s="202" t="n">
        <f aca="false">H132-I132-J132</f>
        <v>0</v>
      </c>
      <c r="L132" s="202"/>
      <c r="M132" s="202"/>
    </row>
    <row r="133" customFormat="false" ht="18.75" hidden="true" customHeight="false" outlineLevel="0" collapsed="false">
      <c r="A133" s="215" t="s">
        <v>310</v>
      </c>
      <c r="B133" s="209"/>
      <c r="C133" s="216"/>
      <c r="D133" s="199"/>
      <c r="E133" s="199"/>
      <c r="F133" s="217"/>
      <c r="G133" s="201"/>
      <c r="H133" s="202" t="n">
        <f aca="false">VLOOKUP(A133,'Thuc te theo thang'!$A$4:$I$309,8,FALSE())</f>
        <v>0</v>
      </c>
      <c r="I133" s="202" t="n">
        <f aca="false">VLOOKUP(A133,'Thuc te theo thang'!$A$4:$I$309,9,FALSE())</f>
        <v>0</v>
      </c>
      <c r="J133" s="202"/>
      <c r="K133" s="202" t="n">
        <f aca="false">H133-I133-J133</f>
        <v>0</v>
      </c>
      <c r="L133" s="202"/>
      <c r="M133" s="202"/>
    </row>
    <row r="134" customFormat="false" ht="18.75" hidden="true" customHeight="false" outlineLevel="0" collapsed="false">
      <c r="A134" s="215" t="s">
        <v>311</v>
      </c>
      <c r="B134" s="209"/>
      <c r="C134" s="215"/>
      <c r="D134" s="199"/>
      <c r="E134" s="199"/>
      <c r="F134" s="200"/>
      <c r="G134" s="201"/>
      <c r="H134" s="202" t="n">
        <f aca="false">VLOOKUP(A134,'Thuc te theo thang'!$A$4:$I$309,8,FALSE())</f>
        <v>0</v>
      </c>
      <c r="I134" s="202" t="n">
        <f aca="false">VLOOKUP(A134,'Thuc te theo thang'!$A$4:$I$309,9,FALSE())</f>
        <v>0</v>
      </c>
      <c r="J134" s="202"/>
      <c r="K134" s="202" t="n">
        <f aca="false">H134-I134-J134</f>
        <v>0</v>
      </c>
      <c r="L134" s="202"/>
      <c r="M134" s="202"/>
    </row>
    <row r="135" customFormat="false" ht="18.75" hidden="true" customHeight="false" outlineLevel="0" collapsed="false">
      <c r="A135" s="215" t="s">
        <v>312</v>
      </c>
      <c r="B135" s="209"/>
      <c r="C135" s="215"/>
      <c r="D135" s="199"/>
      <c r="E135" s="199"/>
      <c r="F135" s="200"/>
      <c r="G135" s="201"/>
      <c r="H135" s="202" t="n">
        <f aca="false">VLOOKUP(A135,'Thuc te theo thang'!$A$4:$I$309,8,FALSE())</f>
        <v>0</v>
      </c>
      <c r="I135" s="202" t="n">
        <f aca="false">VLOOKUP(A135,'Thuc te theo thang'!$A$4:$I$309,9,FALSE())</f>
        <v>0</v>
      </c>
      <c r="J135" s="202"/>
      <c r="K135" s="202" t="n">
        <f aca="false">H135-I135-J135</f>
        <v>0</v>
      </c>
      <c r="L135" s="202"/>
      <c r="M135" s="202"/>
    </row>
    <row r="136" customFormat="false" ht="18.75" hidden="true" customHeight="false" outlineLevel="0" collapsed="false">
      <c r="A136" s="215" t="s">
        <v>313</v>
      </c>
      <c r="B136" s="218"/>
      <c r="C136" s="216"/>
      <c r="D136" s="199"/>
      <c r="E136" s="199"/>
      <c r="F136" s="200"/>
      <c r="G136" s="201"/>
      <c r="H136" s="202" t="n">
        <f aca="false">VLOOKUP(A136,'Thuc te theo thang'!$A$4:$I$309,8,FALSE())</f>
        <v>0</v>
      </c>
      <c r="I136" s="202" t="n">
        <f aca="false">VLOOKUP(A136,'Thuc te theo thang'!$A$4:$I$309,9,FALSE())</f>
        <v>0</v>
      </c>
      <c r="J136" s="202"/>
      <c r="K136" s="202" t="n">
        <f aca="false">H136-I136-J136</f>
        <v>0</v>
      </c>
      <c r="L136" s="202"/>
      <c r="M136" s="202"/>
    </row>
    <row r="137" customFormat="false" ht="18.75" hidden="true" customHeight="false" outlineLevel="0" collapsed="false">
      <c r="A137" s="215" t="s">
        <v>314</v>
      </c>
      <c r="B137" s="209"/>
      <c r="C137" s="215"/>
      <c r="D137" s="199"/>
      <c r="E137" s="199"/>
      <c r="F137" s="200"/>
      <c r="G137" s="201"/>
      <c r="H137" s="202" t="n">
        <f aca="false">VLOOKUP(A137,'Thuc te theo thang'!$A$4:$I$309,8,FALSE())</f>
        <v>0</v>
      </c>
      <c r="I137" s="202" t="n">
        <f aca="false">VLOOKUP(A137,'Thuc te theo thang'!$A$4:$I$309,9,FALSE())</f>
        <v>0</v>
      </c>
      <c r="J137" s="202"/>
      <c r="K137" s="202" t="n">
        <f aca="false">H137-I137-J137</f>
        <v>0</v>
      </c>
      <c r="L137" s="202"/>
      <c r="M137" s="202"/>
    </row>
    <row r="138" customFormat="false" ht="18.75" hidden="true" customHeight="false" outlineLevel="0" collapsed="false">
      <c r="A138" s="215" t="s">
        <v>315</v>
      </c>
      <c r="B138" s="209"/>
      <c r="C138" s="216"/>
      <c r="D138" s="199"/>
      <c r="E138" s="199"/>
      <c r="F138" s="200"/>
      <c r="G138" s="199"/>
      <c r="H138" s="202" t="n">
        <f aca="false">VLOOKUP(A138,'Thuc te theo thang'!$A$4:$I$309,8,FALSE())</f>
        <v>0</v>
      </c>
      <c r="I138" s="202" t="n">
        <f aca="false">VLOOKUP(A138,'Thuc te theo thang'!$A$4:$I$309,9,FALSE())</f>
        <v>0</v>
      </c>
      <c r="J138" s="202"/>
      <c r="K138" s="202" t="n">
        <f aca="false">H138-I138-J138</f>
        <v>0</v>
      </c>
      <c r="L138" s="202"/>
      <c r="M138" s="202"/>
    </row>
    <row r="139" customFormat="false" ht="18.75" hidden="true" customHeight="false" outlineLevel="0" collapsed="false">
      <c r="A139" s="215" t="s">
        <v>316</v>
      </c>
      <c r="B139" s="209"/>
      <c r="C139" s="215"/>
      <c r="D139" s="199"/>
      <c r="E139" s="199"/>
      <c r="F139" s="200"/>
      <c r="G139" s="201"/>
      <c r="H139" s="202" t="n">
        <f aca="false">VLOOKUP(A139,'Thuc te theo thang'!$A$4:$I$309,8,FALSE())</f>
        <v>0</v>
      </c>
      <c r="I139" s="202" t="n">
        <f aca="false">VLOOKUP(A139,'Thuc te theo thang'!$A$4:$I$309,9,FALSE())</f>
        <v>0</v>
      </c>
      <c r="J139" s="202"/>
      <c r="K139" s="202" t="n">
        <f aca="false">H139-I139-J139</f>
        <v>0</v>
      </c>
      <c r="L139" s="202"/>
      <c r="M139" s="202"/>
    </row>
    <row r="140" customFormat="false" ht="18.75" hidden="true" customHeight="false" outlineLevel="0" collapsed="false">
      <c r="A140" s="215" t="s">
        <v>317</v>
      </c>
      <c r="B140" s="197"/>
      <c r="C140" s="216"/>
      <c r="D140" s="199"/>
      <c r="E140" s="199"/>
      <c r="F140" s="200"/>
      <c r="G140" s="210"/>
      <c r="H140" s="202" t="n">
        <f aca="false">VLOOKUP(A140,'Thuc te theo thang'!$A$4:$I$309,8,FALSE())</f>
        <v>0</v>
      </c>
      <c r="I140" s="202" t="n">
        <f aca="false">VLOOKUP(A140,'Thuc te theo thang'!$A$4:$I$309,9,FALSE())</f>
        <v>0</v>
      </c>
      <c r="J140" s="202"/>
      <c r="K140" s="202" t="n">
        <f aca="false">H140-I140-J140</f>
        <v>0</v>
      </c>
      <c r="L140" s="202"/>
      <c r="M140" s="202"/>
    </row>
    <row r="141" customFormat="false" ht="18.75" hidden="true" customHeight="false" outlineLevel="0" collapsed="false">
      <c r="A141" s="215" t="s">
        <v>318</v>
      </c>
      <c r="B141" s="197"/>
      <c r="C141" s="215"/>
      <c r="D141" s="199"/>
      <c r="E141" s="199"/>
      <c r="F141" s="200"/>
      <c r="G141" s="201"/>
      <c r="H141" s="202" t="n">
        <f aca="false">VLOOKUP(A141,'Thuc te theo thang'!$A$4:$I$309,8,FALSE())</f>
        <v>0</v>
      </c>
      <c r="I141" s="202" t="n">
        <f aca="false">VLOOKUP(A141,'Thuc te theo thang'!$A$4:$I$309,9,FALSE())</f>
        <v>0</v>
      </c>
      <c r="J141" s="202"/>
      <c r="K141" s="202" t="n">
        <f aca="false">H141-I141-J141</f>
        <v>0</v>
      </c>
      <c r="L141" s="202"/>
      <c r="M141" s="202"/>
    </row>
    <row r="142" customFormat="false" ht="18.75" hidden="true" customHeight="false" outlineLevel="0" collapsed="false">
      <c r="A142" s="215" t="s">
        <v>319</v>
      </c>
      <c r="B142" s="197"/>
      <c r="C142" s="215"/>
      <c r="D142" s="199"/>
      <c r="E142" s="199"/>
      <c r="F142" s="200"/>
      <c r="G142" s="201"/>
      <c r="H142" s="202" t="n">
        <f aca="false">VLOOKUP(A142,'Thuc te theo thang'!$A$4:$I$309,8,FALSE())</f>
        <v>0</v>
      </c>
      <c r="I142" s="202" t="n">
        <f aca="false">VLOOKUP(A142,'Thuc te theo thang'!$A$4:$I$309,9,FALSE())</f>
        <v>0</v>
      </c>
      <c r="J142" s="202"/>
      <c r="K142" s="202" t="n">
        <f aca="false">H142-I142-J142</f>
        <v>0</v>
      </c>
      <c r="L142" s="202"/>
      <c r="M142" s="202"/>
    </row>
    <row r="143" customFormat="false" ht="18.75" hidden="true" customHeight="false" outlineLevel="0" collapsed="false">
      <c r="A143" s="215" t="s">
        <v>320</v>
      </c>
      <c r="B143" s="197"/>
      <c r="C143" s="215"/>
      <c r="D143" s="199"/>
      <c r="E143" s="199"/>
      <c r="F143" s="200"/>
      <c r="G143" s="201"/>
      <c r="H143" s="202" t="n">
        <f aca="false">VLOOKUP(A143,'Thuc te theo thang'!$A$4:$I$309,8,FALSE())</f>
        <v>0</v>
      </c>
      <c r="I143" s="202" t="n">
        <f aca="false">VLOOKUP(A143,'Thuc te theo thang'!$A$4:$I$309,9,FALSE())</f>
        <v>0</v>
      </c>
      <c r="J143" s="202"/>
      <c r="K143" s="202" t="n">
        <f aca="false">H143-I143-J143</f>
        <v>0</v>
      </c>
      <c r="L143" s="202"/>
      <c r="M143" s="202"/>
    </row>
    <row r="144" customFormat="false" ht="18.75" hidden="true" customHeight="false" outlineLevel="0" collapsed="false">
      <c r="A144" s="215" t="s">
        <v>321</v>
      </c>
      <c r="B144" s="197"/>
      <c r="C144" s="216"/>
      <c r="D144" s="199"/>
      <c r="E144" s="199"/>
      <c r="F144" s="200"/>
      <c r="G144" s="201"/>
      <c r="H144" s="202" t="n">
        <f aca="false">VLOOKUP(A144,'Thuc te theo thang'!$A$4:$I$309,8,FALSE())</f>
        <v>0</v>
      </c>
      <c r="I144" s="202" t="n">
        <f aca="false">VLOOKUP(A144,'Thuc te theo thang'!$A$4:$I$309,9,FALSE())</f>
        <v>0</v>
      </c>
      <c r="J144" s="202"/>
      <c r="K144" s="202" t="n">
        <f aca="false">H144-I144-J144</f>
        <v>0</v>
      </c>
      <c r="L144" s="202"/>
      <c r="M144" s="202"/>
    </row>
    <row r="145" customFormat="false" ht="18.75" hidden="true" customHeight="false" outlineLevel="0" collapsed="false">
      <c r="A145" s="215" t="s">
        <v>322</v>
      </c>
      <c r="B145" s="197"/>
      <c r="C145" s="215"/>
      <c r="D145" s="199"/>
      <c r="E145" s="199"/>
      <c r="F145" s="200"/>
      <c r="G145" s="201"/>
      <c r="H145" s="202" t="n">
        <f aca="false">VLOOKUP(A145,'Thuc te theo thang'!$A$4:$I$309,8,FALSE())</f>
        <v>0</v>
      </c>
      <c r="I145" s="202" t="n">
        <f aca="false">VLOOKUP(A145,'Thuc te theo thang'!$A$4:$I$309,9,FALSE())</f>
        <v>0</v>
      </c>
      <c r="J145" s="202"/>
      <c r="K145" s="202" t="n">
        <f aca="false">H145-I145-J145</f>
        <v>0</v>
      </c>
      <c r="L145" s="202"/>
      <c r="M145" s="202"/>
    </row>
    <row r="146" customFormat="false" ht="18.75" hidden="true" customHeight="false" outlineLevel="0" collapsed="false">
      <c r="A146" s="215" t="s">
        <v>323</v>
      </c>
      <c r="B146" s="197"/>
      <c r="C146" s="215"/>
      <c r="D146" s="199"/>
      <c r="E146" s="199"/>
      <c r="F146" s="200"/>
      <c r="G146" s="201"/>
      <c r="H146" s="202" t="n">
        <f aca="false">VLOOKUP(A146,'Thuc te theo thang'!$A$4:$I$309,8,FALSE())</f>
        <v>0</v>
      </c>
      <c r="I146" s="202" t="n">
        <f aca="false">VLOOKUP(A146,'Thuc te theo thang'!$A$4:$I$309,9,FALSE())</f>
        <v>0</v>
      </c>
      <c r="J146" s="202"/>
      <c r="K146" s="202" t="n">
        <f aca="false">H146-I146-J146</f>
        <v>0</v>
      </c>
      <c r="L146" s="202"/>
      <c r="M146" s="202"/>
    </row>
    <row r="147" customFormat="false" ht="18.75" hidden="true" customHeight="false" outlineLevel="0" collapsed="false">
      <c r="A147" s="215" t="s">
        <v>324</v>
      </c>
      <c r="B147" s="197"/>
      <c r="C147" s="216"/>
      <c r="D147" s="199"/>
      <c r="E147" s="199"/>
      <c r="F147" s="200"/>
      <c r="G147" s="201"/>
      <c r="H147" s="202" t="n">
        <f aca="false">VLOOKUP(A147,'Thuc te theo thang'!$A$4:$I$309,8,FALSE())</f>
        <v>0</v>
      </c>
      <c r="I147" s="202" t="n">
        <f aca="false">VLOOKUP(A147,'Thuc te theo thang'!$A$4:$I$309,9,FALSE())</f>
        <v>0</v>
      </c>
      <c r="J147" s="202"/>
      <c r="K147" s="202" t="n">
        <f aca="false">H147-I147-J147</f>
        <v>0</v>
      </c>
      <c r="L147" s="202"/>
      <c r="M147" s="202"/>
    </row>
    <row r="148" customFormat="false" ht="18.75" hidden="true" customHeight="false" outlineLevel="0" collapsed="false">
      <c r="A148" s="215" t="s">
        <v>325</v>
      </c>
      <c r="B148" s="197"/>
      <c r="C148" s="215"/>
      <c r="D148" s="199"/>
      <c r="E148" s="199"/>
      <c r="F148" s="200"/>
      <c r="G148" s="201"/>
      <c r="H148" s="202" t="n">
        <f aca="false">VLOOKUP(A148,'Thuc te theo thang'!$A$4:$I$309,8,FALSE())</f>
        <v>0</v>
      </c>
      <c r="I148" s="202" t="n">
        <f aca="false">VLOOKUP(A148,'Thuc te theo thang'!$A$4:$I$309,9,FALSE())</f>
        <v>0</v>
      </c>
      <c r="J148" s="202"/>
      <c r="K148" s="202" t="n">
        <f aca="false">H148-I148-J148</f>
        <v>0</v>
      </c>
      <c r="L148" s="202"/>
      <c r="M148" s="202"/>
    </row>
    <row r="149" customFormat="false" ht="18.75" hidden="true" customHeight="false" outlineLevel="0" collapsed="false">
      <c r="A149" s="215" t="s">
        <v>326</v>
      </c>
      <c r="B149" s="197"/>
      <c r="C149" s="215"/>
      <c r="D149" s="199"/>
      <c r="E149" s="199"/>
      <c r="F149" s="200"/>
      <c r="G149" s="201"/>
      <c r="H149" s="202" t="n">
        <f aca="false">VLOOKUP(A149,'Thuc te theo thang'!$A$4:$I$309,8,FALSE())</f>
        <v>0</v>
      </c>
      <c r="I149" s="202" t="n">
        <f aca="false">VLOOKUP(A149,'Thuc te theo thang'!$A$4:$I$309,9,FALSE())</f>
        <v>0</v>
      </c>
      <c r="J149" s="202"/>
      <c r="K149" s="202" t="n">
        <f aca="false">H149-I149-J149</f>
        <v>0</v>
      </c>
      <c r="L149" s="202"/>
      <c r="M149" s="202"/>
    </row>
    <row r="150" customFormat="false" ht="18.75" hidden="true" customHeight="false" outlineLevel="0" collapsed="false">
      <c r="A150" s="215" t="s">
        <v>327</v>
      </c>
      <c r="B150" s="209"/>
      <c r="C150" s="216"/>
      <c r="D150" s="199"/>
      <c r="E150" s="199"/>
      <c r="F150" s="200"/>
      <c r="G150" s="201"/>
      <c r="H150" s="202" t="n">
        <f aca="false">VLOOKUP(A150,'Thuc te theo thang'!$A$4:$I$309,8,FALSE())</f>
        <v>0</v>
      </c>
      <c r="I150" s="202" t="n">
        <f aca="false">VLOOKUP(A150,'Thuc te theo thang'!$A$4:$I$309,9,FALSE())</f>
        <v>0</v>
      </c>
      <c r="J150" s="202"/>
      <c r="K150" s="202" t="n">
        <f aca="false">H150-I150-J150</f>
        <v>0</v>
      </c>
      <c r="L150" s="202"/>
      <c r="M150" s="202"/>
    </row>
    <row r="151" customFormat="false" ht="18.75" hidden="true" customHeight="false" outlineLevel="0" collapsed="false">
      <c r="A151" s="215" t="s">
        <v>328</v>
      </c>
      <c r="B151" s="209"/>
      <c r="C151" s="216"/>
      <c r="D151" s="199"/>
      <c r="E151" s="199"/>
      <c r="F151" s="200"/>
      <c r="G151" s="201"/>
      <c r="H151" s="202" t="n">
        <f aca="false">VLOOKUP(A151,'Thuc te theo thang'!$A$4:$I$309,8,FALSE())</f>
        <v>0</v>
      </c>
      <c r="I151" s="202" t="n">
        <f aca="false">VLOOKUP(A151,'Thuc te theo thang'!$A$4:$I$309,9,FALSE())</f>
        <v>0</v>
      </c>
      <c r="J151" s="202"/>
      <c r="K151" s="202" t="n">
        <f aca="false">H151-I151-J151</f>
        <v>0</v>
      </c>
      <c r="L151" s="202"/>
      <c r="M151" s="202"/>
    </row>
    <row r="152" customFormat="false" ht="18.75" hidden="true" customHeight="false" outlineLevel="0" collapsed="false">
      <c r="A152" s="215" t="s">
        <v>329</v>
      </c>
      <c r="B152" s="219"/>
      <c r="C152" s="216"/>
      <c r="D152" s="199"/>
      <c r="E152" s="199"/>
      <c r="F152" s="200"/>
      <c r="G152" s="201"/>
      <c r="H152" s="202" t="n">
        <f aca="false">VLOOKUP(A152,'Thuc te theo thang'!$A$4:$I$309,8,FALSE())</f>
        <v>0</v>
      </c>
      <c r="I152" s="202" t="n">
        <f aca="false">VLOOKUP(A152,'Thuc te theo thang'!$A$4:$I$309,9,FALSE())</f>
        <v>0</v>
      </c>
      <c r="J152" s="202"/>
      <c r="K152" s="202" t="n">
        <f aca="false">H152-I152-J152</f>
        <v>0</v>
      </c>
      <c r="L152" s="202"/>
      <c r="M152" s="202"/>
    </row>
    <row r="153" customFormat="false" ht="18.75" hidden="true" customHeight="false" outlineLevel="0" collapsed="false">
      <c r="A153" s="215" t="s">
        <v>330</v>
      </c>
      <c r="B153" s="219"/>
      <c r="C153" s="216"/>
      <c r="D153" s="199"/>
      <c r="E153" s="199"/>
      <c r="F153" s="200"/>
      <c r="G153" s="201"/>
      <c r="H153" s="202" t="n">
        <f aca="false">VLOOKUP(A153,'Thuc te theo thang'!$A$4:$I$309,8,FALSE())</f>
        <v>0</v>
      </c>
      <c r="I153" s="202" t="n">
        <f aca="false">VLOOKUP(A153,'Thuc te theo thang'!$A$4:$I$309,9,FALSE())</f>
        <v>0</v>
      </c>
      <c r="J153" s="202"/>
      <c r="K153" s="202" t="n">
        <f aca="false">H153-I153-J153</f>
        <v>0</v>
      </c>
      <c r="L153" s="202"/>
      <c r="M153" s="202"/>
    </row>
    <row r="154" customFormat="false" ht="18.75" hidden="true" customHeight="false" outlineLevel="0" collapsed="false">
      <c r="A154" s="215" t="s">
        <v>331</v>
      </c>
      <c r="B154" s="219"/>
      <c r="C154" s="216"/>
      <c r="D154" s="199"/>
      <c r="E154" s="199"/>
      <c r="F154" s="200"/>
      <c r="G154" s="201"/>
      <c r="H154" s="202" t="n">
        <f aca="false">VLOOKUP(A154,'Thuc te theo thang'!$A$4:$I$309,8,FALSE())</f>
        <v>0</v>
      </c>
      <c r="I154" s="202" t="n">
        <f aca="false">VLOOKUP(A154,'Thuc te theo thang'!$A$4:$I$309,9,FALSE())</f>
        <v>0</v>
      </c>
      <c r="J154" s="202"/>
      <c r="K154" s="202" t="n">
        <f aca="false">H154-I154-J154</f>
        <v>0</v>
      </c>
      <c r="L154" s="202"/>
      <c r="M154" s="202"/>
    </row>
    <row r="155" customFormat="false" ht="18.75" hidden="true" customHeight="false" outlineLevel="0" collapsed="false">
      <c r="A155" s="215" t="s">
        <v>332</v>
      </c>
      <c r="C155" s="215"/>
      <c r="D155" s="199"/>
      <c r="E155" s="199"/>
      <c r="F155" s="200"/>
      <c r="G155" s="201"/>
      <c r="H155" s="202" t="n">
        <f aca="false">VLOOKUP(A155,'Thuc te theo thang'!$A$4:$I$309,8,FALSE())</f>
        <v>0</v>
      </c>
      <c r="I155" s="202" t="n">
        <f aca="false">VLOOKUP(A155,'Thuc te theo thang'!$A$4:$I$309,9,FALSE())</f>
        <v>0</v>
      </c>
      <c r="J155" s="202"/>
      <c r="K155" s="202" t="n">
        <f aca="false">H155-I155-J155</f>
        <v>0</v>
      </c>
      <c r="L155" s="202"/>
      <c r="M155" s="202"/>
    </row>
    <row r="156" customFormat="false" ht="18.75" hidden="true" customHeight="false" outlineLevel="0" collapsed="false">
      <c r="A156" s="215" t="s">
        <v>333</v>
      </c>
      <c r="B156" s="209"/>
      <c r="C156" s="220"/>
      <c r="D156" s="199"/>
      <c r="E156" s="199"/>
      <c r="F156" s="200"/>
      <c r="G156" s="201"/>
      <c r="H156" s="202" t="n">
        <f aca="false">VLOOKUP(A156,'Thuc te theo thang'!$A$4:$I$309,8,FALSE())</f>
        <v>0</v>
      </c>
      <c r="I156" s="202" t="n">
        <f aca="false">VLOOKUP(A156,'Thuc te theo thang'!$A$4:$I$309,9,FALSE())</f>
        <v>0</v>
      </c>
      <c r="J156" s="202"/>
      <c r="K156" s="202" t="n">
        <f aca="false">H156-I156-J156</f>
        <v>0</v>
      </c>
      <c r="L156" s="202"/>
      <c r="M156" s="202"/>
    </row>
    <row r="157" customFormat="false" ht="18.75" hidden="true" customHeight="false" outlineLevel="0" collapsed="false">
      <c r="A157" s="215" t="s">
        <v>334</v>
      </c>
      <c r="B157" s="209"/>
      <c r="C157" s="215"/>
      <c r="D157" s="199"/>
      <c r="E157" s="199"/>
      <c r="F157" s="200"/>
      <c r="G157" s="201"/>
      <c r="H157" s="202" t="n">
        <f aca="false">VLOOKUP(A157,'Thuc te theo thang'!$A$4:$I$309,8,FALSE())</f>
        <v>0</v>
      </c>
      <c r="I157" s="202" t="n">
        <f aca="false">VLOOKUP(A157,'Thuc te theo thang'!$A$4:$I$309,9,FALSE())</f>
        <v>0</v>
      </c>
      <c r="J157" s="202"/>
      <c r="K157" s="202" t="n">
        <f aca="false">H157-I157-J157</f>
        <v>0</v>
      </c>
      <c r="L157" s="202"/>
      <c r="M157" s="202"/>
    </row>
    <row r="158" customFormat="false" ht="18.75" hidden="true" customHeight="false" outlineLevel="0" collapsed="false">
      <c r="A158" s="215" t="s">
        <v>335</v>
      </c>
      <c r="B158" s="209"/>
      <c r="C158" s="215"/>
      <c r="D158" s="199"/>
      <c r="E158" s="199"/>
      <c r="F158" s="200"/>
      <c r="G158" s="201"/>
      <c r="H158" s="202" t="n">
        <f aca="false">VLOOKUP(A158,'Thuc te theo thang'!$A$4:$I$309,8,FALSE())</f>
        <v>0</v>
      </c>
      <c r="I158" s="202" t="n">
        <f aca="false">VLOOKUP(A158,'Thuc te theo thang'!$A$4:$I$309,9,FALSE())</f>
        <v>0</v>
      </c>
      <c r="J158" s="202"/>
      <c r="K158" s="202" t="n">
        <f aca="false">H158-I158-J158</f>
        <v>0</v>
      </c>
      <c r="L158" s="202"/>
      <c r="M158" s="202"/>
    </row>
    <row r="159" customFormat="false" ht="18.75" hidden="true" customHeight="false" outlineLevel="0" collapsed="false">
      <c r="A159" s="215" t="s">
        <v>336</v>
      </c>
      <c r="B159" s="209"/>
      <c r="C159" s="221"/>
      <c r="D159" s="199"/>
      <c r="E159" s="199"/>
      <c r="F159" s="200"/>
      <c r="G159" s="201"/>
      <c r="H159" s="202" t="n">
        <f aca="false">VLOOKUP(A159,'Thuc te theo thang'!$A$4:$I$309,8,FALSE())</f>
        <v>0</v>
      </c>
      <c r="I159" s="202" t="n">
        <f aca="false">VLOOKUP(A159,'Thuc te theo thang'!$A$4:$I$309,9,FALSE())</f>
        <v>0</v>
      </c>
      <c r="J159" s="202"/>
      <c r="K159" s="202" t="n">
        <f aca="false">H159-I159-J159</f>
        <v>0</v>
      </c>
      <c r="L159" s="202"/>
      <c r="M159" s="202"/>
    </row>
    <row r="160" customFormat="false" ht="18.75" hidden="true" customHeight="false" outlineLevel="0" collapsed="false">
      <c r="A160" s="215" t="s">
        <v>337</v>
      </c>
      <c r="B160" s="209"/>
      <c r="C160" s="215"/>
      <c r="D160" s="199"/>
      <c r="E160" s="199"/>
      <c r="F160" s="200"/>
      <c r="G160" s="201"/>
      <c r="H160" s="202" t="n">
        <f aca="false">VLOOKUP(A160,'Thuc te theo thang'!$A$4:$I$309,8,FALSE())</f>
        <v>0</v>
      </c>
      <c r="I160" s="202" t="n">
        <f aca="false">VLOOKUP(A160,'Thuc te theo thang'!$A$4:$I$309,9,FALSE())</f>
        <v>0</v>
      </c>
      <c r="J160" s="202"/>
      <c r="K160" s="202" t="n">
        <f aca="false">H160-I160-J160</f>
        <v>0</v>
      </c>
      <c r="L160" s="202"/>
      <c r="M160" s="202"/>
    </row>
    <row r="161" customFormat="false" ht="18.75" hidden="true" customHeight="false" outlineLevel="0" collapsed="false">
      <c r="A161" s="215" t="s">
        <v>338</v>
      </c>
      <c r="B161" s="209"/>
      <c r="C161" s="215"/>
      <c r="D161" s="199"/>
      <c r="E161" s="199"/>
      <c r="F161" s="200"/>
      <c r="G161" s="199"/>
      <c r="H161" s="202" t="n">
        <f aca="false">VLOOKUP(A161,'Thuc te theo thang'!$A$4:$I$309,8,FALSE())</f>
        <v>0</v>
      </c>
      <c r="I161" s="202" t="n">
        <f aca="false">VLOOKUP(A161,'Thuc te theo thang'!$A$4:$I$309,9,FALSE())</f>
        <v>0</v>
      </c>
      <c r="J161" s="202"/>
      <c r="K161" s="202" t="n">
        <f aca="false">H161-I161-J161</f>
        <v>0</v>
      </c>
      <c r="L161" s="202"/>
      <c r="M161" s="202"/>
    </row>
    <row r="162" customFormat="false" ht="18.75" hidden="true" customHeight="false" outlineLevel="0" collapsed="false">
      <c r="A162" s="215" t="s">
        <v>339</v>
      </c>
      <c r="B162" s="197"/>
      <c r="C162" s="215"/>
      <c r="D162" s="199"/>
      <c r="E162" s="199"/>
      <c r="F162" s="200"/>
      <c r="G162" s="201"/>
      <c r="H162" s="202" t="n">
        <f aca="false">VLOOKUP(A162,'Thuc te theo thang'!$A$4:$I$309,8,FALSE())</f>
        <v>0</v>
      </c>
      <c r="I162" s="202" t="n">
        <f aca="false">VLOOKUP(A162,'Thuc te theo thang'!$A$4:$I$309,9,FALSE())</f>
        <v>0</v>
      </c>
      <c r="J162" s="202"/>
      <c r="K162" s="202" t="n">
        <f aca="false">H162-I162-J162</f>
        <v>0</v>
      </c>
      <c r="L162" s="202"/>
      <c r="M162" s="202"/>
    </row>
    <row r="163" customFormat="false" ht="18.75" hidden="true" customHeight="false" outlineLevel="0" collapsed="false">
      <c r="A163" s="215" t="s">
        <v>340</v>
      </c>
      <c r="B163" s="197"/>
      <c r="C163" s="215"/>
      <c r="D163" s="199"/>
      <c r="E163" s="199"/>
      <c r="F163" s="200"/>
      <c r="G163" s="201"/>
      <c r="H163" s="202" t="n">
        <f aca="false">VLOOKUP(A163,'Thuc te theo thang'!$A$4:$I$309,8,FALSE())</f>
        <v>0</v>
      </c>
      <c r="I163" s="202" t="n">
        <f aca="false">VLOOKUP(A163,'Thuc te theo thang'!$A$4:$I$309,9,FALSE())</f>
        <v>0</v>
      </c>
      <c r="J163" s="202"/>
      <c r="K163" s="202" t="n">
        <f aca="false">H163-I163-J163</f>
        <v>0</v>
      </c>
      <c r="L163" s="202"/>
      <c r="M163" s="202"/>
    </row>
    <row r="164" customFormat="false" ht="18.75" hidden="true" customHeight="false" outlineLevel="0" collapsed="false">
      <c r="A164" s="215" t="s">
        <v>341</v>
      </c>
      <c r="B164" s="222"/>
      <c r="C164" s="215"/>
      <c r="D164" s="199"/>
      <c r="E164" s="199"/>
      <c r="F164" s="200"/>
      <c r="G164" s="201"/>
      <c r="H164" s="202" t="n">
        <f aca="false">VLOOKUP(A164,'Thuc te theo thang'!$A$4:$I$309,8,FALSE())</f>
        <v>0</v>
      </c>
      <c r="I164" s="202" t="n">
        <f aca="false">VLOOKUP(A164,'Thuc te theo thang'!$A$4:$I$309,9,FALSE())</f>
        <v>0</v>
      </c>
      <c r="J164" s="202"/>
      <c r="K164" s="202" t="n">
        <f aca="false">H164-I164-J164</f>
        <v>0</v>
      </c>
      <c r="L164" s="202"/>
      <c r="M164" s="202"/>
    </row>
    <row r="165" customFormat="false" ht="18.75" hidden="true" customHeight="false" outlineLevel="0" collapsed="false">
      <c r="A165" s="215" t="s">
        <v>342</v>
      </c>
      <c r="B165" s="222"/>
      <c r="C165" s="215"/>
      <c r="D165" s="199"/>
      <c r="E165" s="199"/>
      <c r="F165" s="200"/>
      <c r="G165" s="201"/>
      <c r="H165" s="202" t="n">
        <f aca="false">VLOOKUP(A165,'Thuc te theo thang'!$A$4:$I$309,8,FALSE())</f>
        <v>0</v>
      </c>
      <c r="I165" s="202" t="n">
        <f aca="false">VLOOKUP(A165,'Thuc te theo thang'!$A$4:$I$309,9,FALSE())</f>
        <v>0</v>
      </c>
      <c r="J165" s="202"/>
      <c r="K165" s="202" t="n">
        <f aca="false">H165-I165-J165</f>
        <v>0</v>
      </c>
      <c r="L165" s="202"/>
      <c r="M165" s="202"/>
    </row>
    <row r="166" customFormat="false" ht="18.75" hidden="true" customHeight="false" outlineLevel="0" collapsed="false">
      <c r="A166" s="215" t="s">
        <v>343</v>
      </c>
      <c r="B166" s="197"/>
      <c r="C166" s="215"/>
      <c r="D166" s="199"/>
      <c r="E166" s="199"/>
      <c r="F166" s="200"/>
      <c r="G166" s="201"/>
      <c r="H166" s="202" t="n">
        <f aca="false">VLOOKUP(A166,'Thuc te theo thang'!$A$4:$I$309,8,FALSE())</f>
        <v>0</v>
      </c>
      <c r="I166" s="202" t="n">
        <f aca="false">VLOOKUP(A166,'Thuc te theo thang'!$A$4:$I$309,9,FALSE())</f>
        <v>0</v>
      </c>
      <c r="J166" s="202"/>
      <c r="K166" s="202" t="n">
        <f aca="false">H166-I166-J166</f>
        <v>0</v>
      </c>
      <c r="L166" s="202"/>
      <c r="M166" s="202"/>
    </row>
    <row r="167" customFormat="false" ht="18.75" hidden="true" customHeight="false" outlineLevel="0" collapsed="false">
      <c r="A167" s="215" t="s">
        <v>344</v>
      </c>
      <c r="B167" s="197"/>
      <c r="C167" s="215"/>
      <c r="D167" s="199"/>
      <c r="E167" s="199"/>
      <c r="F167" s="200"/>
      <c r="G167" s="199"/>
      <c r="H167" s="202" t="n">
        <f aca="false">VLOOKUP(A167,'Thuc te theo thang'!$A$4:$I$309,8,FALSE())</f>
        <v>0</v>
      </c>
      <c r="I167" s="202" t="n">
        <f aca="false">VLOOKUP(A167,'Thuc te theo thang'!$A$4:$I$309,9,FALSE())</f>
        <v>0</v>
      </c>
      <c r="J167" s="202"/>
      <c r="K167" s="202" t="n">
        <f aca="false">H167-I167-J167</f>
        <v>0</v>
      </c>
      <c r="L167" s="202"/>
      <c r="M167" s="202"/>
    </row>
    <row r="168" customFormat="false" ht="18.75" hidden="true" customHeight="false" outlineLevel="0" collapsed="false">
      <c r="A168" s="215" t="s">
        <v>345</v>
      </c>
      <c r="B168" s="197"/>
      <c r="C168" s="215"/>
      <c r="D168" s="199"/>
      <c r="E168" s="199"/>
      <c r="F168" s="200"/>
      <c r="G168" s="201"/>
      <c r="H168" s="202" t="n">
        <f aca="false">VLOOKUP(A168,'Thuc te theo thang'!$A$4:$I$309,8,FALSE())</f>
        <v>0</v>
      </c>
      <c r="I168" s="202" t="n">
        <f aca="false">VLOOKUP(A168,'Thuc te theo thang'!$A$4:$I$309,9,FALSE())</f>
        <v>0</v>
      </c>
      <c r="J168" s="202"/>
      <c r="K168" s="202" t="n">
        <f aca="false">H168-I168-J168</f>
        <v>0</v>
      </c>
      <c r="L168" s="202"/>
      <c r="M168" s="202"/>
    </row>
    <row r="169" customFormat="false" ht="18.75" hidden="true" customHeight="false" outlineLevel="0" collapsed="false">
      <c r="A169" s="215" t="s">
        <v>346</v>
      </c>
      <c r="B169" s="197"/>
      <c r="C169" s="215"/>
      <c r="D169" s="199"/>
      <c r="E169" s="199"/>
      <c r="F169" s="200"/>
      <c r="G169" s="210"/>
      <c r="H169" s="202" t="n">
        <f aca="false">VLOOKUP(A169,'Thuc te theo thang'!$A$4:$I$309,8,FALSE())</f>
        <v>0</v>
      </c>
      <c r="I169" s="202" t="n">
        <f aca="false">VLOOKUP(A169,'Thuc te theo thang'!$A$4:$I$309,9,FALSE())</f>
        <v>0</v>
      </c>
      <c r="J169" s="202"/>
      <c r="K169" s="202" t="n">
        <f aca="false">H169-I169-J169</f>
        <v>0</v>
      </c>
      <c r="L169" s="202"/>
      <c r="M169" s="202"/>
    </row>
    <row r="170" customFormat="false" ht="18.75" hidden="true" customHeight="false" outlineLevel="0" collapsed="false">
      <c r="A170" s="215" t="s">
        <v>347</v>
      </c>
      <c r="B170" s="197"/>
      <c r="C170" s="215"/>
      <c r="D170" s="199"/>
      <c r="E170" s="199"/>
      <c r="F170" s="200"/>
      <c r="G170" s="201"/>
      <c r="H170" s="202" t="n">
        <f aca="false">VLOOKUP(A170,'Thuc te theo thang'!$A$4:$I$309,8,FALSE())</f>
        <v>0</v>
      </c>
      <c r="I170" s="202" t="n">
        <f aca="false">VLOOKUP(A170,'Thuc te theo thang'!$A$4:$I$309,9,FALSE())</f>
        <v>0</v>
      </c>
      <c r="J170" s="202"/>
      <c r="K170" s="202" t="n">
        <f aca="false">H170-I170-J170</f>
        <v>0</v>
      </c>
      <c r="L170" s="202"/>
      <c r="M170" s="202"/>
    </row>
    <row r="171" customFormat="false" ht="18.75" hidden="true" customHeight="false" outlineLevel="0" collapsed="false">
      <c r="A171" s="215" t="s">
        <v>348</v>
      </c>
      <c r="B171" s="197"/>
      <c r="C171" s="215"/>
      <c r="D171" s="199"/>
      <c r="E171" s="199"/>
      <c r="F171" s="200"/>
      <c r="G171" s="201"/>
      <c r="H171" s="202" t="n">
        <f aca="false">VLOOKUP(A171,'Thuc te theo thang'!$A$4:$I$309,8,FALSE())</f>
        <v>0</v>
      </c>
      <c r="I171" s="202" t="n">
        <f aca="false">VLOOKUP(A171,'Thuc te theo thang'!$A$4:$I$309,9,FALSE())</f>
        <v>0</v>
      </c>
      <c r="J171" s="202"/>
      <c r="K171" s="202" t="n">
        <f aca="false">H171-I171-J171</f>
        <v>0</v>
      </c>
      <c r="L171" s="202"/>
      <c r="M171" s="202"/>
    </row>
    <row r="172" customFormat="false" ht="18.75" hidden="true" customHeight="false" outlineLevel="0" collapsed="false">
      <c r="A172" s="215" t="s">
        <v>349</v>
      </c>
      <c r="B172" s="209"/>
      <c r="C172" s="215"/>
      <c r="D172" s="199"/>
      <c r="E172" s="199"/>
      <c r="F172" s="200"/>
      <c r="G172" s="201"/>
      <c r="H172" s="202" t="n">
        <f aca="false">VLOOKUP(A172,'Thuc te theo thang'!$A$4:$I$309,8,FALSE())</f>
        <v>0</v>
      </c>
      <c r="I172" s="202" t="n">
        <f aca="false">VLOOKUP(A172,'Thuc te theo thang'!$A$4:$I$309,9,FALSE())</f>
        <v>0</v>
      </c>
      <c r="J172" s="202"/>
      <c r="K172" s="202" t="n">
        <f aca="false">H172-I172-J172</f>
        <v>0</v>
      </c>
      <c r="L172" s="202"/>
      <c r="M172" s="202"/>
    </row>
    <row r="173" customFormat="false" ht="18.75" hidden="true" customHeight="false" outlineLevel="0" collapsed="false">
      <c r="A173" s="215" t="s">
        <v>350</v>
      </c>
      <c r="B173" s="209"/>
      <c r="C173" s="216"/>
      <c r="D173" s="199"/>
      <c r="E173" s="199"/>
      <c r="F173" s="200"/>
      <c r="G173" s="201"/>
      <c r="H173" s="202" t="n">
        <f aca="false">VLOOKUP(A173,'Thuc te theo thang'!$A$4:$I$309,8,FALSE())</f>
        <v>0</v>
      </c>
      <c r="I173" s="202" t="n">
        <f aca="false">VLOOKUP(A173,'Thuc te theo thang'!$A$4:$I$309,9,FALSE())</f>
        <v>0</v>
      </c>
      <c r="J173" s="202"/>
      <c r="K173" s="202" t="n">
        <f aca="false">H173-I173-J173</f>
        <v>0</v>
      </c>
      <c r="L173" s="202"/>
      <c r="M173" s="202"/>
    </row>
    <row r="174" customFormat="false" ht="18.75" hidden="true" customHeight="false" outlineLevel="0" collapsed="false">
      <c r="A174" s="215" t="s">
        <v>351</v>
      </c>
      <c r="B174" s="197"/>
      <c r="C174" s="216"/>
      <c r="D174" s="199"/>
      <c r="E174" s="199"/>
      <c r="F174" s="200"/>
      <c r="G174" s="201"/>
      <c r="H174" s="202" t="n">
        <f aca="false">VLOOKUP(A174,'Thuc te theo thang'!$A$4:$I$309,8,FALSE())</f>
        <v>0</v>
      </c>
      <c r="I174" s="202" t="n">
        <f aca="false">VLOOKUP(A174,'Thuc te theo thang'!$A$4:$I$309,9,FALSE())</f>
        <v>0</v>
      </c>
      <c r="J174" s="202"/>
      <c r="K174" s="202" t="n">
        <f aca="false">H174-I174-J174</f>
        <v>0</v>
      </c>
      <c r="L174" s="202"/>
      <c r="M174" s="202"/>
    </row>
    <row r="175" customFormat="false" ht="18.75" hidden="true" customHeight="false" outlineLevel="0" collapsed="false">
      <c r="A175" s="215" t="s">
        <v>352</v>
      </c>
      <c r="B175" s="197"/>
      <c r="C175" s="216"/>
      <c r="D175" s="199"/>
      <c r="E175" s="199"/>
      <c r="F175" s="200"/>
      <c r="G175" s="201"/>
      <c r="H175" s="202" t="n">
        <f aca="false">VLOOKUP(A175,'Thuc te theo thang'!$A$4:$I$309,8,FALSE())</f>
        <v>0</v>
      </c>
      <c r="I175" s="202" t="n">
        <f aca="false">VLOOKUP(A175,'Thuc te theo thang'!$A$4:$I$309,9,FALSE())</f>
        <v>0</v>
      </c>
      <c r="J175" s="202"/>
      <c r="K175" s="202" t="n">
        <f aca="false">H175-I175-J175</f>
        <v>0</v>
      </c>
      <c r="L175" s="202"/>
      <c r="M175" s="202"/>
    </row>
    <row r="176" customFormat="false" ht="18.75" hidden="true" customHeight="false" outlineLevel="0" collapsed="false">
      <c r="A176" s="215" t="s">
        <v>353</v>
      </c>
      <c r="B176" s="222"/>
      <c r="C176" s="215"/>
      <c r="D176" s="199"/>
      <c r="E176" s="199"/>
      <c r="F176" s="200"/>
      <c r="G176" s="201"/>
      <c r="H176" s="202" t="n">
        <f aca="false">VLOOKUP(A176,'Thuc te theo thang'!$A$4:$I$309,8,FALSE())</f>
        <v>0</v>
      </c>
      <c r="I176" s="202" t="n">
        <f aca="false">VLOOKUP(A176,'Thuc te theo thang'!$A$4:$I$309,9,FALSE())</f>
        <v>0</v>
      </c>
      <c r="J176" s="202"/>
      <c r="K176" s="202" t="n">
        <f aca="false">H176-I176-J176</f>
        <v>0</v>
      </c>
      <c r="L176" s="202"/>
      <c r="M176" s="202"/>
    </row>
    <row r="177" customFormat="false" ht="18.75" hidden="true" customHeight="false" outlineLevel="0" collapsed="false">
      <c r="A177" s="215" t="s">
        <v>354</v>
      </c>
      <c r="B177" s="197"/>
      <c r="C177" s="220"/>
      <c r="D177" s="223"/>
      <c r="E177" s="223"/>
      <c r="F177" s="217"/>
      <c r="G177" s="201"/>
      <c r="H177" s="202" t="n">
        <f aca="false">VLOOKUP(A177,'Thuc te theo thang'!$A$4:$I$309,8,FALSE())</f>
        <v>0</v>
      </c>
      <c r="I177" s="202" t="n">
        <f aca="false">VLOOKUP(A177,'Thuc te theo thang'!$A$4:$I$309,9,FALSE())</f>
        <v>0</v>
      </c>
      <c r="J177" s="202"/>
      <c r="K177" s="202" t="n">
        <f aca="false">H177-I177-J177</f>
        <v>0</v>
      </c>
      <c r="L177" s="202"/>
      <c r="M177" s="202"/>
    </row>
    <row r="178" customFormat="false" ht="18.75" hidden="true" customHeight="false" outlineLevel="0" collapsed="false">
      <c r="A178" s="215" t="s">
        <v>355</v>
      </c>
      <c r="B178" s="209"/>
      <c r="C178" s="215"/>
      <c r="D178" s="199"/>
      <c r="E178" s="199"/>
      <c r="F178" s="200"/>
      <c r="G178" s="201"/>
      <c r="H178" s="202" t="n">
        <f aca="false">VLOOKUP(A178,'Thuc te theo thang'!$A$4:$I$309,8,FALSE())</f>
        <v>0</v>
      </c>
      <c r="I178" s="202" t="n">
        <f aca="false">VLOOKUP(A178,'Thuc te theo thang'!$A$4:$I$309,9,FALSE())</f>
        <v>0</v>
      </c>
      <c r="J178" s="202"/>
      <c r="K178" s="202" t="n">
        <f aca="false">H178-I178-J178</f>
        <v>0</v>
      </c>
      <c r="L178" s="202"/>
      <c r="M178" s="202"/>
    </row>
    <row r="179" customFormat="false" ht="18.75" hidden="true" customHeight="false" outlineLevel="0" collapsed="false">
      <c r="A179" s="215" t="s">
        <v>356</v>
      </c>
      <c r="B179" s="209"/>
      <c r="C179" s="215"/>
      <c r="D179" s="199"/>
      <c r="E179" s="199"/>
      <c r="F179" s="200"/>
      <c r="G179" s="201"/>
      <c r="H179" s="202" t="n">
        <f aca="false">VLOOKUP(A179,'Thuc te theo thang'!$A$4:$I$309,8,FALSE())</f>
        <v>0</v>
      </c>
      <c r="I179" s="202" t="n">
        <f aca="false">VLOOKUP(A179,'Thuc te theo thang'!$A$4:$I$309,9,FALSE())</f>
        <v>0</v>
      </c>
      <c r="J179" s="202"/>
      <c r="K179" s="202" t="n">
        <f aca="false">H179-I179-J179</f>
        <v>0</v>
      </c>
      <c r="L179" s="202"/>
      <c r="M179" s="202"/>
    </row>
    <row r="180" customFormat="false" ht="18.75" hidden="true" customHeight="false" outlineLevel="0" collapsed="false">
      <c r="A180" s="215" t="s">
        <v>357</v>
      </c>
      <c r="B180" s="209"/>
      <c r="C180" s="215"/>
      <c r="D180" s="199"/>
      <c r="E180" s="199"/>
      <c r="F180" s="200"/>
      <c r="G180" s="201"/>
      <c r="H180" s="202" t="n">
        <f aca="false">VLOOKUP(A180,'Thuc te theo thang'!$A$4:$I$309,8,FALSE())</f>
        <v>0</v>
      </c>
      <c r="I180" s="202" t="n">
        <f aca="false">VLOOKUP(A180,'Thuc te theo thang'!$A$4:$I$309,9,FALSE())</f>
        <v>0</v>
      </c>
      <c r="J180" s="202"/>
      <c r="K180" s="202" t="n">
        <f aca="false">H180-I180-J180</f>
        <v>0</v>
      </c>
      <c r="L180" s="202"/>
      <c r="M180" s="202"/>
    </row>
    <row r="181" customFormat="false" ht="18.75" hidden="true" customHeight="false" outlineLevel="0" collapsed="false">
      <c r="A181" s="215" t="s">
        <v>358</v>
      </c>
      <c r="B181" s="209"/>
      <c r="C181" s="215"/>
      <c r="D181" s="199"/>
      <c r="E181" s="199"/>
      <c r="F181" s="200"/>
      <c r="G181" s="201"/>
      <c r="H181" s="202" t="n">
        <f aca="false">VLOOKUP(A181,'Thuc te theo thang'!$A$4:$I$309,8,FALSE())</f>
        <v>0</v>
      </c>
      <c r="I181" s="202" t="n">
        <f aca="false">VLOOKUP(A181,'Thuc te theo thang'!$A$4:$I$309,9,FALSE())</f>
        <v>0</v>
      </c>
      <c r="J181" s="202"/>
      <c r="K181" s="202" t="n">
        <f aca="false">H181-I181-J181</f>
        <v>0</v>
      </c>
      <c r="L181" s="202"/>
      <c r="M181" s="202"/>
    </row>
    <row r="182" customFormat="false" ht="18.75" hidden="true" customHeight="false" outlineLevel="0" collapsed="false">
      <c r="A182" s="215" t="s">
        <v>359</v>
      </c>
      <c r="B182" s="197"/>
      <c r="C182" s="215"/>
      <c r="D182" s="199"/>
      <c r="E182" s="199"/>
      <c r="F182" s="200"/>
      <c r="G182" s="199"/>
      <c r="H182" s="202" t="n">
        <f aca="false">VLOOKUP(A182,'Thuc te theo thang'!$A$4:$I$309,8,FALSE())</f>
        <v>0</v>
      </c>
      <c r="I182" s="202" t="n">
        <f aca="false">VLOOKUP(A182,'Thuc te theo thang'!$A$4:$I$309,9,FALSE())</f>
        <v>0</v>
      </c>
      <c r="J182" s="202"/>
      <c r="K182" s="202" t="n">
        <f aca="false">H182-I182-J182</f>
        <v>0</v>
      </c>
      <c r="L182" s="202"/>
      <c r="M182" s="202"/>
    </row>
    <row r="183" customFormat="false" ht="18.75" hidden="true" customHeight="false" outlineLevel="0" collapsed="false">
      <c r="A183" s="215" t="s">
        <v>360</v>
      </c>
      <c r="B183" s="209"/>
      <c r="C183" s="215"/>
      <c r="D183" s="199"/>
      <c r="E183" s="199"/>
      <c r="F183" s="200"/>
      <c r="G183" s="201"/>
      <c r="H183" s="202" t="n">
        <f aca="false">VLOOKUP(A183,'Thuc te theo thang'!$A$4:$I$309,8,FALSE())</f>
        <v>0</v>
      </c>
      <c r="I183" s="202" t="n">
        <f aca="false">VLOOKUP(A183,'Thuc te theo thang'!$A$4:$I$309,9,FALSE())</f>
        <v>0</v>
      </c>
      <c r="J183" s="202"/>
      <c r="K183" s="202" t="n">
        <f aca="false">H183-I183-J183</f>
        <v>0</v>
      </c>
      <c r="L183" s="202"/>
      <c r="M183" s="202"/>
    </row>
    <row r="184" customFormat="false" ht="18.75" hidden="true" customHeight="false" outlineLevel="0" collapsed="false">
      <c r="A184" s="215" t="s">
        <v>361</v>
      </c>
      <c r="B184" s="209"/>
      <c r="C184" s="215"/>
      <c r="D184" s="199"/>
      <c r="E184" s="199"/>
      <c r="F184" s="200"/>
      <c r="G184" s="210"/>
      <c r="H184" s="202" t="n">
        <f aca="false">VLOOKUP(A184,'Thuc te theo thang'!$A$4:$I$309,8,FALSE())</f>
        <v>0</v>
      </c>
      <c r="I184" s="202" t="n">
        <f aca="false">VLOOKUP(A184,'Thuc te theo thang'!$A$4:$I$309,9,FALSE())</f>
        <v>0</v>
      </c>
      <c r="J184" s="202"/>
      <c r="K184" s="202" t="n">
        <f aca="false">H184-I184-J184</f>
        <v>0</v>
      </c>
      <c r="L184" s="202"/>
      <c r="M184" s="202"/>
    </row>
    <row r="185" customFormat="false" ht="18.75" hidden="true" customHeight="false" outlineLevel="0" collapsed="false">
      <c r="A185" s="215" t="s">
        <v>362</v>
      </c>
      <c r="B185" s="209"/>
      <c r="C185" s="215"/>
      <c r="D185" s="199"/>
      <c r="E185" s="199"/>
      <c r="F185" s="200"/>
      <c r="G185" s="201"/>
      <c r="H185" s="202" t="n">
        <f aca="false">VLOOKUP(A185,'Thuc te theo thang'!$A$4:$I$309,8,FALSE())</f>
        <v>0</v>
      </c>
      <c r="I185" s="202" t="n">
        <f aca="false">VLOOKUP(A185,'Thuc te theo thang'!$A$4:$I$309,9,FALSE())</f>
        <v>0</v>
      </c>
      <c r="J185" s="202"/>
      <c r="K185" s="202" t="n">
        <f aca="false">H185-I185-J185</f>
        <v>0</v>
      </c>
      <c r="L185" s="202"/>
      <c r="M185" s="202"/>
    </row>
    <row r="186" customFormat="false" ht="18.75" hidden="true" customHeight="false" outlineLevel="0" collapsed="false">
      <c r="A186" s="215" t="s">
        <v>363</v>
      </c>
      <c r="B186" s="209"/>
      <c r="C186" s="215"/>
      <c r="D186" s="199"/>
      <c r="E186" s="199"/>
      <c r="F186" s="200"/>
      <c r="G186" s="201"/>
      <c r="H186" s="202" t="n">
        <f aca="false">VLOOKUP(A186,'Thuc te theo thang'!$A$4:$I$309,8,FALSE())</f>
        <v>0</v>
      </c>
      <c r="I186" s="202" t="n">
        <f aca="false">VLOOKUP(A186,'Thuc te theo thang'!$A$4:$I$309,9,FALSE())</f>
        <v>0</v>
      </c>
      <c r="J186" s="202"/>
      <c r="K186" s="202" t="n">
        <f aca="false">H186-I186-J186</f>
        <v>0</v>
      </c>
      <c r="L186" s="202"/>
      <c r="M186" s="202"/>
    </row>
    <row r="187" customFormat="false" ht="18.75" hidden="true" customHeight="false" outlineLevel="0" collapsed="false">
      <c r="A187" s="215" t="s">
        <v>364</v>
      </c>
      <c r="B187" s="209"/>
      <c r="C187" s="215"/>
      <c r="D187" s="199"/>
      <c r="E187" s="199"/>
      <c r="F187" s="200"/>
      <c r="G187" s="201"/>
      <c r="H187" s="202" t="n">
        <f aca="false">VLOOKUP(A187,'Thuc te theo thang'!$A$4:$I$309,8,FALSE())</f>
        <v>0</v>
      </c>
      <c r="I187" s="202" t="n">
        <f aca="false">VLOOKUP(A187,'Thuc te theo thang'!$A$4:$I$309,9,FALSE())</f>
        <v>0</v>
      </c>
      <c r="J187" s="202"/>
      <c r="K187" s="202" t="n">
        <f aca="false">H187-I187-J187</f>
        <v>0</v>
      </c>
      <c r="L187" s="202"/>
      <c r="M187" s="202"/>
    </row>
    <row r="188" customFormat="false" ht="18.75" hidden="true" customHeight="false" outlineLevel="0" collapsed="false">
      <c r="A188" s="215" t="s">
        <v>365</v>
      </c>
      <c r="B188" s="209"/>
      <c r="C188" s="216"/>
      <c r="D188" s="199"/>
      <c r="E188" s="199"/>
      <c r="F188" s="200"/>
      <c r="G188" s="201"/>
      <c r="H188" s="202" t="n">
        <f aca="false">VLOOKUP(A188,'Thuc te theo thang'!$A$4:$I$309,8,FALSE())</f>
        <v>0</v>
      </c>
      <c r="I188" s="202" t="n">
        <f aca="false">VLOOKUP(A188,'Thuc te theo thang'!$A$4:$I$309,9,FALSE())</f>
        <v>0</v>
      </c>
      <c r="J188" s="202"/>
      <c r="K188" s="202" t="n">
        <f aca="false">H188-I188-J188</f>
        <v>0</v>
      </c>
      <c r="L188" s="202"/>
      <c r="M188" s="202"/>
    </row>
    <row r="189" customFormat="false" ht="18.75" hidden="true" customHeight="false" outlineLevel="0" collapsed="false">
      <c r="A189" s="215" t="s">
        <v>366</v>
      </c>
      <c r="B189" s="209"/>
      <c r="C189" s="215"/>
      <c r="D189" s="199"/>
      <c r="E189" s="199"/>
      <c r="F189" s="200"/>
      <c r="G189" s="201"/>
      <c r="H189" s="202" t="n">
        <f aca="false">VLOOKUP(A189,'Thuc te theo thang'!$A$4:$I$309,8,FALSE())</f>
        <v>0</v>
      </c>
      <c r="I189" s="202" t="n">
        <f aca="false">VLOOKUP(A189,'Thuc te theo thang'!$A$4:$I$309,9,FALSE())</f>
        <v>0</v>
      </c>
      <c r="J189" s="202"/>
      <c r="K189" s="202" t="n">
        <f aca="false">H189-I189-J189</f>
        <v>0</v>
      </c>
      <c r="L189" s="202"/>
      <c r="M189" s="202"/>
    </row>
    <row r="190" customFormat="false" ht="18.75" hidden="true" customHeight="false" outlineLevel="0" collapsed="false">
      <c r="A190" s="215" t="s">
        <v>367</v>
      </c>
      <c r="B190" s="209"/>
      <c r="C190" s="215"/>
      <c r="D190" s="199"/>
      <c r="E190" s="199"/>
      <c r="F190" s="200"/>
      <c r="G190" s="201"/>
      <c r="H190" s="202" t="n">
        <f aca="false">VLOOKUP(A190,'Thuc te theo thang'!$A$4:$I$309,8,FALSE())</f>
        <v>0</v>
      </c>
      <c r="I190" s="202" t="n">
        <f aca="false">VLOOKUP(A190,'Thuc te theo thang'!$A$4:$I$309,9,FALSE())</f>
        <v>0</v>
      </c>
      <c r="J190" s="202"/>
      <c r="K190" s="202" t="n">
        <f aca="false">H190-I190-J190</f>
        <v>0</v>
      </c>
      <c r="L190" s="202"/>
      <c r="M190" s="202"/>
    </row>
    <row r="191" customFormat="false" ht="18.75" hidden="true" customHeight="false" outlineLevel="0" collapsed="false">
      <c r="A191" s="215" t="s">
        <v>368</v>
      </c>
      <c r="B191" s="218"/>
      <c r="C191" s="216"/>
      <c r="D191" s="199"/>
      <c r="E191" s="199"/>
      <c r="F191" s="200"/>
      <c r="G191" s="201"/>
      <c r="H191" s="202" t="n">
        <f aca="false">VLOOKUP(A191,'Thuc te theo thang'!$A$4:$I$309,8,FALSE())</f>
        <v>0</v>
      </c>
      <c r="I191" s="202" t="n">
        <f aca="false">VLOOKUP(A191,'Thuc te theo thang'!$A$4:$I$309,9,FALSE())</f>
        <v>0</v>
      </c>
      <c r="J191" s="202"/>
      <c r="K191" s="202" t="n">
        <f aca="false">H191-I191-J191</f>
        <v>0</v>
      </c>
      <c r="L191" s="202"/>
      <c r="M191" s="202"/>
    </row>
    <row r="192" customFormat="false" ht="18.75" hidden="true" customHeight="false" outlineLevel="0" collapsed="false">
      <c r="A192" s="215" t="s">
        <v>369</v>
      </c>
      <c r="B192" s="224"/>
      <c r="C192" s="198"/>
      <c r="D192" s="199"/>
      <c r="E192" s="199"/>
      <c r="F192" s="200"/>
      <c r="G192" s="201"/>
      <c r="H192" s="202" t="n">
        <f aca="false">VLOOKUP(A192,'Thuc te theo thang'!$A$4:$I$309,8,FALSE())</f>
        <v>0</v>
      </c>
      <c r="I192" s="202" t="n">
        <f aca="false">VLOOKUP(A192,'Thuc te theo thang'!$A$4:$I$309,9,FALSE())</f>
        <v>0</v>
      </c>
      <c r="J192" s="202"/>
      <c r="K192" s="202" t="n">
        <f aca="false">H192-I192-J192</f>
        <v>0</v>
      </c>
      <c r="L192" s="202"/>
      <c r="M192" s="202"/>
    </row>
    <row r="193" customFormat="false" ht="18.75" hidden="true" customHeight="false" outlineLevel="0" collapsed="false">
      <c r="A193" s="215" t="s">
        <v>370</v>
      </c>
      <c r="B193" s="224"/>
      <c r="C193" s="198"/>
      <c r="D193" s="199"/>
      <c r="E193" s="199"/>
      <c r="F193" s="200"/>
      <c r="G193" s="201"/>
      <c r="H193" s="202" t="n">
        <f aca="false">VLOOKUP(A193,'Thuc te theo thang'!$A$4:$I$309,8,FALSE())</f>
        <v>0</v>
      </c>
      <c r="I193" s="202" t="n">
        <f aca="false">VLOOKUP(A193,'Thuc te theo thang'!$A$4:$I$309,9,FALSE())</f>
        <v>0</v>
      </c>
      <c r="J193" s="202"/>
      <c r="K193" s="202" t="n">
        <f aca="false">H193-I193-J193</f>
        <v>0</v>
      </c>
      <c r="L193" s="202"/>
      <c r="M193" s="202"/>
    </row>
    <row r="194" customFormat="false" ht="18.75" hidden="true" customHeight="false" outlineLevel="0" collapsed="false">
      <c r="A194" s="215" t="s">
        <v>371</v>
      </c>
      <c r="B194" s="224"/>
      <c r="C194" s="215"/>
      <c r="D194" s="199"/>
      <c r="E194" s="199"/>
      <c r="F194" s="200"/>
      <c r="G194" s="201"/>
      <c r="H194" s="202" t="n">
        <f aca="false">VLOOKUP(A194,'Thuc te theo thang'!$A$4:$I$309,8,FALSE())</f>
        <v>0</v>
      </c>
      <c r="I194" s="202" t="n">
        <f aca="false">VLOOKUP(A194,'Thuc te theo thang'!$A$4:$I$309,9,FALSE())</f>
        <v>0</v>
      </c>
      <c r="J194" s="202"/>
      <c r="K194" s="202" t="n">
        <f aca="false">H194-I194-J194</f>
        <v>0</v>
      </c>
      <c r="L194" s="202"/>
      <c r="M194" s="202"/>
    </row>
    <row r="195" customFormat="false" ht="18.75" hidden="true" customHeight="false" outlineLevel="0" collapsed="false">
      <c r="A195" s="215" t="s">
        <v>372</v>
      </c>
      <c r="B195" s="209"/>
      <c r="C195" s="215"/>
      <c r="D195" s="199"/>
      <c r="E195" s="199"/>
      <c r="F195" s="200"/>
      <c r="G195" s="201"/>
      <c r="H195" s="202" t="n">
        <f aca="false">VLOOKUP(A195,'Thuc te theo thang'!$A$4:$I$309,8,FALSE())</f>
        <v>0</v>
      </c>
      <c r="I195" s="202" t="n">
        <f aca="false">VLOOKUP(A195,'Thuc te theo thang'!$A$4:$I$309,9,FALSE())</f>
        <v>0</v>
      </c>
      <c r="J195" s="202"/>
      <c r="K195" s="202" t="n">
        <f aca="false">H195-I195-J195</f>
        <v>0</v>
      </c>
      <c r="L195" s="202"/>
      <c r="M195" s="202"/>
    </row>
    <row r="196" customFormat="false" ht="18.75" hidden="true" customHeight="false" outlineLevel="0" collapsed="false">
      <c r="A196" s="215" t="s">
        <v>373</v>
      </c>
      <c r="B196" s="218"/>
      <c r="C196" s="216"/>
      <c r="D196" s="199"/>
      <c r="E196" s="199"/>
      <c r="F196" s="200"/>
      <c r="G196" s="210"/>
      <c r="H196" s="202" t="n">
        <f aca="false">VLOOKUP(A196,'Thuc te theo thang'!$A$4:$I$309,8,FALSE())</f>
        <v>0</v>
      </c>
      <c r="I196" s="202" t="n">
        <f aca="false">VLOOKUP(A196,'Thuc te theo thang'!$A$4:$I$309,9,FALSE())</f>
        <v>0</v>
      </c>
      <c r="J196" s="202"/>
      <c r="K196" s="202" t="n">
        <f aca="false">H196-I196-J196</f>
        <v>0</v>
      </c>
      <c r="L196" s="202"/>
      <c r="M196" s="202"/>
    </row>
    <row r="197" customFormat="false" ht="18.75" hidden="true" customHeight="false" outlineLevel="0" collapsed="false">
      <c r="A197" s="215" t="s">
        <v>374</v>
      </c>
      <c r="B197" s="209"/>
      <c r="C197" s="215"/>
      <c r="D197" s="199"/>
      <c r="E197" s="199"/>
      <c r="F197" s="200"/>
      <c r="G197" s="201"/>
      <c r="H197" s="202" t="n">
        <f aca="false">VLOOKUP(A197,'Thuc te theo thang'!$A$4:$I$309,8,FALSE())</f>
        <v>0</v>
      </c>
      <c r="I197" s="202" t="n">
        <f aca="false">VLOOKUP(A197,'Thuc te theo thang'!$A$4:$I$309,9,FALSE())</f>
        <v>0</v>
      </c>
      <c r="J197" s="202"/>
      <c r="K197" s="202" t="n">
        <f aca="false">H197-I197-J197</f>
        <v>0</v>
      </c>
      <c r="L197" s="202"/>
      <c r="M197" s="202"/>
    </row>
    <row r="198" customFormat="false" ht="18.75" hidden="true" customHeight="false" outlineLevel="0" collapsed="false">
      <c r="A198" s="215" t="s">
        <v>375</v>
      </c>
      <c r="B198" s="209"/>
      <c r="C198" s="215"/>
      <c r="D198" s="199"/>
      <c r="E198" s="199"/>
      <c r="F198" s="200"/>
      <c r="G198" s="201"/>
      <c r="H198" s="202" t="n">
        <f aca="false">VLOOKUP(A198,'Thuc te theo thang'!$A$4:$I$309,8,FALSE())</f>
        <v>0</v>
      </c>
      <c r="I198" s="202" t="n">
        <f aca="false">VLOOKUP(A198,'Thuc te theo thang'!$A$4:$I$309,9,FALSE())</f>
        <v>0</v>
      </c>
      <c r="J198" s="202"/>
      <c r="K198" s="202" t="n">
        <f aca="false">H198-I198-J198</f>
        <v>0</v>
      </c>
      <c r="L198" s="202"/>
      <c r="M198" s="202"/>
    </row>
    <row r="199" customFormat="false" ht="18.75" hidden="true" customHeight="false" outlineLevel="0" collapsed="false">
      <c r="A199" s="215" t="s">
        <v>376</v>
      </c>
      <c r="B199" s="209"/>
      <c r="C199" s="215"/>
      <c r="D199" s="199"/>
      <c r="E199" s="199"/>
      <c r="F199" s="200"/>
      <c r="G199" s="201"/>
      <c r="H199" s="202" t="n">
        <f aca="false">VLOOKUP(A199,'Thuc te theo thang'!$A$4:$I$309,8,FALSE())</f>
        <v>0</v>
      </c>
      <c r="I199" s="202" t="n">
        <f aca="false">VLOOKUP(A199,'Thuc te theo thang'!$A$4:$I$309,9,FALSE())</f>
        <v>0</v>
      </c>
      <c r="J199" s="202"/>
      <c r="K199" s="202" t="n">
        <f aca="false">H199-I199-J199</f>
        <v>0</v>
      </c>
      <c r="L199" s="202"/>
      <c r="M199" s="202"/>
    </row>
    <row r="200" customFormat="false" ht="18.75" hidden="true" customHeight="false" outlineLevel="0" collapsed="false">
      <c r="A200" s="215" t="s">
        <v>377</v>
      </c>
      <c r="B200" s="209"/>
      <c r="C200" s="215"/>
      <c r="D200" s="199"/>
      <c r="E200" s="199"/>
      <c r="F200" s="200"/>
      <c r="G200" s="201"/>
      <c r="H200" s="202" t="n">
        <f aca="false">VLOOKUP(A200,'Thuc te theo thang'!$A$4:$I$309,8,FALSE())</f>
        <v>0</v>
      </c>
      <c r="I200" s="202" t="n">
        <f aca="false">VLOOKUP(A200,'Thuc te theo thang'!$A$4:$I$309,9,FALSE())</f>
        <v>0</v>
      </c>
      <c r="J200" s="202"/>
      <c r="K200" s="202" t="n">
        <f aca="false">H200-I200-J200</f>
        <v>0</v>
      </c>
      <c r="L200" s="202"/>
      <c r="M200" s="202"/>
    </row>
    <row r="201" customFormat="false" ht="18.75" hidden="true" customHeight="false" outlineLevel="0" collapsed="false">
      <c r="A201" s="215" t="s">
        <v>378</v>
      </c>
      <c r="B201" s="209"/>
      <c r="C201" s="215"/>
      <c r="D201" s="199"/>
      <c r="E201" s="199"/>
      <c r="F201" s="200"/>
      <c r="G201" s="201"/>
      <c r="H201" s="202" t="n">
        <f aca="false">VLOOKUP(A201,'Thuc te theo thang'!$A$4:$I$309,8,FALSE())</f>
        <v>0</v>
      </c>
      <c r="I201" s="202" t="n">
        <f aca="false">VLOOKUP(A201,'Thuc te theo thang'!$A$4:$I$309,9,FALSE())</f>
        <v>0</v>
      </c>
      <c r="J201" s="202"/>
      <c r="K201" s="202" t="n">
        <f aca="false">H201-I201-J201</f>
        <v>0</v>
      </c>
      <c r="L201" s="202"/>
      <c r="M201" s="202"/>
    </row>
    <row r="202" customFormat="false" ht="18.75" hidden="true" customHeight="false" outlineLevel="0" collapsed="false">
      <c r="A202" s="215" t="s">
        <v>379</v>
      </c>
      <c r="B202" s="209"/>
      <c r="C202" s="221"/>
      <c r="D202" s="199"/>
      <c r="E202" s="199"/>
      <c r="F202" s="200"/>
      <c r="G202" s="201"/>
      <c r="H202" s="202" t="n">
        <f aca="false">VLOOKUP(A202,'Thuc te theo thang'!$A$4:$I$309,8,FALSE())</f>
        <v>0</v>
      </c>
      <c r="I202" s="202" t="n">
        <f aca="false">VLOOKUP(A202,'Thuc te theo thang'!$A$4:$I$309,9,FALSE())</f>
        <v>0</v>
      </c>
      <c r="J202" s="202"/>
      <c r="K202" s="202" t="n">
        <f aca="false">H202-I202-J202</f>
        <v>0</v>
      </c>
      <c r="L202" s="202"/>
      <c r="M202" s="202"/>
    </row>
    <row r="203" customFormat="false" ht="18.75" hidden="true" customHeight="false" outlineLevel="0" collapsed="false">
      <c r="A203" s="215" t="s">
        <v>380</v>
      </c>
      <c r="B203" s="209"/>
      <c r="C203" s="215"/>
      <c r="D203" s="199"/>
      <c r="E203" s="199"/>
      <c r="F203" s="200"/>
      <c r="G203" s="201"/>
      <c r="H203" s="202" t="n">
        <f aca="false">VLOOKUP(A203,'Thuc te theo thang'!$A$4:$I$309,8,FALSE())</f>
        <v>0</v>
      </c>
      <c r="I203" s="202" t="n">
        <f aca="false">VLOOKUP(A203,'Thuc te theo thang'!$A$4:$I$309,9,FALSE())</f>
        <v>0</v>
      </c>
      <c r="J203" s="202"/>
      <c r="K203" s="202" t="n">
        <f aca="false">H203-I203-J203</f>
        <v>0</v>
      </c>
      <c r="L203" s="202"/>
      <c r="M203" s="202"/>
    </row>
    <row r="204" customFormat="false" ht="18.75" hidden="true" customHeight="false" outlineLevel="0" collapsed="false">
      <c r="A204" s="215" t="s">
        <v>381</v>
      </c>
      <c r="B204" s="209"/>
      <c r="C204" s="215"/>
      <c r="D204" s="199"/>
      <c r="E204" s="199"/>
      <c r="F204" s="200"/>
      <c r="G204" s="201"/>
      <c r="H204" s="202" t="n">
        <f aca="false">VLOOKUP(A204,'Thuc te theo thang'!$A$4:$I$309,8,FALSE())</f>
        <v>0</v>
      </c>
      <c r="I204" s="202" t="n">
        <f aca="false">VLOOKUP(A204,'Thuc te theo thang'!$A$4:$I$309,9,FALSE())</f>
        <v>0</v>
      </c>
      <c r="J204" s="202"/>
      <c r="K204" s="202" t="n">
        <f aca="false">H204-I204-J204</f>
        <v>0</v>
      </c>
      <c r="L204" s="202"/>
      <c r="M204" s="202"/>
    </row>
    <row r="205" customFormat="false" ht="18.75" hidden="true" customHeight="false" outlineLevel="0" collapsed="false">
      <c r="A205" s="215" t="s">
        <v>382</v>
      </c>
      <c r="B205" s="209"/>
      <c r="C205" s="215"/>
      <c r="D205" s="199"/>
      <c r="E205" s="199"/>
      <c r="F205" s="200"/>
      <c r="G205" s="201"/>
      <c r="H205" s="202" t="n">
        <f aca="false">VLOOKUP(A205,'Thuc te theo thang'!$A$4:$I$309,8,FALSE())</f>
        <v>0</v>
      </c>
      <c r="I205" s="202" t="n">
        <f aca="false">VLOOKUP(A205,'Thuc te theo thang'!$A$4:$I$309,9,FALSE())</f>
        <v>0</v>
      </c>
      <c r="J205" s="202"/>
      <c r="K205" s="202" t="n">
        <f aca="false">H205-I205-J205</f>
        <v>0</v>
      </c>
      <c r="L205" s="202"/>
      <c r="M205" s="202"/>
    </row>
    <row r="206" customFormat="false" ht="18.75" hidden="true" customHeight="false" outlineLevel="0" collapsed="false">
      <c r="A206" s="215" t="s">
        <v>383</v>
      </c>
      <c r="B206" s="209"/>
      <c r="C206" s="215"/>
      <c r="D206" s="199"/>
      <c r="E206" s="199"/>
      <c r="F206" s="200"/>
      <c r="G206" s="201"/>
      <c r="H206" s="202" t="n">
        <f aca="false">VLOOKUP(A206,'Thuc te theo thang'!$A$4:$I$309,8,FALSE())</f>
        <v>0</v>
      </c>
      <c r="I206" s="202" t="n">
        <f aca="false">VLOOKUP(A206,'Thuc te theo thang'!$A$4:$I$309,9,FALSE())</f>
        <v>0</v>
      </c>
      <c r="J206" s="202"/>
      <c r="K206" s="202" t="n">
        <f aca="false">H206-I206-J206</f>
        <v>0</v>
      </c>
      <c r="L206" s="202"/>
      <c r="M206" s="202"/>
    </row>
    <row r="207" customFormat="false" ht="18.75" hidden="true" customHeight="false" outlineLevel="0" collapsed="false">
      <c r="A207" s="215" t="s">
        <v>384</v>
      </c>
      <c r="B207" s="209"/>
      <c r="C207" s="215"/>
      <c r="D207" s="199"/>
      <c r="E207" s="199"/>
      <c r="F207" s="200"/>
      <c r="G207" s="201"/>
      <c r="H207" s="202" t="n">
        <f aca="false">VLOOKUP(A207,'Thuc te theo thang'!$A$4:$I$309,8,FALSE())</f>
        <v>0</v>
      </c>
      <c r="I207" s="202" t="n">
        <f aca="false">VLOOKUP(A207,'Thuc te theo thang'!$A$4:$I$309,9,FALSE())</f>
        <v>0</v>
      </c>
      <c r="J207" s="202"/>
      <c r="K207" s="202" t="n">
        <f aca="false">H207-I207-J207</f>
        <v>0</v>
      </c>
      <c r="L207" s="202"/>
      <c r="M207" s="202"/>
    </row>
    <row r="208" customFormat="false" ht="18.75" hidden="false" customHeight="false" outlineLevel="0" collapsed="false">
      <c r="A208" s="190" t="s">
        <v>385</v>
      </c>
      <c r="B208" s="191"/>
      <c r="C208" s="192"/>
      <c r="D208" s="193" t="n">
        <f aca="false">SUM(D209:D308)</f>
        <v>0</v>
      </c>
      <c r="E208" s="193" t="n">
        <f aca="false">SUM(E209:E308)</f>
        <v>0</v>
      </c>
      <c r="F208" s="203"/>
      <c r="G208" s="192"/>
      <c r="H208" s="203" t="n">
        <f aca="false">SUMIF($C$209:$C$308,"x",H209:H308)</f>
        <v>0</v>
      </c>
      <c r="I208" s="203" t="n">
        <f aca="false">SUMIF($C$209:$C$308,"x",I209:I308)</f>
        <v>0</v>
      </c>
      <c r="J208" s="192"/>
      <c r="K208" s="205" t="n">
        <f aca="false">SUM(K209:K308)</f>
        <v>0</v>
      </c>
      <c r="L208" s="192"/>
      <c r="M208" s="192"/>
    </row>
    <row r="209" customFormat="false" ht="19.5" hidden="false" customHeight="true" outlineLevel="0" collapsed="false">
      <c r="A209" s="215" t="s">
        <v>386</v>
      </c>
      <c r="B209" s="197"/>
      <c r="C209" s="216"/>
      <c r="D209" s="199"/>
      <c r="E209" s="199"/>
      <c r="F209" s="200"/>
      <c r="G209" s="201"/>
      <c r="H209" s="202" t="n">
        <f aca="false">VLOOKUP(A209,'Thuc te theo thang'!$A$4:$I$309,8,FALSE())</f>
        <v>0</v>
      </c>
      <c r="I209" s="202" t="n">
        <f aca="false">VLOOKUP(A209,'Thuc te theo thang'!$A$4:$I$309,9,FALSE())</f>
        <v>0</v>
      </c>
      <c r="J209" s="202"/>
      <c r="K209" s="202" t="n">
        <f aca="false">H209-I209-J209</f>
        <v>0</v>
      </c>
      <c r="L209" s="202"/>
      <c r="M209" s="202"/>
    </row>
    <row r="210" customFormat="false" ht="18.75" hidden="false" customHeight="false" outlineLevel="0" collapsed="false">
      <c r="A210" s="215" t="s">
        <v>387</v>
      </c>
      <c r="B210" s="197"/>
      <c r="C210" s="225"/>
      <c r="D210" s="199"/>
      <c r="E210" s="199"/>
      <c r="F210" s="200"/>
      <c r="G210" s="201"/>
      <c r="H210" s="202" t="n">
        <f aca="false">VLOOKUP(A210,'Thuc te theo thang'!$A$4:$I$309,8,FALSE())</f>
        <v>0</v>
      </c>
      <c r="I210" s="202" t="n">
        <f aca="false">VLOOKUP(A210,'Thuc te theo thang'!$A$4:$I$309,9,FALSE())</f>
        <v>0</v>
      </c>
      <c r="J210" s="202"/>
      <c r="K210" s="202" t="n">
        <f aca="false">H210-I210-J210</f>
        <v>0</v>
      </c>
      <c r="L210" s="202"/>
      <c r="M210" s="202"/>
    </row>
    <row r="211" customFormat="false" ht="18.75" hidden="false" customHeight="false" outlineLevel="0" collapsed="false">
      <c r="A211" s="215" t="s">
        <v>388</v>
      </c>
      <c r="B211" s="226"/>
      <c r="C211" s="216"/>
      <c r="D211" s="199"/>
      <c r="E211" s="199"/>
      <c r="F211" s="200"/>
      <c r="G211" s="201"/>
      <c r="H211" s="202" t="n">
        <f aca="false">VLOOKUP(A211,'Thuc te theo thang'!$A$4:$I$309,8,FALSE())</f>
        <v>0</v>
      </c>
      <c r="I211" s="202" t="n">
        <f aca="false">VLOOKUP(A211,'Thuc te theo thang'!$A$4:$I$309,9,FALSE())</f>
        <v>0</v>
      </c>
      <c r="J211" s="202"/>
      <c r="K211" s="202" t="n">
        <f aca="false">H211-I211-J211</f>
        <v>0</v>
      </c>
      <c r="L211" s="202"/>
      <c r="M211" s="202"/>
    </row>
    <row r="212" customFormat="false" ht="21" hidden="false" customHeight="true" outlineLevel="0" collapsed="false">
      <c r="A212" s="215" t="s">
        <v>389</v>
      </c>
      <c r="B212" s="197"/>
      <c r="C212" s="198"/>
      <c r="D212" s="199"/>
      <c r="E212" s="199"/>
      <c r="F212" s="200"/>
      <c r="G212" s="199"/>
      <c r="H212" s="202" t="n">
        <f aca="false">VLOOKUP(A212,'Thuc te theo thang'!$A$4:$I$309,8,FALSE())</f>
        <v>0</v>
      </c>
      <c r="I212" s="202" t="n">
        <f aca="false">VLOOKUP(A212,'Thuc te theo thang'!$A$4:$I$309,9,FALSE())</f>
        <v>0</v>
      </c>
      <c r="J212" s="202"/>
      <c r="K212" s="202" t="n">
        <f aca="false">H212-I212-J212</f>
        <v>0</v>
      </c>
      <c r="L212" s="202"/>
      <c r="M212" s="202"/>
    </row>
    <row r="213" customFormat="false" ht="20.25" hidden="false" customHeight="true" outlineLevel="0" collapsed="false">
      <c r="A213" s="215" t="s">
        <v>390</v>
      </c>
      <c r="B213" s="222"/>
      <c r="C213" s="215"/>
      <c r="D213" s="199"/>
      <c r="E213" s="199"/>
      <c r="F213" s="200"/>
      <c r="G213" s="201"/>
      <c r="H213" s="202" t="n">
        <f aca="false">VLOOKUP(A213,'Thuc te theo thang'!$A$4:$I$309,8,FALSE())</f>
        <v>0</v>
      </c>
      <c r="I213" s="202" t="n">
        <f aca="false">VLOOKUP(A213,'Thuc te theo thang'!$A$4:$I$309,9,FALSE())</f>
        <v>0</v>
      </c>
      <c r="J213" s="202"/>
      <c r="K213" s="202" t="n">
        <f aca="false">H213-I213-J213</f>
        <v>0</v>
      </c>
      <c r="L213" s="202"/>
      <c r="M213" s="202"/>
    </row>
    <row r="214" customFormat="false" ht="18.75" hidden="false" customHeight="false" outlineLevel="0" collapsed="false">
      <c r="A214" s="215" t="s">
        <v>391</v>
      </c>
      <c r="B214" s="222"/>
      <c r="C214" s="215"/>
      <c r="D214" s="199"/>
      <c r="E214" s="199"/>
      <c r="F214" s="200"/>
      <c r="G214" s="201"/>
      <c r="H214" s="202" t="n">
        <f aca="false">VLOOKUP(A214,'Thuc te theo thang'!$A$4:$I$309,8,FALSE())</f>
        <v>0</v>
      </c>
      <c r="I214" s="202" t="n">
        <f aca="false">VLOOKUP(A214,'Thuc te theo thang'!$A$4:$I$309,9,FALSE())</f>
        <v>0</v>
      </c>
      <c r="J214" s="202"/>
      <c r="K214" s="202" t="n">
        <f aca="false">H214-I214-J214</f>
        <v>0</v>
      </c>
      <c r="L214" s="202"/>
      <c r="M214" s="202"/>
    </row>
    <row r="215" customFormat="false" ht="18.75" hidden="false" customHeight="false" outlineLevel="0" collapsed="false">
      <c r="A215" s="215" t="s">
        <v>392</v>
      </c>
      <c r="B215" s="222"/>
      <c r="C215" s="215"/>
      <c r="D215" s="199"/>
      <c r="E215" s="199"/>
      <c r="F215" s="200"/>
      <c r="G215" s="201"/>
      <c r="H215" s="202" t="n">
        <f aca="false">VLOOKUP(A215,'Thuc te theo thang'!$A$4:$I$309,8,FALSE())</f>
        <v>0</v>
      </c>
      <c r="I215" s="202" t="n">
        <f aca="false">VLOOKUP(A215,'Thuc te theo thang'!$A$4:$I$309,9,FALSE())</f>
        <v>0</v>
      </c>
      <c r="J215" s="202"/>
      <c r="K215" s="202" t="n">
        <f aca="false">H215-I215-J215</f>
        <v>0</v>
      </c>
      <c r="L215" s="202"/>
      <c r="M215" s="202"/>
    </row>
    <row r="216" customFormat="false" ht="18.75" hidden="false" customHeight="false" outlineLevel="0" collapsed="false">
      <c r="A216" s="215" t="s">
        <v>393</v>
      </c>
      <c r="B216" s="222"/>
      <c r="C216" s="215"/>
      <c r="D216" s="199"/>
      <c r="E216" s="199"/>
      <c r="F216" s="200"/>
      <c r="G216" s="201"/>
      <c r="H216" s="202" t="n">
        <f aca="false">VLOOKUP(A216,'Thuc te theo thang'!$A$4:$I$309,8,FALSE())</f>
        <v>0</v>
      </c>
      <c r="I216" s="202" t="n">
        <f aca="false">VLOOKUP(A216,'Thuc te theo thang'!$A$4:$I$309,9,FALSE())</f>
        <v>0</v>
      </c>
      <c r="J216" s="202"/>
      <c r="K216" s="202" t="n">
        <f aca="false">H216-I216-J216</f>
        <v>0</v>
      </c>
      <c r="L216" s="202"/>
      <c r="M216" s="202"/>
    </row>
    <row r="217" customFormat="false" ht="18.75" hidden="false" customHeight="false" outlineLevel="0" collapsed="false">
      <c r="A217" s="215" t="s">
        <v>394</v>
      </c>
      <c r="B217" s="222"/>
      <c r="C217" s="215"/>
      <c r="D217" s="199"/>
      <c r="E217" s="199"/>
      <c r="F217" s="200"/>
      <c r="G217" s="201"/>
      <c r="H217" s="202" t="n">
        <f aca="false">VLOOKUP(A217,'Thuc te theo thang'!$A$4:$I$309,8,FALSE())</f>
        <v>0</v>
      </c>
      <c r="I217" s="202" t="n">
        <f aca="false">VLOOKUP(A217,'Thuc te theo thang'!$A$4:$I$309,9,FALSE())</f>
        <v>0</v>
      </c>
      <c r="J217" s="202"/>
      <c r="K217" s="202" t="n">
        <f aca="false">H217-I217-J217</f>
        <v>0</v>
      </c>
      <c r="L217" s="202"/>
      <c r="M217" s="202"/>
    </row>
    <row r="218" customFormat="false" ht="20.25" hidden="false" customHeight="true" outlineLevel="0" collapsed="false">
      <c r="A218" s="215" t="s">
        <v>395</v>
      </c>
      <c r="B218" s="222"/>
      <c r="C218" s="215"/>
      <c r="D218" s="199"/>
      <c r="E218" s="199"/>
      <c r="F218" s="207"/>
      <c r="G218" s="199"/>
      <c r="H218" s="202" t="n">
        <f aca="false">VLOOKUP(A218,'Thuc te theo thang'!$A$4:$I$309,8,FALSE())</f>
        <v>0</v>
      </c>
      <c r="I218" s="202" t="n">
        <f aca="false">VLOOKUP(A218,'Thuc te theo thang'!$A$4:$I$309,9,FALSE())</f>
        <v>0</v>
      </c>
      <c r="J218" s="202"/>
      <c r="K218" s="202" t="n">
        <f aca="false">H218-I218-J218</f>
        <v>0</v>
      </c>
      <c r="L218" s="202"/>
      <c r="M218" s="202"/>
    </row>
    <row r="219" customFormat="false" ht="18.75" hidden="false" customHeight="false" outlineLevel="0" collapsed="false">
      <c r="A219" s="215" t="s">
        <v>396</v>
      </c>
      <c r="B219" s="222"/>
      <c r="C219" s="215"/>
      <c r="D219" s="199"/>
      <c r="E219" s="199"/>
      <c r="F219" s="200"/>
      <c r="G219" s="201"/>
      <c r="H219" s="202" t="n">
        <f aca="false">VLOOKUP(A219,'Thuc te theo thang'!$A$4:$I$309,8,FALSE())</f>
        <v>0</v>
      </c>
      <c r="I219" s="202" t="n">
        <f aca="false">VLOOKUP(A219,'Thuc te theo thang'!$A$4:$I$309,9,FALSE())</f>
        <v>0</v>
      </c>
      <c r="J219" s="202"/>
      <c r="K219" s="202" t="n">
        <f aca="false">H219-I219-J219</f>
        <v>0</v>
      </c>
      <c r="L219" s="202"/>
      <c r="M219" s="202"/>
    </row>
    <row r="220" customFormat="false" ht="21.75" hidden="false" customHeight="true" outlineLevel="0" collapsed="false">
      <c r="A220" s="215" t="s">
        <v>397</v>
      </c>
      <c r="B220" s="222"/>
      <c r="C220" s="216"/>
      <c r="D220" s="199"/>
      <c r="E220" s="199"/>
      <c r="F220" s="200"/>
      <c r="G220" s="210"/>
      <c r="H220" s="202" t="n">
        <f aca="false">VLOOKUP(A220,'Thuc te theo thang'!$A$4:$I$309,8,FALSE())</f>
        <v>0</v>
      </c>
      <c r="I220" s="202" t="n">
        <f aca="false">VLOOKUP(A220,'Thuc te theo thang'!$A$4:$I$309,9,FALSE())</f>
        <v>0</v>
      </c>
      <c r="J220" s="202"/>
      <c r="K220" s="202" t="n">
        <f aca="false">H220-I220-J220</f>
        <v>0</v>
      </c>
      <c r="L220" s="202"/>
      <c r="M220" s="202"/>
    </row>
    <row r="221" customFormat="false" ht="21" hidden="false" customHeight="true" outlineLevel="0" collapsed="false">
      <c r="A221" s="215" t="s">
        <v>398</v>
      </c>
      <c r="B221" s="222"/>
      <c r="C221" s="215"/>
      <c r="D221" s="199"/>
      <c r="E221" s="199"/>
      <c r="F221" s="200"/>
      <c r="G221" s="201"/>
      <c r="H221" s="202" t="n">
        <f aca="false">VLOOKUP(A221,'Thuc te theo thang'!$A$4:$I$309,8,FALSE())</f>
        <v>0</v>
      </c>
      <c r="I221" s="202" t="n">
        <f aca="false">VLOOKUP(A221,'Thuc te theo thang'!$A$4:$I$309,9,FALSE())</f>
        <v>0</v>
      </c>
      <c r="J221" s="202"/>
      <c r="K221" s="202" t="n">
        <f aca="false">H221-I221-J221</f>
        <v>0</v>
      </c>
      <c r="L221" s="202"/>
      <c r="M221" s="202"/>
    </row>
    <row r="222" customFormat="false" ht="19.5" hidden="false" customHeight="true" outlineLevel="0" collapsed="false">
      <c r="A222" s="215" t="s">
        <v>399</v>
      </c>
      <c r="B222" s="222"/>
      <c r="C222" s="216"/>
      <c r="D222" s="199"/>
      <c r="E222" s="199"/>
      <c r="F222" s="200"/>
      <c r="G222" s="201"/>
      <c r="H222" s="202" t="n">
        <f aca="false">VLOOKUP(A222,'Thuc te theo thang'!$A$4:$I$309,8,FALSE())</f>
        <v>0</v>
      </c>
      <c r="I222" s="202" t="n">
        <f aca="false">VLOOKUP(A222,'Thuc te theo thang'!$A$4:$I$309,9,FALSE())</f>
        <v>0</v>
      </c>
      <c r="J222" s="202"/>
      <c r="K222" s="202" t="n">
        <f aca="false">H222-I222-J222</f>
        <v>0</v>
      </c>
      <c r="L222" s="202"/>
      <c r="M222" s="202"/>
    </row>
    <row r="223" customFormat="false" ht="18.75" hidden="false" customHeight="false" outlineLevel="0" collapsed="false">
      <c r="A223" s="215" t="s">
        <v>400</v>
      </c>
      <c r="B223" s="222"/>
      <c r="C223" s="215"/>
      <c r="D223" s="199"/>
      <c r="E223" s="199"/>
      <c r="F223" s="207"/>
      <c r="G223" s="201"/>
      <c r="H223" s="202" t="n">
        <f aca="false">VLOOKUP(A223,'Thuc te theo thang'!$A$4:$I$309,8,FALSE())</f>
        <v>0</v>
      </c>
      <c r="I223" s="202" t="n">
        <f aca="false">VLOOKUP(A223,'Thuc te theo thang'!$A$4:$I$309,9,FALSE())</f>
        <v>0</v>
      </c>
      <c r="J223" s="202"/>
      <c r="K223" s="202" t="n">
        <f aca="false">H223-I223-J223</f>
        <v>0</v>
      </c>
      <c r="L223" s="202"/>
      <c r="M223" s="202"/>
    </row>
    <row r="224" customFormat="false" ht="21.75" hidden="false" customHeight="true" outlineLevel="0" collapsed="false">
      <c r="A224" s="215" t="s">
        <v>401</v>
      </c>
      <c r="B224" s="222"/>
      <c r="C224" s="216"/>
      <c r="D224" s="199"/>
      <c r="E224" s="199"/>
      <c r="F224" s="207"/>
      <c r="G224" s="199"/>
      <c r="H224" s="202" t="n">
        <f aca="false">VLOOKUP(A224,'Thuc te theo thang'!$A$4:$I$309,8,FALSE())</f>
        <v>0</v>
      </c>
      <c r="I224" s="202" t="n">
        <f aca="false">VLOOKUP(A224,'Thuc te theo thang'!$A$4:$I$309,9,FALSE())</f>
        <v>0</v>
      </c>
      <c r="J224" s="202"/>
      <c r="K224" s="202" t="n">
        <f aca="false">H224-I224-J224</f>
        <v>0</v>
      </c>
      <c r="L224" s="202"/>
      <c r="M224" s="202"/>
    </row>
    <row r="225" customFormat="false" ht="21.75" hidden="false" customHeight="true" outlineLevel="0" collapsed="false">
      <c r="A225" s="215" t="s">
        <v>402</v>
      </c>
      <c r="B225" s="222"/>
      <c r="C225" s="216"/>
      <c r="D225" s="199"/>
      <c r="E225" s="199"/>
      <c r="F225" s="200"/>
      <c r="G225" s="199"/>
      <c r="H225" s="202" t="n">
        <f aca="false">VLOOKUP(A225,'Thuc te theo thang'!$A$4:$I$309,8,FALSE())</f>
        <v>0</v>
      </c>
      <c r="I225" s="202" t="n">
        <f aca="false">VLOOKUP(A225,'Thuc te theo thang'!$A$4:$I$309,9,FALSE())</f>
        <v>0</v>
      </c>
      <c r="J225" s="202"/>
      <c r="K225" s="202" t="n">
        <f aca="false">H225-I225-J225</f>
        <v>0</v>
      </c>
      <c r="L225" s="202"/>
      <c r="M225" s="202"/>
    </row>
    <row r="226" customFormat="false" ht="21.75" hidden="false" customHeight="true" outlineLevel="0" collapsed="false">
      <c r="A226" s="215" t="s">
        <v>403</v>
      </c>
      <c r="B226" s="222"/>
      <c r="C226" s="216"/>
      <c r="D226" s="199"/>
      <c r="E226" s="199"/>
      <c r="F226" s="200"/>
      <c r="G226" s="199"/>
      <c r="H226" s="202" t="n">
        <f aca="false">VLOOKUP(A226,'Thuc te theo thang'!$A$4:$I$309,8,FALSE())</f>
        <v>0</v>
      </c>
      <c r="I226" s="202" t="n">
        <f aca="false">VLOOKUP(A226,'Thuc te theo thang'!$A$4:$I$309,9,FALSE())</f>
        <v>0</v>
      </c>
      <c r="J226" s="202"/>
      <c r="K226" s="202" t="n">
        <f aca="false">H226-I226-J226</f>
        <v>0</v>
      </c>
      <c r="L226" s="202"/>
      <c r="M226" s="202"/>
    </row>
    <row r="227" customFormat="false" ht="18.75" hidden="false" customHeight="false" outlineLevel="0" collapsed="false">
      <c r="A227" s="215" t="s">
        <v>404</v>
      </c>
      <c r="B227" s="222"/>
      <c r="C227" s="198"/>
      <c r="D227" s="199"/>
      <c r="E227" s="199"/>
      <c r="F227" s="200"/>
      <c r="G227" s="199"/>
      <c r="H227" s="202" t="n">
        <f aca="false">VLOOKUP(A227,'Thuc te theo thang'!$A$4:$I$309,8,FALSE())</f>
        <v>0</v>
      </c>
      <c r="I227" s="202" t="n">
        <f aca="false">VLOOKUP(A227,'Thuc te theo thang'!$A$4:$I$309,9,FALSE())</f>
        <v>0</v>
      </c>
      <c r="J227" s="202"/>
      <c r="K227" s="202" t="n">
        <f aca="false">H227-I227-J227</f>
        <v>0</v>
      </c>
      <c r="L227" s="202"/>
      <c r="M227" s="202"/>
    </row>
    <row r="228" customFormat="false" ht="18.75" hidden="false" customHeight="false" outlineLevel="0" collapsed="false">
      <c r="A228" s="215" t="s">
        <v>405</v>
      </c>
      <c r="B228" s="222"/>
      <c r="C228" s="216"/>
      <c r="D228" s="199"/>
      <c r="E228" s="199"/>
      <c r="F228" s="200"/>
      <c r="G228" s="199"/>
      <c r="H228" s="202" t="n">
        <f aca="false">VLOOKUP(A228,'Thuc te theo thang'!$A$4:$I$309,8,FALSE())</f>
        <v>0</v>
      </c>
      <c r="I228" s="202" t="n">
        <f aca="false">VLOOKUP(A228,'Thuc te theo thang'!$A$4:$I$309,9,FALSE())</f>
        <v>0</v>
      </c>
      <c r="J228" s="202"/>
      <c r="K228" s="202" t="n">
        <f aca="false">H228-I228-J228</f>
        <v>0</v>
      </c>
      <c r="L228" s="202"/>
      <c r="M228" s="202"/>
    </row>
    <row r="229" customFormat="false" ht="18.75" hidden="false" customHeight="false" outlineLevel="0" collapsed="false">
      <c r="A229" s="215" t="s">
        <v>406</v>
      </c>
      <c r="B229" s="222"/>
      <c r="C229" s="216"/>
      <c r="D229" s="199"/>
      <c r="E229" s="199"/>
      <c r="F229" s="200"/>
      <c r="G229" s="199"/>
      <c r="H229" s="202" t="n">
        <f aca="false">VLOOKUP(A229,'Thuc te theo thang'!$A$4:$I$309,8,FALSE())</f>
        <v>0</v>
      </c>
      <c r="I229" s="202" t="n">
        <f aca="false">VLOOKUP(A229,'Thuc te theo thang'!$A$4:$I$309,9,FALSE())</f>
        <v>0</v>
      </c>
      <c r="J229" s="202"/>
      <c r="K229" s="202" t="n">
        <f aca="false">H229-I229-J229</f>
        <v>0</v>
      </c>
      <c r="L229" s="202"/>
      <c r="M229" s="202"/>
    </row>
    <row r="230" customFormat="false" ht="18.75" hidden="false" customHeight="false" outlineLevel="0" collapsed="false">
      <c r="A230" s="215" t="s">
        <v>407</v>
      </c>
      <c r="B230" s="222"/>
      <c r="C230" s="215"/>
      <c r="D230" s="199"/>
      <c r="E230" s="199"/>
      <c r="F230" s="200"/>
      <c r="G230" s="201"/>
      <c r="H230" s="202" t="n">
        <f aca="false">VLOOKUP(A230,'Thuc te theo thang'!$A$4:$I$309,8,FALSE())</f>
        <v>0</v>
      </c>
      <c r="I230" s="202" t="n">
        <f aca="false">VLOOKUP(A230,'Thuc te theo thang'!$A$4:$I$309,9,FALSE())</f>
        <v>0</v>
      </c>
      <c r="J230" s="202"/>
      <c r="K230" s="202" t="n">
        <f aca="false">H230-I230-J230</f>
        <v>0</v>
      </c>
      <c r="L230" s="202"/>
      <c r="M230" s="202"/>
    </row>
    <row r="231" customFormat="false" ht="18.75" hidden="false" customHeight="false" outlineLevel="0" collapsed="false">
      <c r="A231" s="215" t="s">
        <v>408</v>
      </c>
      <c r="B231" s="222"/>
      <c r="C231" s="221"/>
      <c r="D231" s="199"/>
      <c r="E231" s="199"/>
      <c r="F231" s="200"/>
      <c r="G231" s="201"/>
      <c r="H231" s="202" t="n">
        <f aca="false">VLOOKUP(A231,'Thuc te theo thang'!$A$4:$I$309,8,FALSE())</f>
        <v>0</v>
      </c>
      <c r="I231" s="202" t="n">
        <f aca="false">VLOOKUP(A231,'Thuc te theo thang'!$A$4:$I$309,9,FALSE())</f>
        <v>0</v>
      </c>
      <c r="J231" s="202"/>
      <c r="K231" s="202" t="n">
        <f aca="false">H231-I231-J231</f>
        <v>0</v>
      </c>
      <c r="L231" s="202"/>
      <c r="M231" s="202"/>
    </row>
    <row r="232" customFormat="false" ht="18.75" hidden="false" customHeight="false" outlineLevel="0" collapsed="false">
      <c r="A232" s="215" t="s">
        <v>409</v>
      </c>
      <c r="B232" s="222"/>
      <c r="C232" s="215"/>
      <c r="D232" s="199"/>
      <c r="E232" s="199"/>
      <c r="F232" s="200"/>
      <c r="G232" s="201"/>
      <c r="H232" s="202" t="n">
        <f aca="false">VLOOKUP(A232,'Thuc te theo thang'!$A$4:$I$309,8,FALSE())</f>
        <v>0</v>
      </c>
      <c r="I232" s="202" t="n">
        <f aca="false">VLOOKUP(A232,'Thuc te theo thang'!$A$4:$I$309,9,FALSE())</f>
        <v>0</v>
      </c>
      <c r="J232" s="202"/>
      <c r="K232" s="202" t="n">
        <f aca="false">H232-I232-J232</f>
        <v>0</v>
      </c>
      <c r="L232" s="202"/>
      <c r="M232" s="202"/>
    </row>
    <row r="233" customFormat="false" ht="18.75" hidden="false" customHeight="false" outlineLevel="0" collapsed="false">
      <c r="A233" s="215" t="s">
        <v>410</v>
      </c>
      <c r="B233" s="222"/>
      <c r="C233" s="216"/>
      <c r="D233" s="199"/>
      <c r="E233" s="199"/>
      <c r="F233" s="200"/>
      <c r="G233" s="199"/>
      <c r="H233" s="202" t="n">
        <f aca="false">VLOOKUP(A233,'Thuc te theo thang'!$A$4:$I$309,8,FALSE())</f>
        <v>0</v>
      </c>
      <c r="I233" s="202" t="n">
        <f aca="false">VLOOKUP(A233,'Thuc te theo thang'!$A$4:$I$309,9,FALSE())</f>
        <v>0</v>
      </c>
      <c r="J233" s="202"/>
      <c r="K233" s="202" t="n">
        <f aca="false">H233-I233-J233</f>
        <v>0</v>
      </c>
      <c r="L233" s="202"/>
      <c r="M233" s="202"/>
    </row>
    <row r="234" customFormat="false" ht="18.75" hidden="false" customHeight="false" outlineLevel="0" collapsed="false">
      <c r="A234" s="215" t="s">
        <v>411</v>
      </c>
      <c r="B234" s="222"/>
      <c r="C234" s="215"/>
      <c r="D234" s="199"/>
      <c r="E234" s="199"/>
      <c r="F234" s="200"/>
      <c r="G234" s="201"/>
      <c r="H234" s="202" t="n">
        <f aca="false">VLOOKUP(A234,'Thuc te theo thang'!$A$4:$I$309,8,FALSE())</f>
        <v>0</v>
      </c>
      <c r="I234" s="202" t="n">
        <f aca="false">VLOOKUP(A234,'Thuc te theo thang'!$A$4:$I$309,9,FALSE())</f>
        <v>0</v>
      </c>
      <c r="J234" s="202"/>
      <c r="K234" s="202" t="n">
        <f aca="false">H234-I234-J234</f>
        <v>0</v>
      </c>
      <c r="L234" s="202"/>
      <c r="M234" s="202"/>
    </row>
    <row r="235" customFormat="false" ht="18.75" hidden="false" customHeight="false" outlineLevel="0" collapsed="false">
      <c r="A235" s="215" t="s">
        <v>412</v>
      </c>
      <c r="B235" s="222"/>
      <c r="C235" s="216"/>
      <c r="D235" s="199"/>
      <c r="E235" s="199"/>
      <c r="F235" s="200"/>
      <c r="G235" s="210"/>
      <c r="H235" s="202" t="n">
        <f aca="false">VLOOKUP(A235,'Thuc te theo thang'!$A$4:$I$309,8,FALSE())</f>
        <v>0</v>
      </c>
      <c r="I235" s="202" t="n">
        <f aca="false">VLOOKUP(A235,'Thuc te theo thang'!$A$4:$I$309,9,FALSE())</f>
        <v>0</v>
      </c>
      <c r="J235" s="202"/>
      <c r="K235" s="202" t="n">
        <f aca="false">H235-I235-J235</f>
        <v>0</v>
      </c>
      <c r="L235" s="202"/>
      <c r="M235" s="202"/>
    </row>
    <row r="236" customFormat="false" ht="18.75" hidden="false" customHeight="false" outlineLevel="0" collapsed="false">
      <c r="A236" s="215" t="s">
        <v>413</v>
      </c>
      <c r="B236" s="222"/>
      <c r="C236" s="221"/>
      <c r="D236" s="199"/>
      <c r="E236" s="199"/>
      <c r="F236" s="200"/>
      <c r="G236" s="201"/>
      <c r="H236" s="202" t="n">
        <f aca="false">VLOOKUP(A236,'Thuc te theo thang'!$A$4:$I$309,8,FALSE())</f>
        <v>0</v>
      </c>
      <c r="I236" s="202" t="n">
        <f aca="false">VLOOKUP(A236,'Thuc te theo thang'!$A$4:$I$309,9,FALSE())</f>
        <v>0</v>
      </c>
      <c r="J236" s="202"/>
      <c r="K236" s="202" t="n">
        <f aca="false">H236-I236-J236</f>
        <v>0</v>
      </c>
      <c r="L236" s="202"/>
      <c r="M236" s="202"/>
    </row>
    <row r="237" customFormat="false" ht="18.75" hidden="false" customHeight="false" outlineLevel="0" collapsed="false">
      <c r="A237" s="215" t="s">
        <v>414</v>
      </c>
      <c r="B237" s="209"/>
      <c r="C237" s="216"/>
      <c r="D237" s="199"/>
      <c r="E237" s="199"/>
      <c r="F237" s="200"/>
      <c r="G237" s="201"/>
      <c r="H237" s="202" t="n">
        <f aca="false">VLOOKUP(A237,'Thuc te theo thang'!$A$4:$I$309,8,FALSE())</f>
        <v>0</v>
      </c>
      <c r="I237" s="202" t="n">
        <f aca="false">VLOOKUP(A237,'Thuc te theo thang'!$A$4:$I$309,9,FALSE())</f>
        <v>0</v>
      </c>
      <c r="J237" s="202"/>
      <c r="K237" s="202" t="n">
        <f aca="false">H237-I237-J237</f>
        <v>0</v>
      </c>
      <c r="L237" s="202"/>
      <c r="M237" s="202"/>
    </row>
    <row r="238" customFormat="false" ht="18.75" hidden="false" customHeight="false" outlineLevel="0" collapsed="false">
      <c r="A238" s="215" t="s">
        <v>415</v>
      </c>
      <c r="B238" s="209"/>
      <c r="C238" s="216"/>
      <c r="D238" s="199"/>
      <c r="E238" s="199"/>
      <c r="F238" s="200"/>
      <c r="G238" s="201"/>
      <c r="H238" s="202" t="n">
        <f aca="false">VLOOKUP(A238,'Thuc te theo thang'!$A$4:$I$309,8,FALSE())</f>
        <v>0</v>
      </c>
      <c r="I238" s="202" t="n">
        <f aca="false">VLOOKUP(A238,'Thuc te theo thang'!$A$4:$I$309,9,FALSE())</f>
        <v>0</v>
      </c>
      <c r="J238" s="202"/>
      <c r="K238" s="202" t="n">
        <f aca="false">H238-I238-J238</f>
        <v>0</v>
      </c>
      <c r="L238" s="202"/>
      <c r="M238" s="202"/>
    </row>
    <row r="239" customFormat="false" ht="18.75" hidden="false" customHeight="false" outlineLevel="0" collapsed="false">
      <c r="A239" s="215" t="s">
        <v>416</v>
      </c>
      <c r="B239" s="209"/>
      <c r="C239" s="215"/>
      <c r="D239" s="199"/>
      <c r="E239" s="199"/>
      <c r="F239" s="200"/>
      <c r="G239" s="201"/>
      <c r="H239" s="202" t="n">
        <f aca="false">VLOOKUP(A239,'Thuc te theo thang'!$A$4:$I$309,8,FALSE())</f>
        <v>0</v>
      </c>
      <c r="I239" s="202" t="n">
        <f aca="false">VLOOKUP(A239,'Thuc te theo thang'!$A$4:$I$309,9,FALSE())</f>
        <v>0</v>
      </c>
      <c r="J239" s="202"/>
      <c r="K239" s="202" t="n">
        <f aca="false">H239-I239-J239</f>
        <v>0</v>
      </c>
      <c r="L239" s="202"/>
      <c r="M239" s="202"/>
    </row>
    <row r="240" customFormat="false" ht="18.75" hidden="false" customHeight="false" outlineLevel="0" collapsed="false">
      <c r="A240" s="215" t="s">
        <v>417</v>
      </c>
      <c r="B240" s="209"/>
      <c r="C240" s="221"/>
      <c r="D240" s="199"/>
      <c r="E240" s="199"/>
      <c r="F240" s="200"/>
      <c r="G240" s="201"/>
      <c r="H240" s="202" t="n">
        <f aca="false">VLOOKUP(A240,'Thuc te theo thang'!$A$4:$I$309,8,FALSE())</f>
        <v>0</v>
      </c>
      <c r="I240" s="202" t="n">
        <f aca="false">VLOOKUP(A240,'Thuc te theo thang'!$A$4:$I$309,9,FALSE())</f>
        <v>0</v>
      </c>
      <c r="J240" s="202"/>
      <c r="K240" s="202" t="n">
        <f aca="false">H240-I240-J240</f>
        <v>0</v>
      </c>
      <c r="L240" s="202"/>
      <c r="M240" s="202"/>
    </row>
    <row r="241" customFormat="false" ht="18.75" hidden="false" customHeight="false" outlineLevel="0" collapsed="false">
      <c r="A241" s="215" t="s">
        <v>418</v>
      </c>
      <c r="B241" s="209"/>
      <c r="C241" s="215"/>
      <c r="D241" s="199"/>
      <c r="E241" s="199"/>
      <c r="F241" s="200"/>
      <c r="G241" s="201"/>
      <c r="H241" s="202" t="n">
        <f aca="false">VLOOKUP(A241,'Thuc te theo thang'!$A$4:$I$309,8,FALSE())</f>
        <v>0</v>
      </c>
      <c r="I241" s="202" t="n">
        <f aca="false">VLOOKUP(A241,'Thuc te theo thang'!$A$4:$I$309,9,FALSE())</f>
        <v>0</v>
      </c>
      <c r="J241" s="202"/>
      <c r="K241" s="202" t="n">
        <f aca="false">H241-I241-J241</f>
        <v>0</v>
      </c>
      <c r="L241" s="202"/>
      <c r="M241" s="202"/>
    </row>
    <row r="242" customFormat="false" ht="18.75" hidden="false" customHeight="false" outlineLevel="0" collapsed="false">
      <c r="A242" s="215" t="s">
        <v>419</v>
      </c>
      <c r="B242" s="209"/>
      <c r="C242" s="216"/>
      <c r="D242" s="199"/>
      <c r="E242" s="199"/>
      <c r="F242" s="200"/>
      <c r="G242" s="201"/>
      <c r="H242" s="202" t="n">
        <f aca="false">VLOOKUP(A242,'Thuc te theo thang'!$A$4:$I$309,8,FALSE())</f>
        <v>0</v>
      </c>
      <c r="I242" s="202" t="n">
        <f aca="false">VLOOKUP(A242,'Thuc te theo thang'!$A$4:$I$309,9,FALSE())</f>
        <v>0</v>
      </c>
      <c r="J242" s="202"/>
      <c r="K242" s="202" t="n">
        <f aca="false">H242-I242-J242</f>
        <v>0</v>
      </c>
      <c r="L242" s="202"/>
      <c r="M242" s="202"/>
    </row>
    <row r="243" customFormat="false" ht="18.75" hidden="false" customHeight="false" outlineLevel="0" collapsed="false">
      <c r="A243" s="215" t="s">
        <v>420</v>
      </c>
      <c r="B243" s="209"/>
      <c r="C243" s="215"/>
      <c r="D243" s="199"/>
      <c r="E243" s="199"/>
      <c r="F243" s="200"/>
      <c r="G243" s="199"/>
      <c r="H243" s="202" t="n">
        <f aca="false">VLOOKUP(A243,'Thuc te theo thang'!$A$4:$I$309,8,FALSE())</f>
        <v>0</v>
      </c>
      <c r="I243" s="202" t="n">
        <f aca="false">VLOOKUP(A243,'Thuc te theo thang'!$A$4:$I$309,9,FALSE())</f>
        <v>0</v>
      </c>
      <c r="J243" s="202"/>
      <c r="K243" s="202" t="n">
        <f aca="false">H243-I243-J243</f>
        <v>0</v>
      </c>
      <c r="L243" s="202"/>
      <c r="M243" s="202"/>
    </row>
    <row r="244" customFormat="false" ht="18.75" hidden="false" customHeight="false" outlineLevel="0" collapsed="false">
      <c r="A244" s="215" t="s">
        <v>421</v>
      </c>
      <c r="B244" s="209"/>
      <c r="C244" s="215"/>
      <c r="D244" s="199"/>
      <c r="E244" s="199"/>
      <c r="F244" s="200"/>
      <c r="G244" s="201"/>
      <c r="H244" s="202" t="n">
        <f aca="false">VLOOKUP(A244,'Thuc te theo thang'!$A$4:$I$309,8,FALSE())</f>
        <v>0</v>
      </c>
      <c r="I244" s="202" t="n">
        <f aca="false">VLOOKUP(A244,'Thuc te theo thang'!$A$4:$I$309,9,FALSE())</f>
        <v>0</v>
      </c>
      <c r="J244" s="202"/>
      <c r="K244" s="202" t="n">
        <f aca="false">H244-I244-J244</f>
        <v>0</v>
      </c>
      <c r="L244" s="202"/>
      <c r="M244" s="202"/>
    </row>
    <row r="245" customFormat="false" ht="18.75" hidden="false" customHeight="false" outlineLevel="0" collapsed="false">
      <c r="A245" s="215" t="s">
        <v>422</v>
      </c>
      <c r="B245" s="209"/>
      <c r="C245" s="215"/>
      <c r="D245" s="199"/>
      <c r="E245" s="199"/>
      <c r="F245" s="200"/>
      <c r="G245" s="210"/>
      <c r="H245" s="202" t="n">
        <f aca="false">VLOOKUP(A245,'Thuc te theo thang'!$A$4:$I$309,8,FALSE())</f>
        <v>0</v>
      </c>
      <c r="I245" s="202" t="n">
        <f aca="false">VLOOKUP(A245,'Thuc te theo thang'!$A$4:$I$309,9,FALSE())</f>
        <v>0</v>
      </c>
      <c r="J245" s="202"/>
      <c r="K245" s="202" t="n">
        <f aca="false">H245-I245-J245</f>
        <v>0</v>
      </c>
      <c r="L245" s="202"/>
      <c r="M245" s="202"/>
    </row>
    <row r="246" customFormat="false" ht="18.75" hidden="false" customHeight="false" outlineLevel="0" collapsed="false">
      <c r="A246" s="215" t="s">
        <v>423</v>
      </c>
      <c r="B246" s="209"/>
      <c r="C246" s="216"/>
      <c r="D246" s="199"/>
      <c r="E246" s="199"/>
      <c r="F246" s="200"/>
      <c r="G246" s="201"/>
      <c r="H246" s="202" t="n">
        <f aca="false">VLOOKUP(A246,'Thuc te theo thang'!$A$4:$I$309,8,FALSE())</f>
        <v>0</v>
      </c>
      <c r="I246" s="202" t="n">
        <f aca="false">VLOOKUP(A246,'Thuc te theo thang'!$A$4:$I$309,9,FALSE())</f>
        <v>0</v>
      </c>
      <c r="J246" s="202"/>
      <c r="K246" s="202" t="n">
        <f aca="false">H246-I246-J246</f>
        <v>0</v>
      </c>
      <c r="L246" s="202"/>
      <c r="M246" s="202"/>
    </row>
    <row r="247" customFormat="false" ht="18.75" hidden="false" customHeight="false" outlineLevel="0" collapsed="false">
      <c r="A247" s="215" t="s">
        <v>424</v>
      </c>
      <c r="B247" s="209"/>
      <c r="C247" s="215"/>
      <c r="D247" s="199"/>
      <c r="E247" s="199"/>
      <c r="F247" s="200"/>
      <c r="G247" s="201"/>
      <c r="H247" s="202" t="n">
        <f aca="false">VLOOKUP(A247,'Thuc te theo thang'!$A$4:$I$309,8,FALSE())</f>
        <v>0</v>
      </c>
      <c r="I247" s="202" t="n">
        <f aca="false">VLOOKUP(A247,'Thuc te theo thang'!$A$4:$I$309,9,FALSE())</f>
        <v>0</v>
      </c>
      <c r="J247" s="202"/>
      <c r="K247" s="202" t="n">
        <f aca="false">H247-I247-J247</f>
        <v>0</v>
      </c>
      <c r="L247" s="202"/>
      <c r="M247" s="202"/>
    </row>
    <row r="248" customFormat="false" ht="18.75" hidden="false" customHeight="false" outlineLevel="0" collapsed="false">
      <c r="A248" s="215" t="s">
        <v>425</v>
      </c>
      <c r="B248" s="209"/>
      <c r="C248" s="215"/>
      <c r="D248" s="199"/>
      <c r="E248" s="199"/>
      <c r="F248" s="200"/>
      <c r="G248" s="201"/>
      <c r="H248" s="202" t="n">
        <f aca="false">VLOOKUP(A248,'Thuc te theo thang'!$A$4:$I$309,8,FALSE())</f>
        <v>0</v>
      </c>
      <c r="I248" s="202" t="n">
        <f aca="false">VLOOKUP(A248,'Thuc te theo thang'!$A$4:$I$309,9,FALSE())</f>
        <v>0</v>
      </c>
      <c r="J248" s="202"/>
      <c r="K248" s="202" t="n">
        <f aca="false">H248-I248-J248</f>
        <v>0</v>
      </c>
      <c r="L248" s="202"/>
      <c r="M248" s="202"/>
    </row>
    <row r="249" customFormat="false" ht="18.75" hidden="false" customHeight="false" outlineLevel="0" collapsed="false">
      <c r="A249" s="215" t="s">
        <v>426</v>
      </c>
      <c r="B249" s="209"/>
      <c r="C249" s="215"/>
      <c r="D249" s="199"/>
      <c r="E249" s="199"/>
      <c r="F249" s="200"/>
      <c r="G249" s="201"/>
      <c r="H249" s="202" t="n">
        <f aca="false">VLOOKUP(A249,'Thuc te theo thang'!$A$4:$I$309,8,FALSE())</f>
        <v>0</v>
      </c>
      <c r="I249" s="202" t="n">
        <f aca="false">VLOOKUP(A249,'Thuc te theo thang'!$A$4:$I$309,9,FALSE())</f>
        <v>0</v>
      </c>
      <c r="J249" s="202"/>
      <c r="K249" s="202" t="n">
        <f aca="false">H249-I249-J249</f>
        <v>0</v>
      </c>
      <c r="L249" s="202"/>
      <c r="M249" s="202"/>
      <c r="O249" s="133"/>
    </row>
    <row r="250" customFormat="false" ht="18.75" hidden="false" customHeight="false" outlineLevel="0" collapsed="false">
      <c r="A250" s="215" t="s">
        <v>427</v>
      </c>
      <c r="B250" s="209"/>
      <c r="C250" s="215"/>
      <c r="D250" s="199"/>
      <c r="E250" s="199"/>
      <c r="F250" s="200"/>
      <c r="G250" s="201"/>
      <c r="H250" s="202" t="n">
        <f aca="false">VLOOKUP(A250,'Thuc te theo thang'!$A$4:$I$309,8,FALSE())</f>
        <v>0</v>
      </c>
      <c r="I250" s="202" t="n">
        <f aca="false">VLOOKUP(A250,'Thuc te theo thang'!$A$4:$I$309,9,FALSE())</f>
        <v>0</v>
      </c>
      <c r="J250" s="202"/>
      <c r="K250" s="202" t="n">
        <f aca="false">H250-I250-J250</f>
        <v>0</v>
      </c>
      <c r="L250" s="202"/>
      <c r="M250" s="202"/>
      <c r="O250" s="133"/>
    </row>
    <row r="251" customFormat="false" ht="18.75" hidden="false" customHeight="false" outlineLevel="0" collapsed="false">
      <c r="A251" s="215" t="s">
        <v>428</v>
      </c>
      <c r="B251" s="209"/>
      <c r="C251" s="215"/>
      <c r="D251" s="199"/>
      <c r="E251" s="199"/>
      <c r="F251" s="200"/>
      <c r="G251" s="201"/>
      <c r="H251" s="202" t="n">
        <f aca="false">VLOOKUP(A251,'Thuc te theo thang'!$A$4:$I$309,8,FALSE())</f>
        <v>0</v>
      </c>
      <c r="I251" s="202" t="n">
        <f aca="false">VLOOKUP(A251,'Thuc te theo thang'!$A$4:$I$309,9,FALSE())</f>
        <v>0</v>
      </c>
      <c r="J251" s="202"/>
      <c r="K251" s="202" t="n">
        <f aca="false">H251-I251-J251</f>
        <v>0</v>
      </c>
      <c r="L251" s="202"/>
      <c r="M251" s="202"/>
    </row>
    <row r="252" customFormat="false" ht="18.75" hidden="false" customHeight="false" outlineLevel="0" collapsed="false">
      <c r="A252" s="215" t="s">
        <v>429</v>
      </c>
      <c r="B252" s="209"/>
      <c r="C252" s="215"/>
      <c r="D252" s="199"/>
      <c r="E252" s="199"/>
      <c r="F252" s="200"/>
      <c r="G252" s="201"/>
      <c r="H252" s="202" t="n">
        <f aca="false">VLOOKUP(A252,'Thuc te theo thang'!$A$4:$I$309,8,FALSE())</f>
        <v>0</v>
      </c>
      <c r="I252" s="202" t="n">
        <f aca="false">VLOOKUP(A252,'Thuc te theo thang'!$A$4:$I$309,9,FALSE())</f>
        <v>0</v>
      </c>
      <c r="J252" s="202"/>
      <c r="K252" s="202" t="n">
        <f aca="false">H252-I252-J252</f>
        <v>0</v>
      </c>
      <c r="L252" s="202"/>
      <c r="M252" s="202"/>
    </row>
    <row r="253" customFormat="false" ht="18.75" hidden="false" customHeight="false" outlineLevel="0" collapsed="false">
      <c r="A253" s="215" t="s">
        <v>430</v>
      </c>
      <c r="B253" s="209"/>
      <c r="C253" s="221"/>
      <c r="D253" s="199"/>
      <c r="E253" s="199"/>
      <c r="F253" s="200"/>
      <c r="G253" s="201"/>
      <c r="H253" s="202" t="n">
        <f aca="false">VLOOKUP(A253,'Thuc te theo thang'!$A$4:$I$309,8,FALSE())</f>
        <v>0</v>
      </c>
      <c r="I253" s="202" t="n">
        <f aca="false">VLOOKUP(A253,'Thuc te theo thang'!$A$4:$I$309,9,FALSE())</f>
        <v>0</v>
      </c>
      <c r="J253" s="202"/>
      <c r="K253" s="202" t="n">
        <f aca="false">H253-I253-J253</f>
        <v>0</v>
      </c>
      <c r="L253" s="202"/>
      <c r="M253" s="202"/>
    </row>
    <row r="254" customFormat="false" ht="18.75" hidden="false" customHeight="false" outlineLevel="0" collapsed="false">
      <c r="A254" s="215" t="s">
        <v>431</v>
      </c>
      <c r="B254" s="197"/>
      <c r="C254" s="216"/>
      <c r="D254" s="199"/>
      <c r="E254" s="199"/>
      <c r="F254" s="200"/>
      <c r="G254" s="201"/>
      <c r="H254" s="202" t="n">
        <f aca="false">VLOOKUP(A254,'Thuc te theo thang'!$A$4:$I$309,8,FALSE())</f>
        <v>0</v>
      </c>
      <c r="I254" s="202" t="n">
        <f aca="false">VLOOKUP(A254,'Thuc te theo thang'!$A$4:$I$309,9,FALSE())</f>
        <v>0</v>
      </c>
      <c r="J254" s="202"/>
      <c r="K254" s="202" t="n">
        <f aca="false">H254-I254-J254</f>
        <v>0</v>
      </c>
      <c r="L254" s="202"/>
      <c r="M254" s="202"/>
    </row>
    <row r="255" customFormat="false" ht="18.75" hidden="false" customHeight="false" outlineLevel="0" collapsed="false">
      <c r="A255" s="215" t="s">
        <v>432</v>
      </c>
      <c r="B255" s="197"/>
      <c r="C255" s="215"/>
      <c r="D255" s="199"/>
      <c r="E255" s="199"/>
      <c r="F255" s="200"/>
      <c r="G255" s="201"/>
      <c r="H255" s="202" t="n">
        <f aca="false">VLOOKUP(A255,'Thuc te theo thang'!$A$4:$I$309,8,FALSE())</f>
        <v>0</v>
      </c>
      <c r="I255" s="202" t="n">
        <f aca="false">VLOOKUP(A255,'Thuc te theo thang'!$A$4:$I$309,9,FALSE())</f>
        <v>0</v>
      </c>
      <c r="J255" s="202"/>
      <c r="K255" s="202" t="n">
        <f aca="false">H255-I255-J255</f>
        <v>0</v>
      </c>
      <c r="L255" s="202"/>
      <c r="M255" s="202"/>
    </row>
    <row r="256" customFormat="false" ht="18.75" hidden="false" customHeight="false" outlineLevel="0" collapsed="false">
      <c r="A256" s="215" t="s">
        <v>433</v>
      </c>
      <c r="B256" s="197"/>
      <c r="C256" s="215"/>
      <c r="D256" s="199"/>
      <c r="E256" s="199"/>
      <c r="F256" s="200"/>
      <c r="G256" s="201"/>
      <c r="H256" s="202" t="n">
        <f aca="false">VLOOKUP(A256,'Thuc te theo thang'!$A$4:$I$309,8,FALSE())</f>
        <v>0</v>
      </c>
      <c r="I256" s="202" t="n">
        <f aca="false">VLOOKUP(A256,'Thuc te theo thang'!$A$4:$I$309,9,FALSE())</f>
        <v>0</v>
      </c>
      <c r="J256" s="202"/>
      <c r="K256" s="202" t="n">
        <f aca="false">H256-I256-J256</f>
        <v>0</v>
      </c>
      <c r="L256" s="202"/>
      <c r="M256" s="202"/>
    </row>
    <row r="257" customFormat="false" ht="18.75" hidden="false" customHeight="false" outlineLevel="0" collapsed="false">
      <c r="A257" s="215" t="s">
        <v>434</v>
      </c>
      <c r="B257" s="197"/>
      <c r="C257" s="216"/>
      <c r="D257" s="199"/>
      <c r="E257" s="199"/>
      <c r="F257" s="200"/>
      <c r="G257" s="201"/>
      <c r="H257" s="202" t="n">
        <f aca="false">VLOOKUP(A257,'Thuc te theo thang'!$A$4:$I$309,8,FALSE())</f>
        <v>0</v>
      </c>
      <c r="I257" s="202" t="n">
        <f aca="false">VLOOKUP(A257,'Thuc te theo thang'!$A$4:$I$309,9,FALSE())</f>
        <v>0</v>
      </c>
      <c r="J257" s="202"/>
      <c r="K257" s="202" t="n">
        <f aca="false">H257-I257-J257</f>
        <v>0</v>
      </c>
      <c r="L257" s="202"/>
      <c r="M257" s="202"/>
    </row>
    <row r="258" customFormat="false" ht="18.75" hidden="false" customHeight="false" outlineLevel="0" collapsed="false">
      <c r="A258" s="215" t="s">
        <v>435</v>
      </c>
      <c r="B258" s="197"/>
      <c r="C258" s="215"/>
      <c r="D258" s="199"/>
      <c r="E258" s="199"/>
      <c r="F258" s="207"/>
      <c r="G258" s="199"/>
      <c r="H258" s="202" t="n">
        <f aca="false">VLOOKUP(A258,'Thuc te theo thang'!$A$4:$I$309,8,FALSE())</f>
        <v>0</v>
      </c>
      <c r="I258" s="202" t="n">
        <f aca="false">VLOOKUP(A258,'Thuc te theo thang'!$A$4:$I$309,9,FALSE())</f>
        <v>0</v>
      </c>
      <c r="J258" s="202"/>
      <c r="K258" s="202" t="n">
        <f aca="false">H258-I258-J258</f>
        <v>0</v>
      </c>
      <c r="L258" s="202"/>
      <c r="M258" s="202"/>
    </row>
    <row r="259" customFormat="false" ht="18.75" hidden="false" customHeight="false" outlineLevel="0" collapsed="false">
      <c r="A259" s="215" t="s">
        <v>436</v>
      </c>
      <c r="B259" s="197"/>
      <c r="C259" s="215"/>
      <c r="D259" s="199"/>
      <c r="E259" s="199"/>
      <c r="F259" s="200"/>
      <c r="G259" s="201"/>
      <c r="H259" s="202" t="n">
        <f aca="false">VLOOKUP(A259,'Thuc te theo thang'!$A$4:$I$309,8,FALSE())</f>
        <v>0</v>
      </c>
      <c r="I259" s="202" t="n">
        <f aca="false">VLOOKUP(A259,'Thuc te theo thang'!$A$4:$I$309,9,FALSE())</f>
        <v>0</v>
      </c>
      <c r="J259" s="202"/>
      <c r="K259" s="202" t="n">
        <f aca="false">H259-I259-J259</f>
        <v>0</v>
      </c>
      <c r="L259" s="202"/>
      <c r="M259" s="202"/>
    </row>
    <row r="260" customFormat="false" ht="18.75" hidden="false" customHeight="false" outlineLevel="0" collapsed="false">
      <c r="A260" s="215" t="s">
        <v>437</v>
      </c>
      <c r="B260" s="197"/>
      <c r="C260" s="215"/>
      <c r="D260" s="199"/>
      <c r="E260" s="199"/>
      <c r="F260" s="200"/>
      <c r="G260" s="210"/>
      <c r="H260" s="202" t="n">
        <f aca="false">VLOOKUP(A260,'Thuc te theo thang'!$A$4:$I$309,8,FALSE())</f>
        <v>0</v>
      </c>
      <c r="I260" s="202" t="n">
        <f aca="false">VLOOKUP(A260,'Thuc te theo thang'!$A$4:$I$309,9,FALSE())</f>
        <v>0</v>
      </c>
      <c r="J260" s="202"/>
      <c r="K260" s="202" t="n">
        <f aca="false">H260-I260-J260</f>
        <v>0</v>
      </c>
      <c r="L260" s="202"/>
      <c r="M260" s="202"/>
    </row>
    <row r="261" customFormat="false" ht="18.75" hidden="false" customHeight="false" outlineLevel="0" collapsed="false">
      <c r="A261" s="215" t="s">
        <v>438</v>
      </c>
      <c r="B261" s="209"/>
      <c r="C261" s="215"/>
      <c r="D261" s="199"/>
      <c r="E261" s="199"/>
      <c r="F261" s="200"/>
      <c r="G261" s="201"/>
      <c r="H261" s="202" t="n">
        <f aca="false">VLOOKUP(A261,'Thuc te theo thang'!$A$4:$I$309,8,FALSE())</f>
        <v>0</v>
      </c>
      <c r="I261" s="202" t="n">
        <f aca="false">VLOOKUP(A261,'Thuc te theo thang'!$A$4:$I$309,9,FALSE())</f>
        <v>0</v>
      </c>
      <c r="J261" s="202"/>
      <c r="K261" s="202" t="n">
        <f aca="false">H261-I261-J261</f>
        <v>0</v>
      </c>
      <c r="L261" s="202"/>
      <c r="M261" s="202"/>
    </row>
    <row r="262" customFormat="false" ht="18.75" hidden="false" customHeight="false" outlineLevel="0" collapsed="false">
      <c r="A262" s="215" t="s">
        <v>439</v>
      </c>
      <c r="B262" s="209"/>
      <c r="C262" s="215"/>
      <c r="D262" s="199"/>
      <c r="E262" s="199"/>
      <c r="F262" s="200"/>
      <c r="G262" s="201"/>
      <c r="H262" s="202" t="n">
        <f aca="false">VLOOKUP(A262,'Thuc te theo thang'!$A$4:$I$309,8,FALSE())</f>
        <v>0</v>
      </c>
      <c r="I262" s="202" t="n">
        <f aca="false">VLOOKUP(A262,'Thuc te theo thang'!$A$4:$I$309,9,FALSE())</f>
        <v>0</v>
      </c>
      <c r="J262" s="202"/>
      <c r="K262" s="202" t="n">
        <f aca="false">H262-I262-J262</f>
        <v>0</v>
      </c>
      <c r="L262" s="202"/>
      <c r="M262" s="202"/>
    </row>
    <row r="263" customFormat="false" ht="18.75" hidden="false" customHeight="false" outlineLevel="0" collapsed="false">
      <c r="A263" s="215" t="s">
        <v>440</v>
      </c>
      <c r="B263" s="209"/>
      <c r="C263" s="215"/>
      <c r="D263" s="199"/>
      <c r="E263" s="199"/>
      <c r="F263" s="200"/>
      <c r="G263" s="201"/>
      <c r="H263" s="202" t="n">
        <f aca="false">VLOOKUP(A263,'Thuc te theo thang'!$A$4:$I$309,8,FALSE())</f>
        <v>0</v>
      </c>
      <c r="I263" s="202" t="n">
        <f aca="false">VLOOKUP(A263,'Thuc te theo thang'!$A$4:$I$309,9,FALSE())</f>
        <v>0</v>
      </c>
      <c r="J263" s="202"/>
      <c r="K263" s="202" t="n">
        <f aca="false">H263-I263-J263</f>
        <v>0</v>
      </c>
      <c r="L263" s="202"/>
      <c r="M263" s="202"/>
    </row>
    <row r="264" customFormat="false" ht="18.75" hidden="false" customHeight="false" outlineLevel="0" collapsed="false">
      <c r="A264" s="215" t="s">
        <v>441</v>
      </c>
      <c r="B264" s="209"/>
      <c r="C264" s="216"/>
      <c r="D264" s="199"/>
      <c r="E264" s="199"/>
      <c r="F264" s="200"/>
      <c r="G264" s="201"/>
      <c r="H264" s="202" t="n">
        <f aca="false">VLOOKUP(A264,'Thuc te theo thang'!$A$4:$I$309,8,FALSE())</f>
        <v>0</v>
      </c>
      <c r="I264" s="202" t="n">
        <f aca="false">VLOOKUP(A264,'Thuc te theo thang'!$A$4:$I$309,9,FALSE())</f>
        <v>0</v>
      </c>
      <c r="J264" s="202"/>
      <c r="K264" s="202" t="n">
        <f aca="false">H264-I264-J264</f>
        <v>0</v>
      </c>
      <c r="L264" s="202"/>
      <c r="M264" s="202"/>
      <c r="N264" s="113"/>
    </row>
    <row r="265" customFormat="false" ht="18.75" hidden="false" customHeight="false" outlineLevel="0" collapsed="false">
      <c r="A265" s="215" t="s">
        <v>442</v>
      </c>
      <c r="B265" s="227"/>
      <c r="C265" s="216"/>
      <c r="D265" s="199"/>
      <c r="E265" s="199"/>
      <c r="F265" s="200"/>
      <c r="G265" s="201"/>
      <c r="H265" s="202" t="n">
        <f aca="false">VLOOKUP(A265,'Thuc te theo thang'!$A$4:$I$309,8,FALSE())</f>
        <v>0</v>
      </c>
      <c r="I265" s="202" t="n">
        <f aca="false">VLOOKUP(A265,'Thuc te theo thang'!$A$4:$I$309,9,FALSE())</f>
        <v>0</v>
      </c>
      <c r="J265" s="202"/>
      <c r="K265" s="202" t="n">
        <f aca="false">H265-I265-J265</f>
        <v>0</v>
      </c>
      <c r="L265" s="202"/>
      <c r="M265" s="202"/>
      <c r="N265" s="113"/>
    </row>
    <row r="266" customFormat="false" ht="18.75" hidden="false" customHeight="false" outlineLevel="0" collapsed="false">
      <c r="A266" s="215" t="s">
        <v>443</v>
      </c>
      <c r="B266" s="227"/>
      <c r="C266" s="216"/>
      <c r="D266" s="199"/>
      <c r="E266" s="199"/>
      <c r="F266" s="200"/>
      <c r="G266" s="201"/>
      <c r="H266" s="202" t="n">
        <f aca="false">VLOOKUP(A266,'Thuc te theo thang'!$A$4:$I$309,8,FALSE())</f>
        <v>0</v>
      </c>
      <c r="I266" s="202" t="n">
        <f aca="false">VLOOKUP(A266,'Thuc te theo thang'!$A$4:$I$309,9,FALSE())</f>
        <v>0</v>
      </c>
      <c r="J266" s="202"/>
      <c r="K266" s="202" t="n">
        <f aca="false">H266-I266-J266</f>
        <v>0</v>
      </c>
      <c r="L266" s="202"/>
      <c r="M266" s="202"/>
      <c r="N266" s="113"/>
    </row>
    <row r="267" customFormat="false" ht="18.75" hidden="false" customHeight="false" outlineLevel="0" collapsed="false">
      <c r="A267" s="215" t="s">
        <v>444</v>
      </c>
      <c r="B267" s="227"/>
      <c r="C267" s="216"/>
      <c r="D267" s="199"/>
      <c r="E267" s="199"/>
      <c r="F267" s="200"/>
      <c r="G267" s="201"/>
      <c r="H267" s="202" t="n">
        <f aca="false">VLOOKUP(A267,'Thuc te theo thang'!$A$4:$I$309,8,FALSE())</f>
        <v>0</v>
      </c>
      <c r="I267" s="202" t="n">
        <f aca="false">VLOOKUP(A267,'Thuc te theo thang'!$A$4:$I$309,9,FALSE())</f>
        <v>0</v>
      </c>
      <c r="J267" s="202"/>
      <c r="K267" s="202" t="n">
        <f aca="false">H267-I267-J267</f>
        <v>0</v>
      </c>
      <c r="L267" s="202"/>
      <c r="M267" s="202"/>
      <c r="N267" s="113"/>
    </row>
    <row r="268" customFormat="false" ht="18.75" hidden="false" customHeight="false" outlineLevel="0" collapsed="false">
      <c r="A268" s="215" t="s">
        <v>445</v>
      </c>
      <c r="B268" s="222"/>
      <c r="C268" s="220"/>
      <c r="D268" s="199"/>
      <c r="E268" s="199"/>
      <c r="F268" s="200"/>
      <c r="G268" s="201"/>
      <c r="H268" s="202" t="n">
        <f aca="false">VLOOKUP(A268,'Thuc te theo thang'!$A$4:$I$309,8,FALSE())</f>
        <v>0</v>
      </c>
      <c r="I268" s="202" t="n">
        <f aca="false">VLOOKUP(A268,'Thuc te theo thang'!$A$4:$I$309,9,FALSE())</f>
        <v>0</v>
      </c>
      <c r="J268" s="202"/>
      <c r="K268" s="202" t="n">
        <f aca="false">H268-I268-J268</f>
        <v>0</v>
      </c>
      <c r="L268" s="202"/>
      <c r="M268" s="202"/>
    </row>
    <row r="269" customFormat="false" ht="18.75" hidden="false" customHeight="false" outlineLevel="0" collapsed="false">
      <c r="A269" s="215" t="s">
        <v>446</v>
      </c>
      <c r="B269" s="222"/>
      <c r="C269" s="215"/>
      <c r="D269" s="199"/>
      <c r="E269" s="199"/>
      <c r="F269" s="200"/>
      <c r="G269" s="201"/>
      <c r="H269" s="202" t="n">
        <f aca="false">VLOOKUP(A269,'Thuc te theo thang'!$A$4:$I$309,8,FALSE())</f>
        <v>0</v>
      </c>
      <c r="I269" s="202" t="n">
        <f aca="false">VLOOKUP(A269,'Thuc te theo thang'!$A$4:$I$309,9,FALSE())</f>
        <v>0</v>
      </c>
      <c r="J269" s="202"/>
      <c r="K269" s="202" t="n">
        <f aca="false">H269-I269-J269</f>
        <v>0</v>
      </c>
      <c r="L269" s="202"/>
      <c r="M269" s="202"/>
    </row>
    <row r="270" customFormat="false" ht="18.75" hidden="false" customHeight="false" outlineLevel="0" collapsed="false">
      <c r="A270" s="215" t="s">
        <v>447</v>
      </c>
      <c r="B270" s="222"/>
      <c r="C270" s="215"/>
      <c r="D270" s="199"/>
      <c r="E270" s="199"/>
      <c r="F270" s="200"/>
      <c r="G270" s="201"/>
      <c r="H270" s="202" t="n">
        <f aca="false">VLOOKUP(A270,'Thuc te theo thang'!$A$4:$I$309,8,FALSE())</f>
        <v>0</v>
      </c>
      <c r="I270" s="202" t="n">
        <f aca="false">VLOOKUP(A270,'Thuc te theo thang'!$A$4:$I$309,9,FALSE())</f>
        <v>0</v>
      </c>
      <c r="J270" s="202"/>
      <c r="K270" s="202" t="n">
        <f aca="false">H270-I270-J270</f>
        <v>0</v>
      </c>
      <c r="L270" s="202"/>
      <c r="M270" s="202"/>
      <c r="N270" s="113"/>
    </row>
    <row r="271" customFormat="false" ht="18.75" hidden="false" customHeight="false" outlineLevel="0" collapsed="false">
      <c r="A271" s="215" t="s">
        <v>448</v>
      </c>
      <c r="B271" s="222"/>
      <c r="C271" s="221"/>
      <c r="D271" s="199"/>
      <c r="E271" s="199"/>
      <c r="F271" s="200"/>
      <c r="G271" s="201"/>
      <c r="H271" s="202" t="n">
        <f aca="false">VLOOKUP(A271,'Thuc te theo thang'!$A$4:$I$309,8,FALSE())</f>
        <v>0</v>
      </c>
      <c r="I271" s="202" t="n">
        <f aca="false">VLOOKUP(A271,'Thuc te theo thang'!$A$4:$I$309,9,FALSE())</f>
        <v>0</v>
      </c>
      <c r="J271" s="202"/>
      <c r="K271" s="202" t="n">
        <f aca="false">H271-I271-J271</f>
        <v>0</v>
      </c>
      <c r="L271" s="202"/>
      <c r="M271" s="202"/>
    </row>
    <row r="272" customFormat="false" ht="18.75" hidden="false" customHeight="false" outlineLevel="0" collapsed="false">
      <c r="A272" s="215" t="s">
        <v>449</v>
      </c>
      <c r="B272" s="209"/>
      <c r="C272" s="215"/>
      <c r="D272" s="199"/>
      <c r="E272" s="199"/>
      <c r="F272" s="200"/>
      <c r="G272" s="201"/>
      <c r="H272" s="202" t="n">
        <f aca="false">VLOOKUP(A272,'Thuc te theo thang'!$A$4:$I$309,8,FALSE())</f>
        <v>0</v>
      </c>
      <c r="I272" s="202" t="n">
        <f aca="false">VLOOKUP(A272,'Thuc te theo thang'!$A$4:$I$309,9,FALSE())</f>
        <v>0</v>
      </c>
      <c r="J272" s="202"/>
      <c r="K272" s="202" t="n">
        <f aca="false">H272-I272-J272</f>
        <v>0</v>
      </c>
      <c r="L272" s="202"/>
      <c r="M272" s="202"/>
    </row>
    <row r="273" customFormat="false" ht="18.75" hidden="false" customHeight="false" outlineLevel="0" collapsed="false">
      <c r="A273" s="215" t="s">
        <v>450</v>
      </c>
      <c r="B273" s="209"/>
      <c r="C273" s="216"/>
      <c r="D273" s="199"/>
      <c r="E273" s="199"/>
      <c r="F273" s="200"/>
      <c r="G273" s="199"/>
      <c r="H273" s="202" t="n">
        <f aca="false">VLOOKUP(A273,'Thuc te theo thang'!$A$4:$I$309,8,FALSE())</f>
        <v>0</v>
      </c>
      <c r="I273" s="202" t="n">
        <f aca="false">VLOOKUP(A273,'Thuc te theo thang'!$A$4:$I$309,9,FALSE())</f>
        <v>0</v>
      </c>
      <c r="J273" s="202"/>
      <c r="K273" s="202" t="n">
        <f aca="false">H273-I273-J273</f>
        <v>0</v>
      </c>
      <c r="L273" s="202"/>
      <c r="M273" s="202"/>
      <c r="N273" s="113"/>
    </row>
    <row r="274" customFormat="false" ht="18.75" hidden="false" customHeight="false" outlineLevel="0" collapsed="false">
      <c r="A274" s="215" t="s">
        <v>451</v>
      </c>
      <c r="B274" s="209"/>
      <c r="C274" s="215"/>
      <c r="D274" s="199"/>
      <c r="E274" s="199"/>
      <c r="F274" s="200"/>
      <c r="G274" s="201"/>
      <c r="H274" s="202" t="n">
        <f aca="false">VLOOKUP(A274,'Thuc te theo thang'!$A$4:$I$309,8,FALSE())</f>
        <v>0</v>
      </c>
      <c r="I274" s="202" t="n">
        <f aca="false">VLOOKUP(A274,'Thuc te theo thang'!$A$4:$I$309,9,FALSE())</f>
        <v>0</v>
      </c>
      <c r="J274" s="202"/>
      <c r="K274" s="202" t="n">
        <f aca="false">H274-I274-J274</f>
        <v>0</v>
      </c>
      <c r="L274" s="202"/>
      <c r="M274" s="202"/>
    </row>
    <row r="275" customFormat="false" ht="18.75" hidden="false" customHeight="false" outlineLevel="0" collapsed="false">
      <c r="A275" s="215" t="s">
        <v>452</v>
      </c>
      <c r="B275" s="209"/>
      <c r="C275" s="215"/>
      <c r="D275" s="199"/>
      <c r="E275" s="199"/>
      <c r="F275" s="200"/>
      <c r="G275" s="210"/>
      <c r="H275" s="202" t="n">
        <f aca="false">VLOOKUP(A275,'Thuc te theo thang'!$A$4:$I$309,8,FALSE())</f>
        <v>0</v>
      </c>
      <c r="I275" s="202" t="n">
        <f aca="false">VLOOKUP(A275,'Thuc te theo thang'!$A$4:$I$309,9,FALSE())</f>
        <v>0</v>
      </c>
      <c r="J275" s="202"/>
      <c r="K275" s="202" t="n">
        <f aca="false">H275-I275-J275</f>
        <v>0</v>
      </c>
      <c r="L275" s="202"/>
      <c r="M275" s="202"/>
    </row>
    <row r="276" customFormat="false" ht="18.75" hidden="false" customHeight="false" outlineLevel="0" collapsed="false">
      <c r="A276" s="215" t="s">
        <v>453</v>
      </c>
      <c r="B276" s="209"/>
      <c r="C276" s="215"/>
      <c r="D276" s="199"/>
      <c r="E276" s="199"/>
      <c r="F276" s="200"/>
      <c r="G276" s="201"/>
      <c r="H276" s="202" t="n">
        <f aca="false">VLOOKUP(A276,'Thuc te theo thang'!$A$4:$I$309,8,FALSE())</f>
        <v>0</v>
      </c>
      <c r="I276" s="202" t="n">
        <f aca="false">VLOOKUP(A276,'Thuc te theo thang'!$A$4:$I$309,9,FALSE())</f>
        <v>0</v>
      </c>
      <c r="J276" s="202"/>
      <c r="K276" s="202" t="n">
        <f aca="false">H276-I276-J276</f>
        <v>0</v>
      </c>
      <c r="L276" s="202"/>
      <c r="M276" s="202"/>
    </row>
    <row r="277" customFormat="false" ht="18.75" hidden="false" customHeight="false" outlineLevel="0" collapsed="false">
      <c r="A277" s="215" t="s">
        <v>454</v>
      </c>
      <c r="B277" s="209"/>
      <c r="C277" s="216"/>
      <c r="D277" s="199"/>
      <c r="E277" s="199"/>
      <c r="F277" s="200"/>
      <c r="G277" s="201"/>
      <c r="H277" s="202" t="n">
        <f aca="false">VLOOKUP(A277,'Thuc te theo thang'!$A$4:$I$309,8,FALSE())</f>
        <v>0</v>
      </c>
      <c r="I277" s="202" t="n">
        <f aca="false">VLOOKUP(A277,'Thuc te theo thang'!$A$4:$I$309,9,FALSE())</f>
        <v>0</v>
      </c>
      <c r="J277" s="202"/>
      <c r="K277" s="202" t="n">
        <f aca="false">H277-I277-J277</f>
        <v>0</v>
      </c>
      <c r="L277" s="202"/>
      <c r="M277" s="202"/>
    </row>
    <row r="278" customFormat="false" ht="18.75" hidden="false" customHeight="false" outlineLevel="0" collapsed="false">
      <c r="A278" s="215" t="s">
        <v>455</v>
      </c>
      <c r="B278" s="209"/>
      <c r="C278" s="215"/>
      <c r="D278" s="199"/>
      <c r="E278" s="199"/>
      <c r="F278" s="200"/>
      <c r="G278" s="201"/>
      <c r="H278" s="202" t="n">
        <f aca="false">VLOOKUP(A278,'Thuc te theo thang'!$A$4:$I$309,8,FALSE())</f>
        <v>0</v>
      </c>
      <c r="I278" s="202" t="n">
        <f aca="false">VLOOKUP(A278,'Thuc te theo thang'!$A$4:$I$309,9,FALSE())</f>
        <v>0</v>
      </c>
      <c r="J278" s="202"/>
      <c r="K278" s="202" t="n">
        <f aca="false">H278-I278-J278</f>
        <v>0</v>
      </c>
      <c r="L278" s="202"/>
      <c r="M278" s="202"/>
    </row>
    <row r="279" customFormat="false" ht="18.75" hidden="false" customHeight="false" outlineLevel="0" collapsed="false">
      <c r="A279" s="215" t="s">
        <v>456</v>
      </c>
      <c r="B279" s="209"/>
      <c r="C279" s="221"/>
      <c r="D279" s="199"/>
      <c r="E279" s="199"/>
      <c r="F279" s="200"/>
      <c r="G279" s="201"/>
      <c r="H279" s="202" t="n">
        <f aca="false">VLOOKUP(A279,'Thuc te theo thang'!$A$4:$I$309,8,FALSE())</f>
        <v>0</v>
      </c>
      <c r="I279" s="202" t="n">
        <f aca="false">VLOOKUP(A279,'Thuc te theo thang'!$A$4:$I$309,9,FALSE())</f>
        <v>0</v>
      </c>
      <c r="J279" s="202"/>
      <c r="K279" s="202" t="n">
        <f aca="false">H279-I279-J279</f>
        <v>0</v>
      </c>
      <c r="L279" s="202"/>
      <c r="M279" s="202"/>
    </row>
    <row r="280" customFormat="false" ht="18.75" hidden="false" customHeight="false" outlineLevel="0" collapsed="false">
      <c r="A280" s="215" t="s">
        <v>457</v>
      </c>
      <c r="B280" s="209"/>
      <c r="C280" s="215"/>
      <c r="D280" s="199"/>
      <c r="E280" s="199"/>
      <c r="F280" s="200"/>
      <c r="G280" s="201"/>
      <c r="H280" s="202" t="n">
        <f aca="false">VLOOKUP(A280,'Thuc te theo thang'!$A$4:$I$309,8,FALSE())</f>
        <v>0</v>
      </c>
      <c r="I280" s="202" t="n">
        <f aca="false">VLOOKUP(A280,'Thuc te theo thang'!$A$4:$I$309,9,FALSE())</f>
        <v>0</v>
      </c>
      <c r="J280" s="202"/>
      <c r="K280" s="202" t="n">
        <f aca="false">H280-I280-J280</f>
        <v>0</v>
      </c>
      <c r="L280" s="202"/>
      <c r="M280" s="202"/>
      <c r="N280" s="113"/>
    </row>
    <row r="281" customFormat="false" ht="18.75" hidden="false" customHeight="false" outlineLevel="0" collapsed="false">
      <c r="A281" s="215" t="s">
        <v>458</v>
      </c>
      <c r="B281" s="209"/>
      <c r="C281" s="216"/>
      <c r="D281" s="199"/>
      <c r="E281" s="199"/>
      <c r="F281" s="200"/>
      <c r="G281" s="201"/>
      <c r="H281" s="202" t="n">
        <f aca="false">VLOOKUP(A281,'Thuc te theo thang'!$A$4:$I$309,8,FALSE())</f>
        <v>0</v>
      </c>
      <c r="I281" s="202" t="n">
        <f aca="false">VLOOKUP(A281,'Thuc te theo thang'!$A$4:$I$309,9,FALSE())</f>
        <v>0</v>
      </c>
      <c r="J281" s="202"/>
      <c r="K281" s="202" t="n">
        <f aca="false">H281-I281-J281</f>
        <v>0</v>
      </c>
      <c r="L281" s="202"/>
      <c r="M281" s="202"/>
    </row>
    <row r="282" customFormat="false" ht="18.75" hidden="false" customHeight="false" outlineLevel="0" collapsed="false">
      <c r="A282" s="215" t="s">
        <v>459</v>
      </c>
      <c r="B282" s="209"/>
      <c r="C282" s="215"/>
      <c r="D282" s="199"/>
      <c r="E282" s="199"/>
      <c r="F282" s="200"/>
      <c r="G282" s="201"/>
      <c r="H282" s="202" t="n">
        <f aca="false">VLOOKUP(A282,'Thuc te theo thang'!$A$4:$I$309,8,FALSE())</f>
        <v>0</v>
      </c>
      <c r="I282" s="202" t="n">
        <f aca="false">VLOOKUP(A282,'Thuc te theo thang'!$A$4:$I$309,9,FALSE())</f>
        <v>0</v>
      </c>
      <c r="J282" s="202"/>
      <c r="K282" s="202" t="n">
        <f aca="false">H282-I282-J282</f>
        <v>0</v>
      </c>
      <c r="L282" s="202"/>
      <c r="M282" s="202"/>
    </row>
    <row r="283" customFormat="false" ht="18.75" hidden="false" customHeight="false" outlineLevel="0" collapsed="false">
      <c r="A283" s="215" t="s">
        <v>460</v>
      </c>
      <c r="B283" s="209"/>
      <c r="C283" s="215"/>
      <c r="D283" s="199"/>
      <c r="E283" s="199"/>
      <c r="F283" s="200"/>
      <c r="G283" s="199"/>
      <c r="H283" s="202" t="n">
        <f aca="false">VLOOKUP(A283,'Thuc te theo thang'!$A$4:$I$309,8,FALSE())</f>
        <v>0</v>
      </c>
      <c r="I283" s="202" t="n">
        <f aca="false">VLOOKUP(A283,'Thuc te theo thang'!$A$4:$I$309,9,FALSE())</f>
        <v>0</v>
      </c>
      <c r="J283" s="202"/>
      <c r="K283" s="202" t="n">
        <f aca="false">H283-I283-J283</f>
        <v>0</v>
      </c>
      <c r="L283" s="202"/>
      <c r="M283" s="202"/>
    </row>
    <row r="284" customFormat="false" ht="18.75" hidden="false" customHeight="false" outlineLevel="0" collapsed="false">
      <c r="A284" s="215" t="s">
        <v>461</v>
      </c>
      <c r="B284" s="209"/>
      <c r="C284" s="215"/>
      <c r="D284" s="199"/>
      <c r="E284" s="199"/>
      <c r="F284" s="200"/>
      <c r="G284" s="201"/>
      <c r="H284" s="202" t="n">
        <f aca="false">VLOOKUP(A284,'Thuc te theo thang'!$A$4:$I$309,8,FALSE())</f>
        <v>0</v>
      </c>
      <c r="I284" s="202" t="n">
        <f aca="false">VLOOKUP(A284,'Thuc te theo thang'!$A$4:$I$309,9,FALSE())</f>
        <v>0</v>
      </c>
      <c r="J284" s="202"/>
      <c r="K284" s="202" t="n">
        <f aca="false">H284-I284-J284</f>
        <v>0</v>
      </c>
      <c r="L284" s="202"/>
      <c r="M284" s="202"/>
    </row>
    <row r="285" customFormat="false" ht="18.75" hidden="false" customHeight="false" outlineLevel="0" collapsed="false">
      <c r="A285" s="215" t="s">
        <v>462</v>
      </c>
      <c r="B285" s="209"/>
      <c r="C285" s="216"/>
      <c r="D285" s="199"/>
      <c r="E285" s="199"/>
      <c r="F285" s="200"/>
      <c r="G285" s="210"/>
      <c r="H285" s="202" t="n">
        <f aca="false">VLOOKUP(A285,'Thuc te theo thang'!$A$4:$I$309,8,FALSE())</f>
        <v>0</v>
      </c>
      <c r="I285" s="202" t="n">
        <f aca="false">VLOOKUP(A285,'Thuc te theo thang'!$A$4:$I$309,9,FALSE())</f>
        <v>0</v>
      </c>
      <c r="J285" s="202"/>
      <c r="K285" s="202" t="n">
        <f aca="false">H285-I285-J285</f>
        <v>0</v>
      </c>
      <c r="L285" s="202"/>
      <c r="M285" s="202"/>
    </row>
    <row r="286" customFormat="false" ht="18.75" hidden="false" customHeight="false" outlineLevel="0" collapsed="false">
      <c r="A286" s="215" t="s">
        <v>463</v>
      </c>
      <c r="B286" s="209"/>
      <c r="C286" s="215"/>
      <c r="D286" s="199"/>
      <c r="E286" s="199"/>
      <c r="F286" s="200"/>
      <c r="G286" s="201"/>
      <c r="H286" s="202" t="n">
        <f aca="false">VLOOKUP(A286,'Thuc te theo thang'!$A$4:$I$309,8,FALSE())</f>
        <v>0</v>
      </c>
      <c r="I286" s="202" t="n">
        <f aca="false">VLOOKUP(A286,'Thuc te theo thang'!$A$4:$I$309,9,FALSE())</f>
        <v>0</v>
      </c>
      <c r="J286" s="202"/>
      <c r="K286" s="202" t="n">
        <f aca="false">H286-I286-J286</f>
        <v>0</v>
      </c>
      <c r="L286" s="202"/>
      <c r="M286" s="202"/>
    </row>
    <row r="287" customFormat="false" ht="18.75" hidden="false" customHeight="false" outlineLevel="0" collapsed="false">
      <c r="A287" s="215" t="s">
        <v>464</v>
      </c>
      <c r="B287" s="209"/>
      <c r="C287" s="215"/>
      <c r="D287" s="199"/>
      <c r="E287" s="199"/>
      <c r="F287" s="200"/>
      <c r="G287" s="201"/>
      <c r="H287" s="202" t="n">
        <f aca="false">VLOOKUP(A287,'Thuc te theo thang'!$A$4:$I$309,8,FALSE())</f>
        <v>0</v>
      </c>
      <c r="I287" s="202" t="n">
        <f aca="false">VLOOKUP(A287,'Thuc te theo thang'!$A$4:$I$309,9,FALSE())</f>
        <v>0</v>
      </c>
      <c r="J287" s="202"/>
      <c r="K287" s="202" t="n">
        <f aca="false">H287-I287-J287</f>
        <v>0</v>
      </c>
      <c r="L287" s="202"/>
      <c r="M287" s="202"/>
    </row>
    <row r="288" customFormat="false" ht="18.75" hidden="false" customHeight="false" outlineLevel="0" collapsed="false">
      <c r="A288" s="215" t="s">
        <v>465</v>
      </c>
      <c r="B288" s="209"/>
      <c r="C288" s="215"/>
      <c r="D288" s="199"/>
      <c r="E288" s="199"/>
      <c r="F288" s="200"/>
      <c r="G288" s="201"/>
      <c r="H288" s="202" t="n">
        <f aca="false">VLOOKUP(A288,'Thuc te theo thang'!$A$4:$I$309,8,FALSE())</f>
        <v>0</v>
      </c>
      <c r="I288" s="202" t="n">
        <f aca="false">VLOOKUP(A288,'Thuc te theo thang'!$A$4:$I$309,9,FALSE())</f>
        <v>0</v>
      </c>
      <c r="J288" s="202"/>
      <c r="K288" s="202" t="n">
        <f aca="false">H288-I288-J288</f>
        <v>0</v>
      </c>
      <c r="L288" s="202"/>
      <c r="M288" s="202"/>
    </row>
    <row r="289" customFormat="false" ht="18.75" hidden="false" customHeight="false" outlineLevel="0" collapsed="false">
      <c r="A289" s="215" t="s">
        <v>466</v>
      </c>
      <c r="B289" s="209"/>
      <c r="C289" s="215"/>
      <c r="D289" s="199"/>
      <c r="E289" s="199"/>
      <c r="F289" s="200"/>
      <c r="G289" s="201"/>
      <c r="H289" s="202" t="n">
        <f aca="false">VLOOKUP(A289,'Thuc te theo thang'!$A$4:$I$309,8,FALSE())</f>
        <v>0</v>
      </c>
      <c r="I289" s="202" t="n">
        <f aca="false">VLOOKUP(A289,'Thuc te theo thang'!$A$4:$I$309,9,FALSE())</f>
        <v>0</v>
      </c>
      <c r="J289" s="202"/>
      <c r="K289" s="202" t="n">
        <f aca="false">H289-I289-J289</f>
        <v>0</v>
      </c>
      <c r="L289" s="202"/>
      <c r="M289" s="202"/>
    </row>
    <row r="290" customFormat="false" ht="18.75" hidden="false" customHeight="false" outlineLevel="0" collapsed="false">
      <c r="A290" s="215" t="s">
        <v>467</v>
      </c>
      <c r="B290" s="209"/>
      <c r="C290" s="215"/>
      <c r="D290" s="199"/>
      <c r="E290" s="199"/>
      <c r="F290" s="200"/>
      <c r="G290" s="201"/>
      <c r="H290" s="202" t="n">
        <f aca="false">VLOOKUP(A290,'Thuc te theo thang'!$A$4:$I$309,8,FALSE())</f>
        <v>0</v>
      </c>
      <c r="I290" s="202" t="n">
        <f aca="false">VLOOKUP(A290,'Thuc te theo thang'!$A$4:$I$309,9,FALSE())</f>
        <v>0</v>
      </c>
      <c r="J290" s="202"/>
      <c r="K290" s="202" t="n">
        <f aca="false">H290-I290-J290</f>
        <v>0</v>
      </c>
      <c r="L290" s="202"/>
      <c r="M290" s="202"/>
    </row>
    <row r="291" customFormat="false" ht="18.75" hidden="false" customHeight="false" outlineLevel="0" collapsed="false">
      <c r="A291" s="215" t="s">
        <v>468</v>
      </c>
      <c r="B291" s="209"/>
      <c r="C291" s="215"/>
      <c r="D291" s="199"/>
      <c r="E291" s="199"/>
      <c r="F291" s="200"/>
      <c r="G291" s="201"/>
      <c r="H291" s="202" t="n">
        <f aca="false">VLOOKUP(A291,'Thuc te theo thang'!$A$4:$I$309,8,FALSE())</f>
        <v>0</v>
      </c>
      <c r="I291" s="202" t="n">
        <f aca="false">VLOOKUP(A291,'Thuc te theo thang'!$A$4:$I$309,9,FALSE())</f>
        <v>0</v>
      </c>
      <c r="J291" s="202"/>
      <c r="K291" s="202" t="n">
        <f aca="false">H291-I291-J291</f>
        <v>0</v>
      </c>
      <c r="L291" s="202"/>
      <c r="M291" s="202"/>
    </row>
    <row r="292" customFormat="false" ht="18.75" hidden="false" customHeight="false" outlineLevel="0" collapsed="false">
      <c r="A292" s="215" t="s">
        <v>469</v>
      </c>
      <c r="B292" s="209"/>
      <c r="C292" s="221"/>
      <c r="D292" s="199"/>
      <c r="E292" s="199"/>
      <c r="F292" s="200"/>
      <c r="G292" s="201"/>
      <c r="H292" s="202" t="n">
        <f aca="false">VLOOKUP(A292,'Thuc te theo thang'!$A$4:$I$309,8,FALSE())</f>
        <v>0</v>
      </c>
      <c r="I292" s="202" t="n">
        <f aca="false">VLOOKUP(A292,'Thuc te theo thang'!$A$4:$I$309,9,FALSE())</f>
        <v>0</v>
      </c>
      <c r="J292" s="202"/>
      <c r="K292" s="202" t="n">
        <f aca="false">H292-I292-J292</f>
        <v>0</v>
      </c>
      <c r="L292" s="202"/>
      <c r="M292" s="202"/>
    </row>
    <row r="293" customFormat="false" ht="18.75" hidden="false" customHeight="false" outlineLevel="0" collapsed="false">
      <c r="A293" s="215" t="s">
        <v>470</v>
      </c>
      <c r="B293" s="209"/>
      <c r="C293" s="216"/>
      <c r="D293" s="199"/>
      <c r="E293" s="199"/>
      <c r="F293" s="200"/>
      <c r="G293" s="199"/>
      <c r="H293" s="202" t="n">
        <f aca="false">VLOOKUP(A293,'Thuc te theo thang'!$A$4:$I$309,8,FALSE())</f>
        <v>0</v>
      </c>
      <c r="I293" s="202" t="n">
        <f aca="false">VLOOKUP(A293,'Thuc te theo thang'!$A$4:$I$309,9,FALSE())</f>
        <v>0</v>
      </c>
      <c r="J293" s="202"/>
      <c r="K293" s="202" t="n">
        <f aca="false">H293-I293-J293</f>
        <v>0</v>
      </c>
      <c r="L293" s="202"/>
      <c r="M293" s="202"/>
    </row>
    <row r="294" customFormat="false" ht="18.75" hidden="false" customHeight="false" outlineLevel="0" collapsed="false">
      <c r="A294" s="215" t="s">
        <v>471</v>
      </c>
      <c r="B294" s="209"/>
      <c r="C294" s="220"/>
      <c r="D294" s="199"/>
      <c r="E294" s="199"/>
      <c r="F294" s="200"/>
      <c r="G294" s="201"/>
      <c r="H294" s="202" t="n">
        <f aca="false">VLOOKUP(A294,'Thuc te theo thang'!$A$4:$I$309,8,FALSE())</f>
        <v>0</v>
      </c>
      <c r="I294" s="202" t="n">
        <f aca="false">VLOOKUP(A294,'Thuc te theo thang'!$A$4:$I$309,9,FALSE())</f>
        <v>0</v>
      </c>
      <c r="J294" s="202"/>
      <c r="K294" s="202" t="n">
        <f aca="false">H294-I294-J294</f>
        <v>0</v>
      </c>
      <c r="L294" s="202"/>
      <c r="M294" s="202"/>
    </row>
    <row r="295" customFormat="false" ht="18.75" hidden="false" customHeight="false" outlineLevel="0" collapsed="false">
      <c r="A295" s="215" t="s">
        <v>472</v>
      </c>
      <c r="B295" s="209"/>
      <c r="C295" s="220"/>
      <c r="D295" s="199"/>
      <c r="E295" s="199"/>
      <c r="F295" s="200"/>
      <c r="G295" s="210"/>
      <c r="H295" s="202" t="n">
        <f aca="false">VLOOKUP(A295,'Thuc te theo thang'!$A$4:$I$309,8,FALSE())</f>
        <v>0</v>
      </c>
      <c r="I295" s="202" t="n">
        <f aca="false">VLOOKUP(A295,'Thuc te theo thang'!$A$4:$I$309,9,FALSE())</f>
        <v>0</v>
      </c>
      <c r="J295" s="202"/>
      <c r="K295" s="202" t="n">
        <f aca="false">H295-I295-J295</f>
        <v>0</v>
      </c>
      <c r="L295" s="202"/>
      <c r="M295" s="202"/>
    </row>
    <row r="296" customFormat="false" ht="18.75" hidden="false" customHeight="false" outlineLevel="0" collapsed="false">
      <c r="A296" s="215" t="s">
        <v>473</v>
      </c>
      <c r="B296" s="209"/>
      <c r="C296" s="216"/>
      <c r="D296" s="199"/>
      <c r="E296" s="199"/>
      <c r="F296" s="200"/>
      <c r="G296" s="201"/>
      <c r="H296" s="202" t="n">
        <f aca="false">VLOOKUP(A296,'Thuc te theo thang'!$A$4:$I$309,8,FALSE())</f>
        <v>0</v>
      </c>
      <c r="I296" s="202" t="n">
        <f aca="false">VLOOKUP(A296,'Thuc te theo thang'!$A$4:$I$309,9,FALSE())</f>
        <v>0</v>
      </c>
      <c r="J296" s="202"/>
      <c r="K296" s="202" t="n">
        <f aca="false">H296-I296-J296</f>
        <v>0</v>
      </c>
      <c r="L296" s="202"/>
      <c r="M296" s="202"/>
    </row>
    <row r="297" customFormat="false" ht="18.75" hidden="false" customHeight="false" outlineLevel="0" collapsed="false">
      <c r="A297" s="215" t="s">
        <v>474</v>
      </c>
      <c r="B297" s="197"/>
      <c r="C297" s="220"/>
      <c r="D297" s="199"/>
      <c r="E297" s="199"/>
      <c r="F297" s="200"/>
      <c r="G297" s="201"/>
      <c r="H297" s="202" t="n">
        <f aca="false">VLOOKUP(A297,'Thuc te theo thang'!$A$4:$I$309,8,FALSE())</f>
        <v>0</v>
      </c>
      <c r="I297" s="202" t="n">
        <f aca="false">VLOOKUP(A297,'Thuc te theo thang'!$A$4:$I$309,9,FALSE())</f>
        <v>0</v>
      </c>
      <c r="J297" s="202"/>
      <c r="K297" s="202" t="n">
        <f aca="false">H297-I297-J297</f>
        <v>0</v>
      </c>
      <c r="L297" s="202"/>
      <c r="M297" s="202"/>
    </row>
    <row r="298" customFormat="false" ht="18.75" hidden="false" customHeight="false" outlineLevel="0" collapsed="false">
      <c r="A298" s="215" t="s">
        <v>475</v>
      </c>
      <c r="B298" s="197"/>
      <c r="C298" s="220"/>
      <c r="D298" s="199"/>
      <c r="E298" s="199"/>
      <c r="F298" s="200"/>
      <c r="G298" s="201"/>
      <c r="H298" s="202" t="n">
        <f aca="false">VLOOKUP(A298,'Thuc te theo thang'!$A$4:$I$309,8,FALSE())</f>
        <v>0</v>
      </c>
      <c r="I298" s="202" t="n">
        <f aca="false">VLOOKUP(A298,'Thuc te theo thang'!$A$4:$I$309,9,FALSE())</f>
        <v>0</v>
      </c>
      <c r="J298" s="202"/>
      <c r="K298" s="202" t="n">
        <f aca="false">H298-I298-J298</f>
        <v>0</v>
      </c>
      <c r="L298" s="202"/>
      <c r="M298" s="202"/>
    </row>
    <row r="299" customFormat="false" ht="18.75" hidden="false" customHeight="false" outlineLevel="0" collapsed="false">
      <c r="A299" s="215" t="s">
        <v>476</v>
      </c>
      <c r="B299" s="209"/>
      <c r="C299" s="220"/>
      <c r="D299" s="199"/>
      <c r="E299" s="199"/>
      <c r="F299" s="200"/>
      <c r="G299" s="201"/>
      <c r="H299" s="202" t="n">
        <f aca="false">VLOOKUP(A299,'Thuc te theo thang'!$A$4:$I$309,8,FALSE())</f>
        <v>0</v>
      </c>
      <c r="I299" s="202" t="n">
        <f aca="false">VLOOKUP(A299,'Thuc te theo thang'!$A$4:$I$309,9,FALSE())</f>
        <v>0</v>
      </c>
      <c r="J299" s="202"/>
      <c r="K299" s="202" t="n">
        <f aca="false">H299-I299-J299</f>
        <v>0</v>
      </c>
      <c r="L299" s="202"/>
      <c r="M299" s="202"/>
    </row>
    <row r="300" customFormat="false" ht="18.75" hidden="false" customHeight="false" outlineLevel="0" collapsed="false">
      <c r="A300" s="215" t="s">
        <v>477</v>
      </c>
      <c r="B300" s="209"/>
      <c r="C300" s="215"/>
      <c r="D300" s="199"/>
      <c r="E300" s="199"/>
      <c r="F300" s="200"/>
      <c r="G300" s="201"/>
      <c r="H300" s="202" t="n">
        <f aca="false">VLOOKUP(A300,'Thuc te theo thang'!$A$4:$I$309,8,FALSE())</f>
        <v>0</v>
      </c>
      <c r="I300" s="202" t="n">
        <f aca="false">VLOOKUP(A300,'Thuc te theo thang'!$A$4:$I$309,9,FALSE())</f>
        <v>0</v>
      </c>
      <c r="J300" s="202"/>
      <c r="K300" s="202" t="n">
        <f aca="false">H300-I300-J300</f>
        <v>0</v>
      </c>
      <c r="L300" s="202"/>
      <c r="M300" s="202"/>
    </row>
    <row r="301" customFormat="false" ht="18.75" hidden="false" customHeight="false" outlineLevel="0" collapsed="false">
      <c r="A301" s="215" t="s">
        <v>478</v>
      </c>
      <c r="B301" s="209"/>
      <c r="C301" s="215"/>
      <c r="D301" s="199"/>
      <c r="E301" s="199"/>
      <c r="F301" s="200"/>
      <c r="G301" s="201"/>
      <c r="H301" s="202" t="n">
        <f aca="false">VLOOKUP(A301,'Thuc te theo thang'!$A$4:$I$309,8,FALSE())</f>
        <v>0</v>
      </c>
      <c r="I301" s="202" t="n">
        <f aca="false">VLOOKUP(A301,'Thuc te theo thang'!$A$4:$I$309,9,FALSE())</f>
        <v>0</v>
      </c>
      <c r="J301" s="202"/>
      <c r="K301" s="202" t="n">
        <f aca="false">H301-I301-J301</f>
        <v>0</v>
      </c>
      <c r="L301" s="202"/>
      <c r="M301" s="202"/>
    </row>
    <row r="302" customFormat="false" ht="18.75" hidden="false" customHeight="false" outlineLevel="0" collapsed="false">
      <c r="A302" s="215" t="s">
        <v>479</v>
      </c>
      <c r="B302" s="197"/>
      <c r="C302" s="215"/>
      <c r="D302" s="199"/>
      <c r="E302" s="199"/>
      <c r="F302" s="200"/>
      <c r="G302" s="201"/>
      <c r="H302" s="202" t="n">
        <f aca="false">VLOOKUP(A302,'Thuc te theo thang'!$A$4:$I$309,8,FALSE())</f>
        <v>0</v>
      </c>
      <c r="I302" s="202" t="n">
        <f aca="false">VLOOKUP(A302,'Thuc te theo thang'!$A$4:$I$309,9,FALSE())</f>
        <v>0</v>
      </c>
      <c r="J302" s="202"/>
      <c r="K302" s="202" t="n">
        <f aca="false">H302-I302-J302</f>
        <v>0</v>
      </c>
      <c r="L302" s="202"/>
      <c r="M302" s="202"/>
    </row>
    <row r="303" customFormat="false" ht="17.25" hidden="false" customHeight="true" outlineLevel="0" collapsed="false">
      <c r="A303" s="215" t="s">
        <v>480</v>
      </c>
      <c r="B303" s="209"/>
      <c r="C303" s="215"/>
      <c r="D303" s="199"/>
      <c r="E303" s="199"/>
      <c r="F303" s="200"/>
      <c r="G303" s="199"/>
      <c r="H303" s="202" t="n">
        <f aca="false">VLOOKUP(A303,'Thuc te theo thang'!$A$4:$I$309,8,FALSE())</f>
        <v>0</v>
      </c>
      <c r="I303" s="202" t="n">
        <f aca="false">VLOOKUP(A303,'Thuc te theo thang'!$A$4:$I$309,9,FALSE())</f>
        <v>0</v>
      </c>
      <c r="J303" s="202"/>
      <c r="K303" s="202" t="n">
        <f aca="false">H303-I303-J303</f>
        <v>0</v>
      </c>
      <c r="L303" s="202"/>
      <c r="M303" s="202"/>
    </row>
    <row r="304" customFormat="false" ht="18.75" hidden="false" customHeight="false" outlineLevel="0" collapsed="false">
      <c r="A304" s="215" t="s">
        <v>481</v>
      </c>
      <c r="B304" s="209"/>
      <c r="C304" s="215"/>
      <c r="D304" s="199"/>
      <c r="E304" s="199"/>
      <c r="F304" s="200"/>
      <c r="G304" s="201"/>
      <c r="H304" s="202" t="n">
        <f aca="false">VLOOKUP(A304,'Thuc te theo thang'!$A$4:$I$309,8,FALSE())</f>
        <v>0</v>
      </c>
      <c r="I304" s="202" t="n">
        <f aca="false">VLOOKUP(A304,'Thuc te theo thang'!$A$4:$I$309,9,FALSE())</f>
        <v>0</v>
      </c>
      <c r="J304" s="202"/>
      <c r="K304" s="202" t="n">
        <f aca="false">H304-I304-J304</f>
        <v>0</v>
      </c>
      <c r="L304" s="202"/>
      <c r="M304" s="202"/>
    </row>
    <row r="305" customFormat="false" ht="18.75" hidden="false" customHeight="false" outlineLevel="0" collapsed="false">
      <c r="A305" s="215" t="s">
        <v>482</v>
      </c>
      <c r="B305" s="209"/>
      <c r="C305" s="215"/>
      <c r="D305" s="199"/>
      <c r="E305" s="199"/>
      <c r="F305" s="200"/>
      <c r="G305" s="210"/>
      <c r="H305" s="202" t="n">
        <f aca="false">VLOOKUP(A305,'Thuc te theo thang'!$A$4:$I$309,8,FALSE())</f>
        <v>0</v>
      </c>
      <c r="I305" s="202" t="n">
        <f aca="false">VLOOKUP(A305,'Thuc te theo thang'!$A$4:$I$309,9,FALSE())</f>
        <v>0</v>
      </c>
      <c r="J305" s="202"/>
      <c r="K305" s="202" t="n">
        <f aca="false">H305-I305-J305</f>
        <v>0</v>
      </c>
      <c r="L305" s="202"/>
      <c r="M305" s="202"/>
    </row>
    <row r="306" customFormat="false" ht="18.75" hidden="false" customHeight="false" outlineLevel="0" collapsed="false">
      <c r="A306" s="215" t="s">
        <v>483</v>
      </c>
      <c r="B306" s="209"/>
      <c r="C306" s="215"/>
      <c r="D306" s="199"/>
      <c r="E306" s="199"/>
      <c r="F306" s="200"/>
      <c r="G306" s="201"/>
      <c r="H306" s="202" t="n">
        <f aca="false">VLOOKUP(A306,'Thuc te theo thang'!$A$4:$I$309,8,FALSE())</f>
        <v>0</v>
      </c>
      <c r="I306" s="202" t="n">
        <f aca="false">VLOOKUP(A306,'Thuc te theo thang'!$A$4:$I$309,9,FALSE())</f>
        <v>0</v>
      </c>
      <c r="J306" s="202"/>
      <c r="K306" s="202" t="n">
        <f aca="false">H306-I306-J306</f>
        <v>0</v>
      </c>
      <c r="L306" s="202"/>
      <c r="M306" s="202"/>
    </row>
    <row r="307" customFormat="false" ht="18.75" hidden="false" customHeight="false" outlineLevel="0" collapsed="false">
      <c r="A307" s="215" t="s">
        <v>484</v>
      </c>
      <c r="B307" s="214"/>
      <c r="C307" s="216"/>
      <c r="D307" s="199"/>
      <c r="E307" s="199"/>
      <c r="F307" s="200"/>
      <c r="G307" s="201"/>
      <c r="H307" s="202" t="n">
        <f aca="false">VLOOKUP(A307,'Thuc te theo thang'!$A$4:$I$309,8,FALSE())</f>
        <v>0</v>
      </c>
      <c r="I307" s="202" t="n">
        <f aca="false">VLOOKUP(A307,'Thuc te theo thang'!$A$4:$I$309,9,FALSE())</f>
        <v>0</v>
      </c>
      <c r="J307" s="202"/>
      <c r="K307" s="202" t="n">
        <f aca="false">H307-I307-J307</f>
        <v>0</v>
      </c>
      <c r="L307" s="202"/>
      <c r="M307" s="202"/>
    </row>
    <row r="308" customFormat="false" ht="18.75" hidden="false" customHeight="false" outlineLevel="0" collapsed="false">
      <c r="A308" s="215" t="s">
        <v>485</v>
      </c>
      <c r="B308" s="197" t="s">
        <v>283</v>
      </c>
      <c r="C308" s="216"/>
      <c r="D308" s="199"/>
      <c r="E308" s="199"/>
      <c r="F308" s="200"/>
      <c r="G308" s="201"/>
      <c r="H308" s="202" t="n">
        <f aca="false">VLOOKUP(A308,'Thuc te theo thang'!$A$4:$I$309,8,FALSE())</f>
        <v>0</v>
      </c>
      <c r="I308" s="202" t="n">
        <f aca="false">VLOOKUP(A308,'Thuc te theo thang'!$A$4:$I$309,9,FALSE())</f>
        <v>0</v>
      </c>
      <c r="J308" s="202"/>
      <c r="K308" s="202" t="n">
        <f aca="false">H308-I308-J308</f>
        <v>0</v>
      </c>
      <c r="L308" s="202"/>
      <c r="M308" s="202"/>
    </row>
    <row r="309" customFormat="false" ht="18.75" hidden="false" customHeight="false" outlineLevel="0" collapsed="false">
      <c r="A309" s="228"/>
      <c r="B309" s="229"/>
      <c r="C309" s="230"/>
      <c r="D309" s="228"/>
      <c r="E309" s="228"/>
      <c r="F309" s="230"/>
      <c r="G309" s="228"/>
      <c r="H309" s="228"/>
      <c r="I309" s="228"/>
      <c r="J309" s="228"/>
      <c r="K309" s="228" t="s">
        <v>486</v>
      </c>
      <c r="L309" s="228"/>
      <c r="M309" s="228"/>
    </row>
    <row r="312" customFormat="false" ht="18.75" hidden="false" customHeight="false" outlineLevel="0" collapsed="false">
      <c r="B312" s="231"/>
    </row>
    <row r="313" customFormat="false" ht="18.75" hidden="false" customHeight="false" outlineLevel="0" collapsed="false">
      <c r="B313" s="231"/>
    </row>
    <row r="314" customFormat="false" ht="18.75" hidden="false" customHeight="false" outlineLevel="0" collapsed="false">
      <c r="B314" s="231"/>
    </row>
    <row r="315" customFormat="false" ht="18.75" hidden="false" customHeight="false" outlineLevel="0" collapsed="false">
      <c r="B315" s="231"/>
    </row>
  </sheetData>
  <autoFilter ref="A1:M308"/>
  <conditionalFormatting sqref="B244:B247">
    <cfRule type="cellIs" priority="2" operator="notEqual" aboveAverage="0" equalAverage="0" bottom="0" percent="0" rank="0" text="" dxfId="9">
      <formula>INDIRECT("Dummy_for_Comparison1!"&amp;ADDRESS(ROW(),COLUMN()))</formula>
    </cfRule>
  </conditionalFormatting>
  <conditionalFormatting sqref="B242">
    <cfRule type="cellIs" priority="3" operator="notEqual" aboveAverage="0" equalAverage="0" bottom="0" percent="0" rank="0" text="" dxfId="10">
      <formula>INDIRECT("Dummy_for_Comparison1!"&amp;ADDRESS(ROW(),COLUMN()))</formula>
    </cfRule>
  </conditionalFormatting>
  <conditionalFormatting sqref="B191:B194">
    <cfRule type="cellIs" priority="4" operator="notEqual" aboveAverage="0" equalAverage="0" bottom="0" percent="0" rank="0" text="" dxfId="11">
      <formula>INDIRECT("Dummy_for_Comparison1!"&amp;ADDRESS(ROW(),COLUMN()))</formula>
    </cfRule>
  </conditionalFormatting>
  <conditionalFormatting sqref="B136 B196">
    <cfRule type="cellIs" priority="5" operator="notEqual" aboveAverage="0" equalAverage="0" bottom="0" percent="0" rank="0" text="" dxfId="12">
      <formula>INDIRECT("Dummy_for_Comparison1!"&amp;ADDRESS(ROW(),COLUMN()))</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I345"/>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I24" activeCellId="0" sqref="AI24"/>
    </sheetView>
  </sheetViews>
  <sheetFormatPr defaultColWidth="8.859375" defaultRowHeight="16.5" customHeight="false" zeroHeight="false" outlineLevelRow="0" outlineLevelCol="0"/>
  <cols>
    <col collapsed="false" customWidth="true" hidden="false" outlineLevel="0" max="1" min="1" style="232" width="12.71"/>
    <col collapsed="false" customWidth="true" hidden="false" outlineLevel="0" max="2" min="2" style="232" width="78.43"/>
    <col collapsed="false" customWidth="false" hidden="false" outlineLevel="0" max="3" min="3" style="233" width="8.86"/>
    <col collapsed="false" customWidth="true" hidden="true" outlineLevel="0" max="5" min="4" style="233" width="18.42"/>
    <col collapsed="false" customWidth="true" hidden="true" outlineLevel="0" max="6" min="6" style="234" width="15.29"/>
    <col collapsed="false" customWidth="true" hidden="true" outlineLevel="0" max="7" min="7" style="235" width="15.85"/>
    <col collapsed="false" customWidth="true" hidden="false" outlineLevel="0" max="8" min="8" style="234" width="19.71"/>
    <col collapsed="false" customWidth="true" hidden="false" outlineLevel="0" max="9" min="9" style="235" width="23"/>
    <col collapsed="false" customWidth="true" hidden="false" outlineLevel="0" max="33" min="10" style="235" width="20.71"/>
    <col collapsed="false" customWidth="true" hidden="false" outlineLevel="0" max="34" min="34" style="232" width="18.71"/>
    <col collapsed="false" customWidth="true" hidden="false" outlineLevel="0" max="35" min="35" style="232" width="19.71"/>
    <col collapsed="false" customWidth="false" hidden="false" outlineLevel="0" max="16384" min="36" style="232" width="8.86"/>
  </cols>
  <sheetData>
    <row r="1" customFormat="false" ht="16.5" hidden="false" customHeight="false" outlineLevel="0" collapsed="false">
      <c r="A1" s="233"/>
      <c r="B1" s="233"/>
      <c r="F1" s="233"/>
      <c r="G1" s="233"/>
      <c r="H1" s="233"/>
      <c r="I1" s="233"/>
      <c r="J1" s="233"/>
      <c r="K1" s="233"/>
      <c r="L1" s="233"/>
      <c r="M1" s="233"/>
      <c r="N1" s="233"/>
      <c r="O1" s="233"/>
      <c r="P1" s="233"/>
      <c r="Q1" s="233"/>
      <c r="R1" s="233"/>
      <c r="S1" s="233"/>
      <c r="T1" s="233"/>
      <c r="U1" s="233"/>
      <c r="V1" s="233"/>
      <c r="W1" s="233"/>
      <c r="X1" s="233"/>
      <c r="Y1" s="233"/>
      <c r="Z1" s="233"/>
      <c r="AA1" s="233"/>
      <c r="AB1" s="233"/>
      <c r="AC1" s="233"/>
      <c r="AD1" s="233"/>
      <c r="AE1" s="233"/>
      <c r="AF1" s="233"/>
      <c r="AG1" s="233"/>
      <c r="AH1" s="233"/>
      <c r="AI1" s="233"/>
    </row>
    <row r="2" customFormat="false" ht="16.5" hidden="false" customHeight="false" outlineLevel="0" collapsed="false">
      <c r="A2" s="236" t="s">
        <v>169</v>
      </c>
      <c r="B2" s="236" t="s">
        <v>170</v>
      </c>
      <c r="C2" s="236" t="s">
        <v>171</v>
      </c>
      <c r="D2" s="237" t="s">
        <v>487</v>
      </c>
      <c r="E2" s="237"/>
      <c r="F2" s="237" t="s">
        <v>172</v>
      </c>
      <c r="G2" s="237"/>
      <c r="H2" s="237" t="s">
        <v>488</v>
      </c>
      <c r="I2" s="237"/>
      <c r="J2" s="237" t="s">
        <v>133</v>
      </c>
      <c r="K2" s="237"/>
      <c r="L2" s="237" t="s">
        <v>134</v>
      </c>
      <c r="M2" s="237"/>
      <c r="N2" s="237" t="s">
        <v>135</v>
      </c>
      <c r="O2" s="237"/>
      <c r="P2" s="237" t="s">
        <v>136</v>
      </c>
      <c r="Q2" s="237"/>
      <c r="R2" s="237" t="s">
        <v>137</v>
      </c>
      <c r="S2" s="237"/>
      <c r="T2" s="237" t="s">
        <v>138</v>
      </c>
      <c r="U2" s="237"/>
      <c r="V2" s="237" t="s">
        <v>139</v>
      </c>
      <c r="W2" s="237"/>
      <c r="X2" s="237" t="s">
        <v>140</v>
      </c>
      <c r="Y2" s="237"/>
      <c r="Z2" s="237" t="s">
        <v>141</v>
      </c>
      <c r="AA2" s="237"/>
      <c r="AB2" s="237" t="s">
        <v>142</v>
      </c>
      <c r="AC2" s="237"/>
      <c r="AD2" s="237" t="s">
        <v>143</v>
      </c>
      <c r="AE2" s="237"/>
      <c r="AF2" s="237" t="s">
        <v>144</v>
      </c>
      <c r="AG2" s="237"/>
      <c r="AH2" s="238"/>
      <c r="AI2" s="238"/>
    </row>
    <row r="3" customFormat="false" ht="16.5" hidden="false" customHeight="false" outlineLevel="0" collapsed="false">
      <c r="A3" s="236"/>
      <c r="B3" s="236"/>
      <c r="C3" s="236"/>
      <c r="D3" s="239" t="s">
        <v>160</v>
      </c>
      <c r="E3" s="237" t="s">
        <v>166</v>
      </c>
      <c r="F3" s="239" t="s">
        <v>160</v>
      </c>
      <c r="G3" s="237" t="s">
        <v>166</v>
      </c>
      <c r="H3" s="239" t="s">
        <v>160</v>
      </c>
      <c r="I3" s="237" t="s">
        <v>166</v>
      </c>
      <c r="J3" s="239" t="s">
        <v>160</v>
      </c>
      <c r="K3" s="237" t="s">
        <v>166</v>
      </c>
      <c r="L3" s="239" t="s">
        <v>160</v>
      </c>
      <c r="M3" s="237" t="s">
        <v>166</v>
      </c>
      <c r="N3" s="239" t="s">
        <v>160</v>
      </c>
      <c r="O3" s="237" t="s">
        <v>166</v>
      </c>
      <c r="P3" s="239" t="s">
        <v>160</v>
      </c>
      <c r="Q3" s="237" t="s">
        <v>166</v>
      </c>
      <c r="R3" s="239" t="s">
        <v>160</v>
      </c>
      <c r="S3" s="237" t="s">
        <v>166</v>
      </c>
      <c r="T3" s="239" t="s">
        <v>160</v>
      </c>
      <c r="U3" s="237" t="s">
        <v>166</v>
      </c>
      <c r="V3" s="239" t="s">
        <v>160</v>
      </c>
      <c r="W3" s="237" t="s">
        <v>166</v>
      </c>
      <c r="X3" s="239" t="s">
        <v>160</v>
      </c>
      <c r="Y3" s="237" t="s">
        <v>166</v>
      </c>
      <c r="Z3" s="239" t="s">
        <v>160</v>
      </c>
      <c r="AA3" s="237" t="s">
        <v>166</v>
      </c>
      <c r="AB3" s="239" t="s">
        <v>160</v>
      </c>
      <c r="AC3" s="237" t="s">
        <v>166</v>
      </c>
      <c r="AD3" s="239" t="s">
        <v>160</v>
      </c>
      <c r="AE3" s="237" t="s">
        <v>166</v>
      </c>
      <c r="AF3" s="239" t="s">
        <v>160</v>
      </c>
      <c r="AG3" s="237" t="s">
        <v>166</v>
      </c>
      <c r="AH3" s="238"/>
      <c r="AI3" s="238"/>
    </row>
    <row r="4" customFormat="false" ht="16.5" hidden="false" customHeight="false" outlineLevel="0" collapsed="false">
      <c r="A4" s="240" t="s">
        <v>179</v>
      </c>
      <c r="B4" s="240"/>
      <c r="C4" s="241"/>
      <c r="D4" s="241"/>
      <c r="E4" s="241"/>
      <c r="F4" s="242"/>
      <c r="G4" s="242"/>
      <c r="H4" s="242"/>
      <c r="I4" s="243"/>
      <c r="J4" s="243"/>
      <c r="K4" s="243"/>
      <c r="L4" s="243"/>
      <c r="M4" s="243"/>
      <c r="N4" s="243"/>
      <c r="O4" s="243"/>
      <c r="P4" s="243"/>
      <c r="Q4" s="243"/>
      <c r="R4" s="243"/>
      <c r="S4" s="243"/>
      <c r="T4" s="243"/>
      <c r="U4" s="243"/>
      <c r="V4" s="243"/>
      <c r="W4" s="243"/>
      <c r="X4" s="243"/>
      <c r="Y4" s="243"/>
      <c r="Z4" s="243"/>
      <c r="AA4" s="243"/>
      <c r="AB4" s="243"/>
      <c r="AC4" s="243"/>
      <c r="AD4" s="243"/>
      <c r="AE4" s="243"/>
      <c r="AF4" s="243"/>
      <c r="AG4" s="243"/>
    </row>
    <row r="5" customFormat="false" ht="16.5" hidden="false" customHeight="false" outlineLevel="0" collapsed="false">
      <c r="A5" s="244" t="s">
        <v>180</v>
      </c>
      <c r="B5" s="214" t="str">
        <f aca="false">VLOOKUP(A5,'TH theo khach hang'!$A$4:$G$309,2,FALSE())</f>
        <v>Hợp đồng Outsource</v>
      </c>
      <c r="C5" s="245" t="str">
        <f aca="false">IF(VLOOKUP(A5,'TH theo khach hang'!$A$4:$G$309,3,FALSE())=0, "", "x")</f>
        <v/>
      </c>
      <c r="D5" s="246" t="n">
        <f aca="false">F5-H5</f>
        <v>0</v>
      </c>
      <c r="E5" s="247" t="n">
        <f aca="false">G5-I5</f>
        <v>0</v>
      </c>
      <c r="F5" s="248" t="n">
        <f aca="false">VLOOKUP(A5,'TH theo khach hang'!$A$4:$G$309,4,FALSE())</f>
        <v>0</v>
      </c>
      <c r="G5" s="249" t="n">
        <f aca="false">VLOOKUP(A5,'TH theo khach hang'!$A$4:$G$309,5,FALSE())</f>
        <v>0</v>
      </c>
      <c r="H5" s="248" t="n">
        <f aca="false">J5+L5+N5+P5+R5+T5+V5+X5+Z5+AB5+AD5+AF5</f>
        <v>0</v>
      </c>
      <c r="I5" s="250" t="n">
        <f aca="false">K5+M5+O5+Q5+S5+U5+W5+Y5+AA5+AC5+AE5+AG5</f>
        <v>0</v>
      </c>
      <c r="J5" s="249"/>
      <c r="K5" s="249" t="n">
        <f aca="false">J5</f>
        <v>0</v>
      </c>
      <c r="L5" s="249"/>
      <c r="M5" s="249" t="n">
        <f aca="false">L5</f>
        <v>0</v>
      </c>
      <c r="N5" s="249"/>
      <c r="O5" s="249" t="n">
        <f aca="false">N5</f>
        <v>0</v>
      </c>
      <c r="P5" s="249"/>
      <c r="Q5" s="249" t="n">
        <f aca="false">P5</f>
        <v>0</v>
      </c>
      <c r="R5" s="249"/>
      <c r="S5" s="249" t="n">
        <f aca="false">R5</f>
        <v>0</v>
      </c>
      <c r="T5" s="249"/>
      <c r="U5" s="249" t="n">
        <f aca="false">T5</f>
        <v>0</v>
      </c>
      <c r="V5" s="249"/>
      <c r="W5" s="249" t="n">
        <f aca="false">V5</f>
        <v>0</v>
      </c>
      <c r="X5" s="249"/>
      <c r="Y5" s="249" t="n">
        <f aca="false">X5</f>
        <v>0</v>
      </c>
      <c r="Z5" s="249"/>
      <c r="AA5" s="249" t="n">
        <f aca="false">Z5</f>
        <v>0</v>
      </c>
      <c r="AB5" s="249"/>
      <c r="AC5" s="249" t="n">
        <f aca="false">AB5</f>
        <v>0</v>
      </c>
      <c r="AD5" s="249"/>
      <c r="AE5" s="249" t="n">
        <f aca="false">AD5</f>
        <v>0</v>
      </c>
      <c r="AF5" s="249" t="n">
        <v>0</v>
      </c>
      <c r="AG5" s="249" t="n">
        <f aca="false">AF5</f>
        <v>0</v>
      </c>
      <c r="AH5" s="251"/>
    </row>
    <row r="6" customFormat="false" ht="16.5" hidden="false" customHeight="false" outlineLevel="0" collapsed="false">
      <c r="A6" s="240" t="s">
        <v>182</v>
      </c>
      <c r="B6" s="240"/>
      <c r="C6" s="241"/>
      <c r="D6" s="241"/>
      <c r="E6" s="241"/>
      <c r="F6" s="241"/>
      <c r="G6" s="241"/>
      <c r="H6" s="241"/>
      <c r="I6" s="243"/>
      <c r="J6" s="242" t="n">
        <f aca="false">SUM(J7:J106)</f>
        <v>0</v>
      </c>
      <c r="K6" s="242" t="n">
        <f aca="false">SUM(K7:K106)</f>
        <v>0</v>
      </c>
      <c r="L6" s="242" t="n">
        <f aca="false">SUM(L7:L106)</f>
        <v>0</v>
      </c>
      <c r="M6" s="242" t="n">
        <f aca="false">SUM(M7:M106)</f>
        <v>0</v>
      </c>
      <c r="N6" s="242" t="n">
        <f aca="false">SUM(N7:N106)</f>
        <v>0</v>
      </c>
      <c r="O6" s="242" t="n">
        <f aca="false">SUM(O7:O106)</f>
        <v>0</v>
      </c>
      <c r="P6" s="242" t="n">
        <f aca="false">SUM(P7:P106)</f>
        <v>0</v>
      </c>
      <c r="Q6" s="242" t="n">
        <f aca="false">SUM(Q7:Q106)</f>
        <v>0</v>
      </c>
      <c r="R6" s="242" t="n">
        <f aca="false">SUM(R7:R106)</f>
        <v>0</v>
      </c>
      <c r="S6" s="242" t="n">
        <f aca="false">SUM(S7:S106)</f>
        <v>0</v>
      </c>
      <c r="T6" s="242" t="n">
        <f aca="false">SUM(T7:T106)</f>
        <v>0</v>
      </c>
      <c r="U6" s="242" t="n">
        <f aca="false">SUM(U7:U106)</f>
        <v>0</v>
      </c>
      <c r="V6" s="242" t="n">
        <f aca="false">SUM(V7:V106)</f>
        <v>0</v>
      </c>
      <c r="W6" s="242" t="n">
        <f aca="false">SUM(W7:W106)</f>
        <v>0</v>
      </c>
      <c r="X6" s="242" t="n">
        <f aca="false">SUM(X7:X106)</f>
        <v>0</v>
      </c>
      <c r="Y6" s="242" t="n">
        <f aca="false">SUM(Y7:Y106)</f>
        <v>0</v>
      </c>
      <c r="Z6" s="242" t="n">
        <f aca="false">SUM(Z7:Z106)</f>
        <v>0</v>
      </c>
      <c r="AA6" s="242" t="n">
        <f aca="false">SUM(AA7:AA106)</f>
        <v>0</v>
      </c>
      <c r="AB6" s="242" t="n">
        <f aca="false">SUM(AB7:AB106)</f>
        <v>0</v>
      </c>
      <c r="AC6" s="242" t="n">
        <f aca="false">SUM(AC7:AC106)</f>
        <v>0</v>
      </c>
      <c r="AD6" s="242" t="n">
        <f aca="false">SUM(AD7:AD106)</f>
        <v>0</v>
      </c>
      <c r="AE6" s="242" t="n">
        <f aca="false">SUM(AE7:AE106)</f>
        <v>0</v>
      </c>
      <c r="AF6" s="242" t="n">
        <f aca="false">SUM(AF7:AF106)</f>
        <v>0</v>
      </c>
      <c r="AG6" s="242" t="n">
        <f aca="false">SUM(AG7:AG106)</f>
        <v>0</v>
      </c>
    </row>
    <row r="7" customFormat="false" ht="16.5" hidden="false" customHeight="false" outlineLevel="0" collapsed="false">
      <c r="A7" s="244" t="s">
        <v>183</v>
      </c>
      <c r="B7" s="214" t="n">
        <f aca="false">VLOOKUP(A7,'TH theo khach hang'!$A$4:$C$309,2,FALSE())</f>
        <v>0</v>
      </c>
      <c r="C7" s="245" t="str">
        <f aca="false">IF(VLOOKUP(A7,'TH theo khach hang'!$A$4:$C$309,3,FALSE())=0, "", "x")</f>
        <v/>
      </c>
      <c r="D7" s="246" t="n">
        <f aca="false">F7-H7</f>
        <v>0</v>
      </c>
      <c r="E7" s="247" t="n">
        <f aca="false">G7-I7</f>
        <v>0</v>
      </c>
      <c r="F7" s="248" t="n">
        <f aca="false">VLOOKUP(A7,'TH theo khach hang'!$A$4:$G$309,4,FALSE())</f>
        <v>0</v>
      </c>
      <c r="G7" s="249" t="n">
        <f aca="false">VLOOKUP(A7,'TH theo khach hang'!$A$4:$G$309,5,FALSE())</f>
        <v>0</v>
      </c>
      <c r="H7" s="248" t="n">
        <f aca="false">J7+L7+N7+P7+R7+T7+V7+X7+Z7+AB7+AD7+AF7</f>
        <v>0</v>
      </c>
      <c r="I7" s="250" t="n">
        <f aca="false">K7+M7+O7+Q7+S7+U7+W7+Y7+AA7+AC7+AE7+AG7</f>
        <v>0</v>
      </c>
      <c r="J7" s="249"/>
      <c r="K7" s="249"/>
      <c r="L7" s="249"/>
      <c r="M7" s="249"/>
      <c r="N7" s="249"/>
      <c r="O7" s="249"/>
      <c r="P7" s="249"/>
      <c r="Q7" s="249"/>
      <c r="R7" s="249"/>
      <c r="S7" s="249"/>
      <c r="T7" s="249"/>
      <c r="U7" s="249"/>
      <c r="V7" s="249"/>
      <c r="W7" s="249"/>
      <c r="X7" s="249"/>
      <c r="Y7" s="249"/>
      <c r="Z7" s="249"/>
      <c r="AA7" s="249"/>
      <c r="AB7" s="249"/>
      <c r="AC7" s="249"/>
      <c r="AD7" s="249"/>
      <c r="AE7" s="249"/>
      <c r="AF7" s="249"/>
      <c r="AG7" s="249"/>
      <c r="AH7" s="251"/>
    </row>
    <row r="8" customFormat="false" ht="16.5" hidden="false" customHeight="false" outlineLevel="0" collapsed="false">
      <c r="A8" s="244" t="s">
        <v>184</v>
      </c>
      <c r="B8" s="214" t="n">
        <f aca="false">VLOOKUP(A8,'TH theo khach hang'!$A$4:$C$309,2,FALSE())</f>
        <v>0</v>
      </c>
      <c r="C8" s="245" t="str">
        <f aca="false">IF(VLOOKUP(A8,'TH theo khach hang'!$A$4:$C$309,3,FALSE())=0, "", "x")</f>
        <v/>
      </c>
      <c r="D8" s="246" t="n">
        <f aca="false">F8-H8</f>
        <v>0</v>
      </c>
      <c r="E8" s="247" t="n">
        <f aca="false">G8-I8</f>
        <v>0</v>
      </c>
      <c r="F8" s="248" t="n">
        <f aca="false">VLOOKUP(A8,'TH theo khach hang'!$A$4:$G$309,4,FALSE())</f>
        <v>0</v>
      </c>
      <c r="G8" s="249" t="n">
        <f aca="false">VLOOKUP(A8,'TH theo khach hang'!$A$4:$G$309,5,FALSE())</f>
        <v>0</v>
      </c>
      <c r="H8" s="248" t="n">
        <f aca="false">J8+L8+N8+P8+R8+T8+V8+X8+Z8+AB8+AD8+AF8</f>
        <v>0</v>
      </c>
      <c r="I8" s="250" t="n">
        <f aca="false">K8+M8+O8+Q8+S8+U8+W8+Y8+AA8+AC8+AE8+AG8</f>
        <v>0</v>
      </c>
      <c r="J8" s="249"/>
      <c r="K8" s="249"/>
      <c r="L8" s="249"/>
      <c r="M8" s="249"/>
      <c r="N8" s="249"/>
      <c r="O8" s="249"/>
      <c r="P8" s="249"/>
      <c r="Q8" s="249"/>
      <c r="R8" s="249"/>
      <c r="S8" s="249"/>
      <c r="T8" s="249"/>
      <c r="U8" s="249"/>
      <c r="V8" s="249"/>
      <c r="W8" s="249"/>
      <c r="X8" s="249"/>
      <c r="Y8" s="249"/>
      <c r="Z8" s="249"/>
      <c r="AA8" s="249"/>
      <c r="AB8" s="249"/>
      <c r="AC8" s="249"/>
      <c r="AD8" s="249"/>
      <c r="AE8" s="249"/>
      <c r="AF8" s="249"/>
      <c r="AG8" s="249"/>
      <c r="AH8" s="251"/>
    </row>
    <row r="9" customFormat="false" ht="16.5" hidden="false" customHeight="false" outlineLevel="0" collapsed="false">
      <c r="A9" s="244" t="s">
        <v>185</v>
      </c>
      <c r="B9" s="214" t="n">
        <f aca="false">VLOOKUP(A9,'TH theo khach hang'!$A$4:$C$309,2,FALSE())</f>
        <v>0</v>
      </c>
      <c r="C9" s="245" t="str">
        <f aca="false">IF(VLOOKUP(A9,'TH theo khach hang'!$A$4:$C$309,3,FALSE())=0, "", "x")</f>
        <v/>
      </c>
      <c r="D9" s="246" t="n">
        <f aca="false">F9-H9</f>
        <v>0</v>
      </c>
      <c r="E9" s="247" t="n">
        <f aca="false">G9-I9</f>
        <v>0</v>
      </c>
      <c r="F9" s="248" t="n">
        <f aca="false">VLOOKUP(A9,'TH theo khach hang'!$A$4:$G$309,4,FALSE())</f>
        <v>0</v>
      </c>
      <c r="G9" s="249" t="n">
        <f aca="false">VLOOKUP(A9,'TH theo khach hang'!$A$4:$G$309,5,FALSE())</f>
        <v>0</v>
      </c>
      <c r="H9" s="248" t="n">
        <f aca="false">J9+L9+N9+P9+R9+T9+V9+X9+Z9+AB9+AD9+AF9</f>
        <v>0</v>
      </c>
      <c r="I9" s="250" t="n">
        <f aca="false">K9+M9+O9+Q9+S9+U9+W9+Y9+AA9+AC9+AE9+AG9</f>
        <v>0</v>
      </c>
      <c r="J9" s="249"/>
      <c r="K9" s="249"/>
      <c r="L9" s="249"/>
      <c r="M9" s="249"/>
      <c r="N9" s="249"/>
      <c r="O9" s="249"/>
      <c r="P9" s="249"/>
      <c r="Q9" s="249"/>
      <c r="R9" s="249"/>
      <c r="S9" s="249"/>
      <c r="T9" s="249"/>
      <c r="U9" s="249"/>
      <c r="V9" s="249"/>
      <c r="W9" s="249"/>
      <c r="X9" s="249"/>
      <c r="Y9" s="249"/>
      <c r="Z9" s="249"/>
      <c r="AA9" s="249"/>
      <c r="AB9" s="249"/>
      <c r="AC9" s="249"/>
      <c r="AD9" s="249"/>
      <c r="AE9" s="249"/>
      <c r="AF9" s="249"/>
      <c r="AG9" s="249"/>
      <c r="AH9" s="251"/>
    </row>
    <row r="10" customFormat="false" ht="16.5" hidden="false" customHeight="false" outlineLevel="0" collapsed="false">
      <c r="A10" s="244" t="s">
        <v>186</v>
      </c>
      <c r="B10" s="214" t="n">
        <f aca="false">VLOOKUP(A10,'TH theo khach hang'!$A$4:$C$309,2,FALSE())</f>
        <v>0</v>
      </c>
      <c r="C10" s="245" t="str">
        <f aca="false">IF(VLOOKUP(A10,'TH theo khach hang'!$A$4:$C$309,3,FALSE())=0, "", "x")</f>
        <v/>
      </c>
      <c r="D10" s="246" t="n">
        <f aca="false">F10-H10</f>
        <v>0</v>
      </c>
      <c r="E10" s="247" t="n">
        <f aca="false">G10-I10</f>
        <v>0</v>
      </c>
      <c r="F10" s="248" t="n">
        <f aca="false">VLOOKUP(A10,'TH theo khach hang'!$A$4:$G$309,4,FALSE())</f>
        <v>0</v>
      </c>
      <c r="G10" s="249" t="n">
        <f aca="false">VLOOKUP(A10,'TH theo khach hang'!$A$4:$G$309,5,FALSE())</f>
        <v>0</v>
      </c>
      <c r="H10" s="248" t="n">
        <f aca="false">J10+L10+N10+P10+R10+T10+V10+X10+Z10+AB10+AD10+AF10</f>
        <v>0</v>
      </c>
      <c r="I10" s="250" t="n">
        <f aca="false">K10+M10+O10+Q10+S10+U10+W10+Y10+AA10+AC10+AE10+AG10</f>
        <v>0</v>
      </c>
      <c r="J10" s="249"/>
      <c r="K10" s="249"/>
      <c r="L10" s="249"/>
      <c r="M10" s="249"/>
      <c r="N10" s="249"/>
      <c r="O10" s="249"/>
      <c r="P10" s="249"/>
      <c r="Q10" s="249"/>
      <c r="R10" s="249"/>
      <c r="S10" s="249"/>
      <c r="T10" s="249"/>
      <c r="U10" s="249"/>
      <c r="V10" s="249"/>
      <c r="W10" s="249"/>
      <c r="X10" s="249"/>
      <c r="Y10" s="249"/>
      <c r="Z10" s="249"/>
      <c r="AA10" s="249"/>
      <c r="AB10" s="249"/>
      <c r="AC10" s="249"/>
      <c r="AD10" s="249"/>
      <c r="AE10" s="249"/>
      <c r="AF10" s="249"/>
      <c r="AG10" s="249"/>
      <c r="AH10" s="251"/>
    </row>
    <row r="11" customFormat="false" ht="16.5" hidden="false" customHeight="false" outlineLevel="0" collapsed="false">
      <c r="A11" s="244" t="s">
        <v>187</v>
      </c>
      <c r="B11" s="214" t="n">
        <f aca="false">VLOOKUP(A11,'TH theo khach hang'!$A$4:$C$309,2,FALSE())</f>
        <v>0</v>
      </c>
      <c r="C11" s="245" t="str">
        <f aca="false">IF(VLOOKUP(A11,'TH theo khach hang'!$A$4:$C$309,3,FALSE())=0, "", "x")</f>
        <v/>
      </c>
      <c r="D11" s="246" t="n">
        <f aca="false">F11-H11</f>
        <v>0</v>
      </c>
      <c r="E11" s="247" t="n">
        <f aca="false">G11-I11</f>
        <v>0</v>
      </c>
      <c r="F11" s="248" t="n">
        <f aca="false">VLOOKUP(A11,'TH theo khach hang'!$A$4:$G$309,4,FALSE())</f>
        <v>0</v>
      </c>
      <c r="G11" s="249" t="n">
        <f aca="false">VLOOKUP(A11,'TH theo khach hang'!$A$4:$G$309,5,FALSE())</f>
        <v>0</v>
      </c>
      <c r="H11" s="248" t="n">
        <f aca="false">J11+L11+N11+P11+R11+T11+V11+X11+Z11+AB11+AD11+AF11</f>
        <v>0</v>
      </c>
      <c r="I11" s="250" t="n">
        <f aca="false">K11+M11+O11+Q11+S11+U11+W11+Y11+AA11+AC11+AE11+AG11</f>
        <v>0</v>
      </c>
      <c r="J11" s="249"/>
      <c r="K11" s="249"/>
      <c r="L11" s="249"/>
      <c r="M11" s="249"/>
      <c r="N11" s="249"/>
      <c r="O11" s="249"/>
      <c r="P11" s="249"/>
      <c r="Q11" s="249"/>
      <c r="R11" s="249"/>
      <c r="S11" s="249"/>
      <c r="T11" s="249"/>
      <c r="U11" s="249"/>
      <c r="V11" s="249"/>
      <c r="W11" s="249"/>
      <c r="X11" s="249"/>
      <c r="Y11" s="249"/>
      <c r="Z11" s="249"/>
      <c r="AA11" s="249"/>
      <c r="AB11" s="249"/>
      <c r="AC11" s="249"/>
      <c r="AD11" s="249"/>
      <c r="AE11" s="249"/>
      <c r="AF11" s="249"/>
      <c r="AG11" s="249"/>
    </row>
    <row r="12" customFormat="false" ht="16.5" hidden="false" customHeight="false" outlineLevel="0" collapsed="false">
      <c r="A12" s="244" t="s">
        <v>188</v>
      </c>
      <c r="B12" s="214" t="n">
        <f aca="false">VLOOKUP(A12,'TH theo khach hang'!$A$4:$C$309,2,FALSE())</f>
        <v>0</v>
      </c>
      <c r="C12" s="245" t="str">
        <f aca="false">IF(VLOOKUP(A12,'TH theo khach hang'!$A$4:$C$309,3,FALSE())=0, "", "x")</f>
        <v/>
      </c>
      <c r="D12" s="246" t="n">
        <f aca="false">F12-H12</f>
        <v>0</v>
      </c>
      <c r="E12" s="247" t="n">
        <f aca="false">G12-I12</f>
        <v>0</v>
      </c>
      <c r="F12" s="248" t="n">
        <f aca="false">VLOOKUP(A12,'TH theo khach hang'!$A$4:$G$309,4,FALSE())</f>
        <v>0</v>
      </c>
      <c r="G12" s="249" t="n">
        <f aca="false">VLOOKUP(A12,'TH theo khach hang'!$A$4:$G$309,5,FALSE())</f>
        <v>0</v>
      </c>
      <c r="H12" s="248" t="n">
        <f aca="false">J12+L12+N12+P12+R12+T12+V12+X12+Z12+AB12+AD12+AF12</f>
        <v>0</v>
      </c>
      <c r="I12" s="250" t="n">
        <f aca="false">K12+M12+O12+Q12+S12+U12+W12+Y12+AA12+AC12+AE12+AG12</f>
        <v>0</v>
      </c>
      <c r="J12" s="249"/>
      <c r="K12" s="249"/>
      <c r="L12" s="249"/>
      <c r="M12" s="249"/>
      <c r="N12" s="249"/>
      <c r="O12" s="249"/>
      <c r="P12" s="249"/>
      <c r="Q12" s="249"/>
      <c r="R12" s="249"/>
      <c r="S12" s="249"/>
      <c r="T12" s="249"/>
      <c r="U12" s="249"/>
      <c r="V12" s="249"/>
      <c r="W12" s="249"/>
      <c r="X12" s="249"/>
      <c r="Y12" s="249"/>
      <c r="Z12" s="249"/>
      <c r="AA12" s="249"/>
      <c r="AB12" s="249"/>
      <c r="AC12" s="249"/>
      <c r="AD12" s="249"/>
      <c r="AE12" s="249"/>
      <c r="AF12" s="249"/>
      <c r="AG12" s="249"/>
    </row>
    <row r="13" customFormat="false" ht="16.5" hidden="false" customHeight="false" outlineLevel="0" collapsed="false">
      <c r="A13" s="244" t="s">
        <v>189</v>
      </c>
      <c r="B13" s="214" t="n">
        <f aca="false">VLOOKUP(A13,'TH theo khach hang'!$A$4:$C$309,2,FALSE())</f>
        <v>0</v>
      </c>
      <c r="C13" s="245" t="str">
        <f aca="false">IF(VLOOKUP(A13,'TH theo khach hang'!$A$4:$C$309,3,FALSE())=0, "", "x")</f>
        <v/>
      </c>
      <c r="D13" s="246" t="n">
        <f aca="false">F13-H13</f>
        <v>0</v>
      </c>
      <c r="E13" s="247" t="n">
        <f aca="false">G13-I13</f>
        <v>0</v>
      </c>
      <c r="F13" s="248" t="n">
        <f aca="false">VLOOKUP(A13,'TH theo khach hang'!$A$4:$G$309,4,FALSE())</f>
        <v>0</v>
      </c>
      <c r="G13" s="249" t="n">
        <f aca="false">VLOOKUP(A13,'TH theo khach hang'!$A$4:$G$309,5,FALSE())</f>
        <v>0</v>
      </c>
      <c r="H13" s="248" t="n">
        <f aca="false">J13+L13+N13+P13+R13+T13+V13+X13+Z13+AB13+AD13+AF13</f>
        <v>0</v>
      </c>
      <c r="I13" s="250" t="n">
        <f aca="false">K13+M13+O13+Q13+S13+U13+W13+Y13+AA13+AC13+AE13+AG13</f>
        <v>0</v>
      </c>
      <c r="J13" s="249"/>
      <c r="K13" s="249"/>
      <c r="L13" s="249"/>
      <c r="M13" s="249"/>
      <c r="N13" s="249"/>
      <c r="O13" s="249"/>
      <c r="P13" s="249"/>
      <c r="Q13" s="249"/>
      <c r="R13" s="249"/>
      <c r="S13" s="249"/>
      <c r="T13" s="249"/>
      <c r="U13" s="249"/>
      <c r="V13" s="249"/>
      <c r="W13" s="249"/>
      <c r="X13" s="249"/>
      <c r="Y13" s="249"/>
      <c r="Z13" s="249"/>
      <c r="AA13" s="249"/>
      <c r="AB13" s="249"/>
      <c r="AC13" s="249"/>
      <c r="AD13" s="249"/>
      <c r="AE13" s="249"/>
      <c r="AF13" s="249"/>
      <c r="AG13" s="249"/>
      <c r="AH13" s="251"/>
    </row>
    <row r="14" s="232" customFormat="true" ht="16.5" hidden="false" customHeight="false" outlineLevel="0" collapsed="false">
      <c r="A14" s="244" t="s">
        <v>190</v>
      </c>
      <c r="B14" s="214" t="n">
        <f aca="false">VLOOKUP(A14,'TH theo khach hang'!$A$4:$C$309,2,FALSE())</f>
        <v>0</v>
      </c>
      <c r="C14" s="245" t="str">
        <f aca="false">IF(VLOOKUP(A14,'TH theo khach hang'!$A$4:$C$309,3,FALSE())=0, "", "x")</f>
        <v/>
      </c>
      <c r="D14" s="246" t="n">
        <f aca="false">F14-H14</f>
        <v>0</v>
      </c>
      <c r="E14" s="247" t="n">
        <f aca="false">G14-I14</f>
        <v>0</v>
      </c>
      <c r="F14" s="248" t="n">
        <f aca="false">VLOOKUP(A14,'TH theo khach hang'!$A$4:$G$309,4,FALSE())</f>
        <v>0</v>
      </c>
      <c r="G14" s="249" t="n">
        <f aca="false">VLOOKUP(A14,'TH theo khach hang'!$A$4:$G$309,5,FALSE())</f>
        <v>0</v>
      </c>
      <c r="H14" s="248" t="n">
        <f aca="false">J14+L14+N14+P14+R14+T14+V14+X14+Z14+AB14+AD14+AF14</f>
        <v>0</v>
      </c>
      <c r="I14" s="250" t="n">
        <f aca="false">K14+M14+O14+Q14+S14+U14+W14+Y14+AA14+AC14+AE14+AG14</f>
        <v>0</v>
      </c>
      <c r="J14" s="249"/>
      <c r="K14" s="249"/>
      <c r="L14" s="249"/>
      <c r="M14" s="249"/>
      <c r="N14" s="249"/>
      <c r="O14" s="249"/>
      <c r="P14" s="249"/>
      <c r="Q14" s="249"/>
      <c r="R14" s="249"/>
      <c r="S14" s="249"/>
      <c r="T14" s="249"/>
      <c r="U14" s="249"/>
      <c r="V14" s="249"/>
      <c r="X14" s="249"/>
      <c r="Y14" s="249"/>
      <c r="Z14" s="249"/>
      <c r="AA14" s="249"/>
      <c r="AB14" s="249"/>
      <c r="AC14" s="249"/>
      <c r="AD14" s="249"/>
      <c r="AE14" s="249"/>
      <c r="AF14" s="249"/>
      <c r="AG14" s="249"/>
    </row>
    <row r="15" customFormat="false" ht="16.5" hidden="false" customHeight="false" outlineLevel="0" collapsed="false">
      <c r="A15" s="244" t="s">
        <v>191</v>
      </c>
      <c r="B15" s="214" t="n">
        <f aca="false">VLOOKUP(A15,'TH theo khach hang'!$A$4:$C$309,2,FALSE())</f>
        <v>0</v>
      </c>
      <c r="C15" s="245" t="str">
        <f aca="false">IF(VLOOKUP(A15,'TH theo khach hang'!$A$4:$C$309,3,FALSE())=0, "", "x")</f>
        <v/>
      </c>
      <c r="D15" s="246" t="n">
        <f aca="false">F15-H15</f>
        <v>0</v>
      </c>
      <c r="E15" s="247" t="n">
        <f aca="false">G15-I15</f>
        <v>0</v>
      </c>
      <c r="F15" s="248" t="n">
        <f aca="false">VLOOKUP(A15,'TH theo khach hang'!$A$4:$G$309,4,FALSE())</f>
        <v>0</v>
      </c>
      <c r="G15" s="249" t="n">
        <f aca="false">VLOOKUP(A15,'TH theo khach hang'!$A$4:$G$309,5,FALSE())</f>
        <v>0</v>
      </c>
      <c r="H15" s="248" t="n">
        <f aca="false">J15+L15+N15+P15+R15+T15+V15+X15+Z15+AB15+AD15+AF15</f>
        <v>0</v>
      </c>
      <c r="I15" s="250" t="n">
        <f aca="false">K15+M15+O15+Q15+S15+U15+W15+Y15+AA15+AC15+AE15+AG15</f>
        <v>0</v>
      </c>
      <c r="J15" s="249"/>
      <c r="K15" s="249"/>
      <c r="L15" s="249"/>
      <c r="M15" s="249"/>
      <c r="N15" s="249"/>
      <c r="O15" s="249"/>
      <c r="P15" s="249"/>
      <c r="Q15" s="249"/>
      <c r="R15" s="249"/>
      <c r="S15" s="249"/>
      <c r="T15" s="249"/>
      <c r="U15" s="249"/>
      <c r="V15" s="249"/>
      <c r="W15" s="249"/>
      <c r="X15" s="249"/>
      <c r="Y15" s="249"/>
      <c r="Z15" s="249"/>
      <c r="AA15" s="249"/>
      <c r="AB15" s="249"/>
      <c r="AC15" s="249"/>
      <c r="AD15" s="249"/>
      <c r="AE15" s="249"/>
      <c r="AF15" s="249"/>
      <c r="AG15" s="249"/>
    </row>
    <row r="16" customFormat="false" ht="16.5" hidden="false" customHeight="true" outlineLevel="0" collapsed="false">
      <c r="A16" s="244" t="s">
        <v>192</v>
      </c>
      <c r="B16" s="214" t="n">
        <f aca="false">VLOOKUP(A16,'TH theo khach hang'!$A$4:$C$309,2,FALSE())</f>
        <v>0</v>
      </c>
      <c r="C16" s="245" t="str">
        <f aca="false">IF(VLOOKUP(A16,'TH theo khach hang'!$A$4:$C$309,3,FALSE())=0, "", "x")</f>
        <v/>
      </c>
      <c r="D16" s="246" t="n">
        <f aca="false">F16-H16</f>
        <v>0</v>
      </c>
      <c r="E16" s="247" t="n">
        <f aca="false">G16-I16</f>
        <v>0</v>
      </c>
      <c r="F16" s="248" t="n">
        <f aca="false">VLOOKUP(A16,'TH theo khach hang'!$A$4:$G$309,4,FALSE())</f>
        <v>0</v>
      </c>
      <c r="G16" s="249" t="n">
        <f aca="false">VLOOKUP(A16,'TH theo khach hang'!$A$4:$G$309,5,FALSE())</f>
        <v>0</v>
      </c>
      <c r="H16" s="248" t="n">
        <f aca="false">J16+L16+N16+P16+R16+T16+V16+X16+Z16+AB16+AD16+AF16</f>
        <v>0</v>
      </c>
      <c r="I16" s="250" t="n">
        <f aca="false">K16+M16+O16+Q16+S16+U16+W16+Y16+AA16+AC16+AE16+AG16</f>
        <v>0</v>
      </c>
      <c r="J16" s="249"/>
      <c r="K16" s="249"/>
      <c r="L16" s="249"/>
      <c r="M16" s="249"/>
      <c r="N16" s="249"/>
      <c r="O16" s="249"/>
      <c r="P16" s="249"/>
      <c r="Q16" s="249"/>
      <c r="R16" s="249"/>
      <c r="S16" s="249"/>
      <c r="T16" s="249"/>
      <c r="U16" s="249"/>
      <c r="V16" s="249"/>
      <c r="W16" s="249"/>
      <c r="X16" s="249"/>
      <c r="Y16" s="249"/>
      <c r="Z16" s="249"/>
      <c r="AA16" s="249"/>
      <c r="AB16" s="249"/>
      <c r="AC16" s="249"/>
      <c r="AD16" s="249"/>
      <c r="AE16" s="249"/>
      <c r="AF16" s="249"/>
      <c r="AG16" s="249"/>
      <c r="AH16" s="251"/>
    </row>
    <row r="17" customFormat="false" ht="16.5" hidden="false" customHeight="true" outlineLevel="0" collapsed="false">
      <c r="A17" s="244" t="s">
        <v>193</v>
      </c>
      <c r="B17" s="214" t="n">
        <f aca="false">VLOOKUP(A17,'TH theo khach hang'!$A$4:$C$309,2,FALSE())</f>
        <v>0</v>
      </c>
      <c r="C17" s="245" t="str">
        <f aca="false">IF(VLOOKUP(A17,'TH theo khach hang'!$A$4:$C$309,3,FALSE())=0, "", "x")</f>
        <v/>
      </c>
      <c r="D17" s="246" t="n">
        <f aca="false">F17-H17</f>
        <v>0</v>
      </c>
      <c r="E17" s="247" t="n">
        <f aca="false">G17-I17</f>
        <v>0</v>
      </c>
      <c r="F17" s="248" t="n">
        <f aca="false">VLOOKUP(A17,'TH theo khach hang'!$A$4:$G$309,4,FALSE())</f>
        <v>0</v>
      </c>
      <c r="G17" s="249" t="n">
        <f aca="false">VLOOKUP(A17,'TH theo khach hang'!$A$4:$G$309,5,FALSE())</f>
        <v>0</v>
      </c>
      <c r="H17" s="248" t="n">
        <f aca="false">J17+L17+N17+P17+R17+T17+V17+X17+Z17+AB17+AD17+AF17</f>
        <v>0</v>
      </c>
      <c r="I17" s="250" t="n">
        <f aca="false">K17+M17+O17+Q17+S17+U17+W17+Y17+AA17+AC17+AE17+AG17</f>
        <v>0</v>
      </c>
      <c r="J17" s="249"/>
      <c r="K17" s="249"/>
      <c r="L17" s="249"/>
      <c r="M17" s="249"/>
      <c r="N17" s="249"/>
      <c r="O17" s="249"/>
      <c r="P17" s="249"/>
      <c r="Q17" s="249"/>
      <c r="R17" s="249"/>
      <c r="S17" s="249"/>
      <c r="T17" s="249"/>
      <c r="U17" s="249"/>
      <c r="V17" s="249"/>
      <c r="W17" s="249"/>
      <c r="X17" s="249"/>
      <c r="Y17" s="249"/>
      <c r="Z17" s="249"/>
      <c r="AA17" s="249"/>
      <c r="AB17" s="249"/>
      <c r="AC17" s="249"/>
      <c r="AD17" s="249"/>
      <c r="AE17" s="249"/>
      <c r="AF17" s="249"/>
      <c r="AG17" s="249"/>
    </row>
    <row r="18" customFormat="false" ht="33" hidden="false" customHeight="true" outlineLevel="0" collapsed="false">
      <c r="A18" s="244" t="s">
        <v>194</v>
      </c>
      <c r="B18" s="214" t="n">
        <f aca="false">VLOOKUP(A18,'TH theo khach hang'!$A$4:$C$309,2,FALSE())</f>
        <v>0</v>
      </c>
      <c r="C18" s="245" t="str">
        <f aca="false">IF(VLOOKUP(A18,'TH theo khach hang'!$A$4:$C$309,3,FALSE())=0, "", "x")</f>
        <v/>
      </c>
      <c r="D18" s="246" t="n">
        <f aca="false">F18-H18</f>
        <v>0</v>
      </c>
      <c r="E18" s="247" t="n">
        <f aca="false">G18-I18</f>
        <v>0</v>
      </c>
      <c r="F18" s="248" t="n">
        <f aca="false">VLOOKUP(A18,'TH theo khach hang'!$A$4:$G$309,4,FALSE())</f>
        <v>0</v>
      </c>
      <c r="G18" s="249" t="n">
        <f aca="false">VLOOKUP(A18,'TH theo khach hang'!$A$4:$G$309,5,FALSE())</f>
        <v>0</v>
      </c>
      <c r="H18" s="248" t="n">
        <f aca="false">J18+L18+N18+P18+R18+T18+V18+X18+Z18+AB18+AD18+AF18</f>
        <v>0</v>
      </c>
      <c r="I18" s="250" t="n">
        <f aca="false">K18+M18+O18+Q18+S18+U18+W18+Y18+AA18+AC18+AE18+AG18</f>
        <v>0</v>
      </c>
      <c r="J18" s="249"/>
      <c r="K18" s="249"/>
      <c r="L18" s="249"/>
      <c r="M18" s="249"/>
      <c r="N18" s="249"/>
      <c r="O18" s="249"/>
      <c r="P18" s="249"/>
      <c r="Q18" s="249"/>
      <c r="R18" s="249"/>
      <c r="S18" s="249"/>
      <c r="T18" s="249"/>
      <c r="U18" s="249"/>
      <c r="V18" s="249"/>
      <c r="X18" s="249"/>
      <c r="Y18" s="249"/>
      <c r="Z18" s="249"/>
      <c r="AA18" s="249"/>
      <c r="AB18" s="249"/>
      <c r="AC18" s="249"/>
      <c r="AD18" s="249"/>
      <c r="AE18" s="249"/>
      <c r="AF18" s="249"/>
      <c r="AG18" s="249"/>
    </row>
    <row r="19" customFormat="false" ht="16.5" hidden="false" customHeight="false" outlineLevel="0" collapsed="false">
      <c r="A19" s="244" t="s">
        <v>195</v>
      </c>
      <c r="B19" s="214" t="n">
        <f aca="false">VLOOKUP(A19,'TH theo khach hang'!$A$4:$C$309,2,FALSE())</f>
        <v>0</v>
      </c>
      <c r="C19" s="245" t="str">
        <f aca="false">IF(VLOOKUP(A19,'TH theo khach hang'!$A$4:$C$309,3,FALSE())=0, "", "x")</f>
        <v/>
      </c>
      <c r="D19" s="246" t="n">
        <f aca="false">F19-H19</f>
        <v>0</v>
      </c>
      <c r="E19" s="247" t="n">
        <f aca="false">G19-I19</f>
        <v>0</v>
      </c>
      <c r="F19" s="248" t="n">
        <f aca="false">VLOOKUP(A19,'TH theo khach hang'!$A$4:$G$309,4,FALSE())</f>
        <v>0</v>
      </c>
      <c r="G19" s="249" t="n">
        <f aca="false">VLOOKUP(A19,'TH theo khach hang'!$A$4:$G$309,5,FALSE())</f>
        <v>0</v>
      </c>
      <c r="H19" s="248" t="n">
        <f aca="false">J19+L19+N19+P19+R19+T19+V19+X19+Z19+AB19+AD19+AF19</f>
        <v>0</v>
      </c>
      <c r="I19" s="250" t="n">
        <f aca="false">K19+M19+O19+Q19+S19+U19+W19+Y19+AA19+AC19+AE19+AG19</f>
        <v>0</v>
      </c>
      <c r="J19" s="249"/>
      <c r="K19" s="249"/>
      <c r="L19" s="249"/>
      <c r="M19" s="249"/>
      <c r="N19" s="249"/>
      <c r="O19" s="249"/>
      <c r="P19" s="249"/>
      <c r="Q19" s="249"/>
      <c r="R19" s="249"/>
      <c r="S19" s="249"/>
      <c r="T19" s="249"/>
      <c r="U19" s="249"/>
      <c r="V19" s="249"/>
      <c r="W19" s="249"/>
      <c r="X19" s="249"/>
      <c r="Y19" s="249"/>
      <c r="Z19" s="249"/>
      <c r="AA19" s="249"/>
      <c r="AB19" s="249"/>
      <c r="AC19" s="249"/>
      <c r="AD19" s="249"/>
      <c r="AE19" s="249"/>
      <c r="AF19" s="249"/>
      <c r="AG19" s="249"/>
    </row>
    <row r="20" customFormat="false" ht="16.5" hidden="false" customHeight="false" outlineLevel="0" collapsed="false">
      <c r="A20" s="244" t="s">
        <v>196</v>
      </c>
      <c r="B20" s="214" t="n">
        <f aca="false">VLOOKUP(A20,'TH theo khach hang'!$A$4:$C$309,2,FALSE())</f>
        <v>0</v>
      </c>
      <c r="C20" s="245" t="str">
        <f aca="false">IF(VLOOKUP(A20,'TH theo khach hang'!$A$4:$C$309,3,FALSE())=0, "", "x")</f>
        <v/>
      </c>
      <c r="D20" s="246" t="n">
        <f aca="false">F20-H20</f>
        <v>0</v>
      </c>
      <c r="E20" s="247" t="n">
        <f aca="false">G20-I20</f>
        <v>0</v>
      </c>
      <c r="F20" s="248" t="n">
        <f aca="false">VLOOKUP(A20,'TH theo khach hang'!$A$4:$G$309,4,FALSE())</f>
        <v>0</v>
      </c>
      <c r="G20" s="249" t="n">
        <f aca="false">VLOOKUP(A20,'TH theo khach hang'!$A$4:$G$309,5,FALSE())</f>
        <v>0</v>
      </c>
      <c r="H20" s="248" t="n">
        <f aca="false">J20+L20+N20+P20+R20+T20+V20+X20+Z20+AB20+AD20+AF20</f>
        <v>0</v>
      </c>
      <c r="I20" s="250" t="n">
        <f aca="false">K20+M20+O20+Q20+S20+U20+W20+Y20+AA20+AC20+AE20+AG20</f>
        <v>0</v>
      </c>
      <c r="J20" s="249"/>
      <c r="K20" s="249"/>
      <c r="L20" s="249"/>
      <c r="M20" s="249"/>
      <c r="N20" s="249"/>
      <c r="O20" s="249"/>
      <c r="P20" s="249"/>
      <c r="Q20" s="249"/>
      <c r="R20" s="249"/>
      <c r="S20" s="249"/>
      <c r="T20" s="249"/>
      <c r="U20" s="249"/>
      <c r="V20" s="249"/>
      <c r="W20" s="249"/>
      <c r="X20" s="249"/>
      <c r="Y20" s="249"/>
      <c r="Z20" s="249"/>
      <c r="AA20" s="249"/>
      <c r="AB20" s="249"/>
      <c r="AC20" s="249"/>
      <c r="AD20" s="249"/>
      <c r="AE20" s="249"/>
      <c r="AF20" s="249"/>
      <c r="AG20" s="249"/>
    </row>
    <row r="21" customFormat="false" ht="16.5" hidden="false" customHeight="true" outlineLevel="0" collapsed="false">
      <c r="A21" s="244" t="s">
        <v>197</v>
      </c>
      <c r="B21" s="214" t="n">
        <f aca="false">VLOOKUP(A21,'TH theo khach hang'!$A$4:$C$309,2,FALSE())</f>
        <v>0</v>
      </c>
      <c r="C21" s="245" t="str">
        <f aca="false">IF(VLOOKUP(A21,'TH theo khach hang'!$A$4:$C$309,3,FALSE())=0, "", "x")</f>
        <v/>
      </c>
      <c r="D21" s="246" t="n">
        <f aca="false">F21-H21</f>
        <v>0</v>
      </c>
      <c r="E21" s="247" t="n">
        <f aca="false">G21-I21</f>
        <v>0</v>
      </c>
      <c r="F21" s="248" t="n">
        <f aca="false">VLOOKUP(A21,'TH theo khach hang'!$A$4:$G$309,4,FALSE())</f>
        <v>0</v>
      </c>
      <c r="G21" s="249" t="n">
        <f aca="false">VLOOKUP(A21,'TH theo khach hang'!$A$4:$G$309,5,FALSE())</f>
        <v>0</v>
      </c>
      <c r="H21" s="248" t="n">
        <f aca="false">J21+L21+N21+P21+R21+T21+V21+X21+Z21+AB21+AD21+AF21</f>
        <v>0</v>
      </c>
      <c r="I21" s="250" t="n">
        <f aca="false">K21+M21+O21+Q21+S21+U21+W21+Y21+AA21+AC21+AE21+AG21</f>
        <v>0</v>
      </c>
      <c r="J21" s="249"/>
      <c r="K21" s="249"/>
      <c r="L21" s="249"/>
      <c r="M21" s="249"/>
      <c r="N21" s="249"/>
      <c r="O21" s="249"/>
      <c r="P21" s="249"/>
      <c r="Q21" s="249"/>
      <c r="R21" s="249"/>
      <c r="S21" s="249"/>
      <c r="T21" s="249"/>
      <c r="U21" s="249"/>
      <c r="V21" s="249"/>
      <c r="W21" s="249"/>
      <c r="X21" s="249"/>
      <c r="Y21" s="249"/>
      <c r="Z21" s="249"/>
      <c r="AA21" s="249"/>
      <c r="AB21" s="249"/>
      <c r="AC21" s="249"/>
      <c r="AD21" s="249"/>
      <c r="AE21" s="249"/>
      <c r="AF21" s="249"/>
      <c r="AG21" s="249"/>
    </row>
    <row r="22" customFormat="false" ht="16.5" hidden="false" customHeight="false" outlineLevel="0" collapsed="false">
      <c r="A22" s="244" t="s">
        <v>198</v>
      </c>
      <c r="B22" s="214" t="n">
        <f aca="false">VLOOKUP(A22,'TH theo khach hang'!$A$4:$C$309,2,FALSE())</f>
        <v>0</v>
      </c>
      <c r="C22" s="245" t="str">
        <f aca="false">IF(VLOOKUP(A22,'TH theo khach hang'!$A$4:$C$309,3,FALSE())=0, "", "x")</f>
        <v/>
      </c>
      <c r="D22" s="246" t="n">
        <f aca="false">F22-H22</f>
        <v>0</v>
      </c>
      <c r="E22" s="247" t="n">
        <f aca="false">G22-I22</f>
        <v>0</v>
      </c>
      <c r="F22" s="248" t="n">
        <f aca="false">VLOOKUP(A22,'TH theo khach hang'!$A$4:$G$309,4,FALSE())</f>
        <v>0</v>
      </c>
      <c r="G22" s="249" t="n">
        <f aca="false">VLOOKUP(A22,'TH theo khach hang'!$A$4:$G$309,5,FALSE())</f>
        <v>0</v>
      </c>
      <c r="H22" s="248" t="n">
        <f aca="false">J22+L22+N22+P22+R22+T22+V22+X22+Z22+AB22+AD22+AF22</f>
        <v>0</v>
      </c>
      <c r="I22" s="250" t="n">
        <f aca="false">K22+M22+O22+Q22+S22+U22+W22+Y22+AA22+AC22+AE22+AG22</f>
        <v>0</v>
      </c>
      <c r="J22" s="249"/>
      <c r="K22" s="249"/>
      <c r="L22" s="249"/>
      <c r="M22" s="249"/>
      <c r="N22" s="249"/>
      <c r="O22" s="249"/>
      <c r="P22" s="249"/>
      <c r="Q22" s="249"/>
      <c r="R22" s="249"/>
      <c r="S22" s="249"/>
      <c r="T22" s="249"/>
      <c r="U22" s="249"/>
      <c r="V22" s="249"/>
      <c r="W22" s="249"/>
      <c r="X22" s="249"/>
      <c r="Y22" s="249"/>
      <c r="Z22" s="249"/>
      <c r="AA22" s="249"/>
      <c r="AB22" s="249"/>
      <c r="AC22" s="249"/>
      <c r="AD22" s="249"/>
      <c r="AE22" s="249"/>
      <c r="AF22" s="249"/>
      <c r="AG22" s="249"/>
      <c r="AH22" s="251"/>
    </row>
    <row r="23" customFormat="false" ht="16.5" hidden="false" customHeight="false" outlineLevel="0" collapsed="false">
      <c r="A23" s="244" t="s">
        <v>199</v>
      </c>
      <c r="B23" s="214" t="n">
        <f aca="false">VLOOKUP(A23,'TH theo khach hang'!$A$4:$C$309,2,FALSE())</f>
        <v>0</v>
      </c>
      <c r="C23" s="245" t="str">
        <f aca="false">IF(VLOOKUP(A23,'TH theo khach hang'!$A$4:$C$309,3,FALSE())=0, "", "x")</f>
        <v/>
      </c>
      <c r="D23" s="246" t="n">
        <f aca="false">F23-H23</f>
        <v>0</v>
      </c>
      <c r="E23" s="247" t="n">
        <f aca="false">G23-I23</f>
        <v>0</v>
      </c>
      <c r="F23" s="248" t="n">
        <f aca="false">VLOOKUP(A23,'TH theo khach hang'!$A$4:$G$309,4,FALSE())</f>
        <v>0</v>
      </c>
      <c r="G23" s="249" t="n">
        <f aca="false">VLOOKUP(A23,'TH theo khach hang'!$A$4:$G$309,5,FALSE())</f>
        <v>0</v>
      </c>
      <c r="H23" s="248" t="n">
        <f aca="false">J23+L23+N23+P23+R23+T23+V23+X23+Z23+AB23+AD23+AF23</f>
        <v>0</v>
      </c>
      <c r="I23" s="250" t="n">
        <f aca="false">K23+M23+O23+Q23+S23+U23+W23+Y23+AA23+AC23+AE23+AG23</f>
        <v>0</v>
      </c>
      <c r="J23" s="249"/>
      <c r="K23" s="249"/>
      <c r="L23" s="249"/>
      <c r="M23" s="249"/>
      <c r="N23" s="249"/>
      <c r="O23" s="249"/>
      <c r="P23" s="249"/>
      <c r="Q23" s="249"/>
      <c r="R23" s="249"/>
      <c r="S23" s="249"/>
      <c r="T23" s="249"/>
      <c r="U23" s="249"/>
      <c r="V23" s="249"/>
      <c r="W23" s="249"/>
      <c r="X23" s="249"/>
      <c r="Y23" s="249"/>
      <c r="Z23" s="249"/>
      <c r="AA23" s="249"/>
      <c r="AB23" s="249"/>
      <c r="AC23" s="249"/>
      <c r="AD23" s="249"/>
      <c r="AE23" s="249"/>
      <c r="AF23" s="249"/>
      <c r="AG23" s="249"/>
      <c r="AH23" s="251"/>
    </row>
    <row r="24" customFormat="false" ht="16.5" hidden="false" customHeight="false" outlineLevel="0" collapsed="false">
      <c r="A24" s="244" t="s">
        <v>200</v>
      </c>
      <c r="B24" s="214" t="n">
        <f aca="false">VLOOKUP(A24,'TH theo khach hang'!$A$4:$C$309,2,FALSE())</f>
        <v>0</v>
      </c>
      <c r="C24" s="245" t="str">
        <f aca="false">IF(VLOOKUP(A24,'TH theo khach hang'!$A$4:$C$309,3,FALSE())=0, "", "x")</f>
        <v/>
      </c>
      <c r="D24" s="246" t="n">
        <f aca="false">F24-H24</f>
        <v>0</v>
      </c>
      <c r="E24" s="247" t="n">
        <f aca="false">G24-I24</f>
        <v>0</v>
      </c>
      <c r="F24" s="248" t="n">
        <f aca="false">VLOOKUP(A24,'TH theo khach hang'!$A$4:$G$309,4,FALSE())</f>
        <v>0</v>
      </c>
      <c r="G24" s="249" t="n">
        <f aca="false">VLOOKUP(A24,'TH theo khach hang'!$A$4:$G$309,5,FALSE())</f>
        <v>0</v>
      </c>
      <c r="H24" s="248" t="n">
        <f aca="false">J24+L24+N24+P24+R24+T24+V24+X24+Z24+AB24+AD24+AF24</f>
        <v>0</v>
      </c>
      <c r="I24" s="250" t="n">
        <f aca="false">K24+M24+O24+Q24+S24+U24+W24+Y24+AA24+AC24+AE24+AG24</f>
        <v>0</v>
      </c>
      <c r="J24" s="249"/>
      <c r="K24" s="249"/>
      <c r="L24" s="249"/>
      <c r="M24" s="249"/>
      <c r="N24" s="249"/>
      <c r="O24" s="249"/>
      <c r="P24" s="249"/>
      <c r="Q24" s="249"/>
      <c r="R24" s="249"/>
      <c r="S24" s="249"/>
      <c r="T24" s="249"/>
      <c r="U24" s="249"/>
      <c r="V24" s="249"/>
      <c r="W24" s="249"/>
      <c r="X24" s="249"/>
      <c r="Y24" s="249"/>
      <c r="Z24" s="249"/>
      <c r="AA24" s="249"/>
      <c r="AB24" s="249"/>
      <c r="AC24" s="249"/>
      <c r="AD24" s="249"/>
      <c r="AE24" s="249"/>
      <c r="AF24" s="249"/>
      <c r="AG24" s="249"/>
      <c r="AH24" s="251"/>
    </row>
    <row r="25" customFormat="false" ht="16.5" hidden="false" customHeight="false" outlineLevel="0" collapsed="false">
      <c r="A25" s="244" t="s">
        <v>201</v>
      </c>
      <c r="B25" s="214" t="n">
        <f aca="false">VLOOKUP(A25,'TH theo khach hang'!$A$4:$C$309,2,FALSE())</f>
        <v>0</v>
      </c>
      <c r="C25" s="245" t="str">
        <f aca="false">IF(VLOOKUP(A25,'TH theo khach hang'!$A$4:$C$309,3,FALSE())=0, "", "x")</f>
        <v/>
      </c>
      <c r="D25" s="246" t="n">
        <f aca="false">F25-H25</f>
        <v>0</v>
      </c>
      <c r="E25" s="247" t="n">
        <f aca="false">G25-I25</f>
        <v>0</v>
      </c>
      <c r="F25" s="248" t="n">
        <f aca="false">VLOOKUP(A25,'TH theo khach hang'!$A$4:$G$309,4,FALSE())</f>
        <v>0</v>
      </c>
      <c r="G25" s="249" t="n">
        <f aca="false">VLOOKUP(A25,'TH theo khach hang'!$A$4:$G$309,5,FALSE())</f>
        <v>0</v>
      </c>
      <c r="H25" s="248" t="n">
        <f aca="false">J25+L25+N25+P25+R25+T25+V25+X25+Z25+AB25+AD25+AF25</f>
        <v>0</v>
      </c>
      <c r="I25" s="250" t="n">
        <f aca="false">K25+M25+O25+Q25+S25+U25+W25+Y25+AA25+AC25+AE25+AG25</f>
        <v>0</v>
      </c>
      <c r="J25" s="249"/>
      <c r="K25" s="249"/>
      <c r="L25" s="249"/>
      <c r="M25" s="249"/>
      <c r="N25" s="249"/>
      <c r="O25" s="249"/>
      <c r="P25" s="249"/>
      <c r="Q25" s="249"/>
      <c r="R25" s="249"/>
      <c r="S25" s="249"/>
      <c r="T25" s="249"/>
      <c r="U25" s="249"/>
      <c r="V25" s="249"/>
      <c r="W25" s="249"/>
      <c r="X25" s="249"/>
      <c r="Y25" s="249"/>
      <c r="Z25" s="249"/>
      <c r="AA25" s="249"/>
      <c r="AB25" s="249"/>
      <c r="AC25" s="249"/>
      <c r="AD25" s="249"/>
      <c r="AE25" s="249"/>
      <c r="AF25" s="249"/>
      <c r="AG25" s="249"/>
      <c r="AH25" s="251"/>
    </row>
    <row r="26" customFormat="false" ht="16.5" hidden="false" customHeight="false" outlineLevel="0" collapsed="false">
      <c r="A26" s="244" t="s">
        <v>202</v>
      </c>
      <c r="B26" s="214" t="n">
        <f aca="false">VLOOKUP(A26,'TH theo khach hang'!$A$4:$C$309,2,FALSE())</f>
        <v>0</v>
      </c>
      <c r="C26" s="245" t="str">
        <f aca="false">IF(VLOOKUP(A26,'TH theo khach hang'!$A$4:$C$309,3,FALSE())=0, "", "x")</f>
        <v/>
      </c>
      <c r="D26" s="246" t="n">
        <f aca="false">F26-H26</f>
        <v>0</v>
      </c>
      <c r="E26" s="247" t="n">
        <f aca="false">G26-I26</f>
        <v>0</v>
      </c>
      <c r="F26" s="248" t="n">
        <f aca="false">VLOOKUP(A26,'TH theo khach hang'!$A$4:$G$309,4,FALSE())</f>
        <v>0</v>
      </c>
      <c r="G26" s="249" t="n">
        <f aca="false">VLOOKUP(A26,'TH theo khach hang'!$A$4:$G$309,5,FALSE())</f>
        <v>0</v>
      </c>
      <c r="H26" s="248" t="n">
        <f aca="false">J26+L26+N26+P26+R26+T26+V26+X26+Z26+AB26+AD26+AF26</f>
        <v>0</v>
      </c>
      <c r="I26" s="250" t="n">
        <f aca="false">K26+M26+O26+Q26+S26+U26+W26+Y26+AA26+AC26+AE26+AG26</f>
        <v>0</v>
      </c>
      <c r="J26" s="249"/>
      <c r="K26" s="249"/>
      <c r="L26" s="249"/>
      <c r="M26" s="249"/>
      <c r="N26" s="249"/>
      <c r="O26" s="249"/>
      <c r="P26" s="249"/>
      <c r="Q26" s="249"/>
      <c r="R26" s="249"/>
      <c r="S26" s="249"/>
      <c r="T26" s="249"/>
      <c r="U26" s="249"/>
      <c r="V26" s="249"/>
      <c r="W26" s="249"/>
      <c r="X26" s="249"/>
      <c r="Y26" s="249"/>
      <c r="Z26" s="249"/>
      <c r="AA26" s="249"/>
      <c r="AB26" s="249"/>
      <c r="AC26" s="249"/>
      <c r="AD26" s="249"/>
      <c r="AE26" s="249"/>
      <c r="AF26" s="249"/>
      <c r="AG26" s="249"/>
    </row>
    <row r="27" customFormat="false" ht="16.5" hidden="false" customHeight="false" outlineLevel="0" collapsed="false">
      <c r="A27" s="244" t="s">
        <v>203</v>
      </c>
      <c r="B27" s="214" t="n">
        <f aca="false">VLOOKUP(A27,'TH theo khach hang'!$A$4:$C$309,2,FALSE())</f>
        <v>0</v>
      </c>
      <c r="C27" s="245" t="str">
        <f aca="false">IF(VLOOKUP(A27,'TH theo khach hang'!$A$4:$C$309,3,FALSE())=0, "", "x")</f>
        <v/>
      </c>
      <c r="D27" s="246" t="n">
        <f aca="false">F27-H27</f>
        <v>0</v>
      </c>
      <c r="E27" s="247" t="n">
        <f aca="false">G27-I27</f>
        <v>0</v>
      </c>
      <c r="F27" s="248" t="n">
        <f aca="false">VLOOKUP(A27,'TH theo khach hang'!$A$4:$G$309,4,FALSE())</f>
        <v>0</v>
      </c>
      <c r="G27" s="249" t="n">
        <f aca="false">VLOOKUP(A27,'TH theo khach hang'!$A$4:$G$309,5,FALSE())</f>
        <v>0</v>
      </c>
      <c r="H27" s="248" t="n">
        <f aca="false">J27+L27+N27+P27+R27+T27+V27+X27+Z27+AB27+AD27+AF27</f>
        <v>0</v>
      </c>
      <c r="I27" s="250" t="n">
        <f aca="false">K27+M27+O27+Q27+S27+U27+W27+Y27+AA27+AC27+AE27+AG27</f>
        <v>0</v>
      </c>
      <c r="J27" s="249"/>
      <c r="K27" s="249"/>
      <c r="L27" s="249"/>
      <c r="M27" s="249"/>
      <c r="N27" s="249"/>
      <c r="O27" s="249"/>
      <c r="P27" s="249"/>
      <c r="Q27" s="249"/>
      <c r="R27" s="249"/>
      <c r="S27" s="249"/>
      <c r="T27" s="249"/>
      <c r="U27" s="249"/>
      <c r="V27" s="249"/>
      <c r="W27" s="249"/>
      <c r="X27" s="249"/>
      <c r="Y27" s="249"/>
      <c r="Z27" s="249"/>
      <c r="AA27" s="249"/>
      <c r="AB27" s="249"/>
      <c r="AC27" s="249"/>
      <c r="AD27" s="249"/>
      <c r="AE27" s="249"/>
      <c r="AF27" s="249"/>
      <c r="AG27" s="249"/>
    </row>
    <row r="28" customFormat="false" ht="16.5" hidden="false" customHeight="false" outlineLevel="0" collapsed="false">
      <c r="A28" s="244" t="s">
        <v>204</v>
      </c>
      <c r="B28" s="214" t="n">
        <f aca="false">VLOOKUP(A28,'TH theo khach hang'!$A$4:$C$309,2,FALSE())</f>
        <v>0</v>
      </c>
      <c r="C28" s="245" t="str">
        <f aca="false">IF(VLOOKUP(A28,'TH theo khach hang'!$A$4:$C$309,3,FALSE())=0, "", "x")</f>
        <v/>
      </c>
      <c r="D28" s="246" t="n">
        <f aca="false">F28-H28</f>
        <v>0</v>
      </c>
      <c r="E28" s="247" t="n">
        <f aca="false">G28-I28</f>
        <v>0</v>
      </c>
      <c r="F28" s="248" t="n">
        <f aca="false">VLOOKUP(A28,'TH theo khach hang'!$A$4:$G$309,4,FALSE())</f>
        <v>0</v>
      </c>
      <c r="G28" s="249" t="n">
        <f aca="false">VLOOKUP(A28,'TH theo khach hang'!$A$4:$G$309,5,FALSE())</f>
        <v>0</v>
      </c>
      <c r="H28" s="248" t="n">
        <f aca="false">J28+L28+N28+P28+R28+T28+V28+X28+Z28+AB28+AD28+AF28</f>
        <v>0</v>
      </c>
      <c r="I28" s="250" t="n">
        <f aca="false">K28+M28+O28+Q28+S28+U28+W28+Y28+AA28+AC28+AE28+AG28</f>
        <v>0</v>
      </c>
      <c r="J28" s="249"/>
      <c r="K28" s="249"/>
      <c r="L28" s="249"/>
      <c r="M28" s="249"/>
      <c r="N28" s="249"/>
      <c r="O28" s="249"/>
      <c r="P28" s="249"/>
      <c r="Q28" s="249"/>
      <c r="R28" s="249"/>
      <c r="S28" s="249"/>
      <c r="T28" s="249"/>
      <c r="U28" s="249"/>
      <c r="V28" s="249"/>
      <c r="W28" s="249"/>
      <c r="X28" s="249"/>
      <c r="Y28" s="249"/>
      <c r="Z28" s="249"/>
      <c r="AA28" s="249"/>
      <c r="AB28" s="249"/>
      <c r="AC28" s="249"/>
      <c r="AD28" s="249"/>
      <c r="AE28" s="249"/>
      <c r="AF28" s="249"/>
      <c r="AG28" s="249"/>
      <c r="AH28" s="251"/>
    </row>
    <row r="29" customFormat="false" ht="16.5" hidden="false" customHeight="false" outlineLevel="0" collapsed="false">
      <c r="A29" s="244" t="s">
        <v>205</v>
      </c>
      <c r="B29" s="214" t="n">
        <f aca="false">VLOOKUP(A29,'TH theo khach hang'!$A$4:$C$309,2,FALSE())</f>
        <v>0</v>
      </c>
      <c r="C29" s="245" t="str">
        <f aca="false">IF(VLOOKUP(A29,'TH theo khach hang'!$A$4:$C$309,3,FALSE())=0, "", "x")</f>
        <v/>
      </c>
      <c r="D29" s="246" t="n">
        <f aca="false">F29-H29</f>
        <v>0</v>
      </c>
      <c r="E29" s="247" t="n">
        <f aca="false">G29-I29</f>
        <v>0</v>
      </c>
      <c r="F29" s="248" t="n">
        <f aca="false">VLOOKUP(A29,'TH theo khach hang'!$A$4:$G$309,4,FALSE())</f>
        <v>0</v>
      </c>
      <c r="G29" s="249" t="n">
        <f aca="false">VLOOKUP(A29,'TH theo khach hang'!$A$4:$G$309,5,FALSE())</f>
        <v>0</v>
      </c>
      <c r="H29" s="248" t="n">
        <f aca="false">J29+L29+N29+P29+R29+T29+V29+X29+Z29+AB29+AD29+AF29</f>
        <v>0</v>
      </c>
      <c r="I29" s="250" t="n">
        <f aca="false">K29+M29+O29+Q29+S29+U29+W29+Y29+AA29+AC29+AE29+AG29</f>
        <v>0</v>
      </c>
      <c r="J29" s="249"/>
      <c r="K29" s="249"/>
      <c r="L29" s="249"/>
      <c r="M29" s="249"/>
      <c r="N29" s="249"/>
      <c r="O29" s="249"/>
      <c r="P29" s="249"/>
      <c r="Q29" s="249"/>
      <c r="R29" s="249"/>
      <c r="S29" s="249"/>
      <c r="T29" s="249"/>
      <c r="U29" s="249"/>
      <c r="V29" s="249"/>
      <c r="W29" s="249"/>
      <c r="X29" s="249"/>
      <c r="Y29" s="249"/>
      <c r="Z29" s="249"/>
      <c r="AA29" s="249"/>
      <c r="AB29" s="249"/>
      <c r="AC29" s="249"/>
      <c r="AD29" s="249"/>
      <c r="AE29" s="249"/>
      <c r="AF29" s="249"/>
      <c r="AG29" s="249"/>
    </row>
    <row r="30" customFormat="false" ht="16.5" hidden="false" customHeight="false" outlineLevel="0" collapsed="false">
      <c r="A30" s="244" t="s">
        <v>206</v>
      </c>
      <c r="B30" s="214" t="n">
        <f aca="false">VLOOKUP(A30,'TH theo khach hang'!$A$4:$C$309,2,FALSE())</f>
        <v>0</v>
      </c>
      <c r="C30" s="245" t="str">
        <f aca="false">IF(VLOOKUP(A30,'TH theo khach hang'!$A$4:$C$309,3,FALSE())=0, "", "x")</f>
        <v/>
      </c>
      <c r="D30" s="246" t="n">
        <f aca="false">F30-H30</f>
        <v>0</v>
      </c>
      <c r="E30" s="247" t="n">
        <f aca="false">G30-I30</f>
        <v>0</v>
      </c>
      <c r="F30" s="248" t="n">
        <f aca="false">VLOOKUP(A30,'TH theo khach hang'!$A$4:$G$309,4,FALSE())</f>
        <v>0</v>
      </c>
      <c r="G30" s="249" t="n">
        <f aca="false">VLOOKUP(A30,'TH theo khach hang'!$A$4:$G$309,5,FALSE())</f>
        <v>0</v>
      </c>
      <c r="H30" s="248" t="n">
        <f aca="false">J30+L30+N30+P30+R30+T30+V30+X30+Z30+AB30+AD30+AF30</f>
        <v>0</v>
      </c>
      <c r="I30" s="250" t="n">
        <f aca="false">K30+M30+O30+Q30+S30+U30+W30+Y30+AA30+AC30+AE30+AG30</f>
        <v>0</v>
      </c>
      <c r="J30" s="249"/>
      <c r="K30" s="249"/>
      <c r="L30" s="249"/>
      <c r="M30" s="249"/>
      <c r="N30" s="249"/>
      <c r="O30" s="249"/>
      <c r="P30" s="249"/>
      <c r="Q30" s="249"/>
      <c r="R30" s="249"/>
      <c r="S30" s="249"/>
      <c r="T30" s="249"/>
      <c r="U30" s="249"/>
      <c r="V30" s="249"/>
      <c r="W30" s="249"/>
      <c r="X30" s="249"/>
      <c r="Y30" s="249"/>
      <c r="Z30" s="249"/>
      <c r="AA30" s="249"/>
      <c r="AB30" s="249"/>
      <c r="AC30" s="249"/>
      <c r="AD30" s="249"/>
      <c r="AE30" s="249"/>
      <c r="AF30" s="249"/>
      <c r="AG30" s="249"/>
    </row>
    <row r="31" customFormat="false" ht="16.5" hidden="false" customHeight="false" outlineLevel="0" collapsed="false">
      <c r="A31" s="244" t="s">
        <v>207</v>
      </c>
      <c r="B31" s="214" t="n">
        <f aca="false">VLOOKUP(A31,'TH theo khach hang'!$A$4:$C$309,2,FALSE())</f>
        <v>0</v>
      </c>
      <c r="C31" s="245" t="str">
        <f aca="false">IF(VLOOKUP(A31,'TH theo khach hang'!$A$4:$C$309,3,FALSE())=0, "", "x")</f>
        <v/>
      </c>
      <c r="D31" s="246" t="n">
        <f aca="false">F31-H31</f>
        <v>0</v>
      </c>
      <c r="E31" s="247" t="n">
        <f aca="false">G31-I31</f>
        <v>0</v>
      </c>
      <c r="F31" s="248" t="n">
        <f aca="false">VLOOKUP(A31,'TH theo khach hang'!$A$4:$G$309,4,FALSE())</f>
        <v>0</v>
      </c>
      <c r="G31" s="249" t="n">
        <f aca="false">VLOOKUP(A31,'TH theo khach hang'!$A$4:$G$309,5,FALSE())</f>
        <v>0</v>
      </c>
      <c r="H31" s="248" t="n">
        <f aca="false">J31+L31+N31+P31+R31+T31+V31+X31+Z31+AB31+AD31+AF31</f>
        <v>0</v>
      </c>
      <c r="I31" s="250" t="n">
        <f aca="false">K31+M31+O31+Q31+S31+U31+W31+Y31+AA31+AC31+AE31+AG31</f>
        <v>0</v>
      </c>
      <c r="J31" s="249"/>
      <c r="K31" s="249"/>
      <c r="L31" s="249"/>
      <c r="M31" s="249"/>
      <c r="N31" s="249"/>
      <c r="O31" s="249"/>
      <c r="P31" s="249"/>
      <c r="Q31" s="249"/>
      <c r="R31" s="249"/>
      <c r="S31" s="249"/>
      <c r="T31" s="249"/>
      <c r="U31" s="249"/>
      <c r="V31" s="249"/>
      <c r="W31" s="249"/>
      <c r="X31" s="249"/>
      <c r="Y31" s="249"/>
      <c r="Z31" s="249"/>
      <c r="AA31" s="249"/>
      <c r="AB31" s="249"/>
      <c r="AC31" s="249"/>
      <c r="AD31" s="249"/>
      <c r="AE31" s="249"/>
      <c r="AF31" s="249"/>
      <c r="AG31" s="249"/>
      <c r="AH31" s="251"/>
    </row>
    <row r="32" customFormat="false" ht="16.5" hidden="false" customHeight="false" outlineLevel="0" collapsed="false">
      <c r="A32" s="244" t="s">
        <v>208</v>
      </c>
      <c r="B32" s="214" t="n">
        <f aca="false">VLOOKUP(A32,'TH theo khach hang'!$A$4:$C$309,2,FALSE())</f>
        <v>0</v>
      </c>
      <c r="C32" s="245" t="str">
        <f aca="false">IF(VLOOKUP(A32,'TH theo khach hang'!$A$4:$C$309,3,FALSE())=0, "", "x")</f>
        <v/>
      </c>
      <c r="D32" s="246" t="n">
        <f aca="false">F32-H32</f>
        <v>0</v>
      </c>
      <c r="E32" s="247" t="n">
        <f aca="false">G32-I32</f>
        <v>0</v>
      </c>
      <c r="F32" s="248" t="n">
        <f aca="false">VLOOKUP(A32,'TH theo khach hang'!$A$4:$G$309,4,FALSE())</f>
        <v>0</v>
      </c>
      <c r="G32" s="249" t="n">
        <f aca="false">VLOOKUP(A32,'TH theo khach hang'!$A$4:$G$309,5,FALSE())</f>
        <v>0</v>
      </c>
      <c r="H32" s="248" t="n">
        <f aca="false">J32+L32+N32+P32+R32+T32+V32+X32+Z32+AB32+AD32+AF32</f>
        <v>0</v>
      </c>
      <c r="I32" s="250" t="n">
        <f aca="false">K32+M32+O32+Q32+S32+U32+W32+Y32+AA32+AC32+AE32+AG32</f>
        <v>0</v>
      </c>
      <c r="J32" s="249"/>
      <c r="K32" s="249"/>
      <c r="L32" s="249"/>
      <c r="M32" s="249"/>
      <c r="N32" s="249"/>
      <c r="O32" s="249"/>
      <c r="P32" s="249"/>
      <c r="Q32" s="249"/>
      <c r="R32" s="249"/>
      <c r="S32" s="249"/>
      <c r="T32" s="249"/>
      <c r="U32" s="249"/>
      <c r="V32" s="249"/>
      <c r="W32" s="249"/>
      <c r="X32" s="249"/>
      <c r="Y32" s="249"/>
      <c r="Z32" s="249"/>
      <c r="AA32" s="249"/>
      <c r="AB32" s="249"/>
      <c r="AC32" s="249"/>
      <c r="AD32" s="249"/>
      <c r="AE32" s="249"/>
      <c r="AF32" s="249"/>
      <c r="AG32" s="249"/>
    </row>
    <row r="33" customFormat="false" ht="16.5" hidden="false" customHeight="false" outlineLevel="0" collapsed="false">
      <c r="A33" s="244" t="s">
        <v>209</v>
      </c>
      <c r="B33" s="214" t="n">
        <f aca="false">VLOOKUP(A33,'TH theo khach hang'!$A$4:$C$309,2,FALSE())</f>
        <v>0</v>
      </c>
      <c r="C33" s="245" t="str">
        <f aca="false">IF(VLOOKUP(A33,'TH theo khach hang'!$A$4:$C$309,3,FALSE())=0, "", "x")</f>
        <v/>
      </c>
      <c r="D33" s="246" t="n">
        <f aca="false">F33-H33</f>
        <v>0</v>
      </c>
      <c r="E33" s="247" t="n">
        <f aca="false">G33-I33</f>
        <v>0</v>
      </c>
      <c r="F33" s="248" t="n">
        <f aca="false">VLOOKUP(A33,'TH theo khach hang'!$A$4:$G$309,4,FALSE())</f>
        <v>0</v>
      </c>
      <c r="G33" s="249" t="n">
        <f aca="false">VLOOKUP(A33,'TH theo khach hang'!$A$4:$G$309,5,FALSE())</f>
        <v>0</v>
      </c>
      <c r="H33" s="248" t="n">
        <f aca="false">J33+L33+N33+P33+R33+T33+V33+X33+Z33+AB33+AD33+AF33</f>
        <v>0</v>
      </c>
      <c r="I33" s="250" t="n">
        <f aca="false">K33+M33+O33+Q33+S33+U33+W33+Y33+AA33+AC33+AE33+AG33</f>
        <v>0</v>
      </c>
      <c r="J33" s="249"/>
      <c r="K33" s="249"/>
      <c r="L33" s="249"/>
      <c r="M33" s="249"/>
      <c r="N33" s="249"/>
      <c r="O33" s="249"/>
      <c r="P33" s="249"/>
      <c r="Q33" s="249"/>
      <c r="R33" s="249"/>
      <c r="S33" s="249"/>
      <c r="T33" s="249"/>
      <c r="U33" s="249"/>
      <c r="V33" s="249"/>
      <c r="W33" s="249"/>
      <c r="X33" s="249"/>
      <c r="Y33" s="249"/>
      <c r="Z33" s="249"/>
      <c r="AA33" s="249"/>
      <c r="AB33" s="249"/>
      <c r="AC33" s="249"/>
      <c r="AD33" s="249"/>
      <c r="AE33" s="249"/>
      <c r="AF33" s="249"/>
      <c r="AG33" s="249"/>
    </row>
    <row r="34" customFormat="false" ht="16.5" hidden="false" customHeight="false" outlineLevel="0" collapsed="false">
      <c r="A34" s="244" t="s">
        <v>210</v>
      </c>
      <c r="B34" s="214" t="n">
        <f aca="false">VLOOKUP(A34,'TH theo khach hang'!$A$4:$C$309,2,FALSE())</f>
        <v>0</v>
      </c>
      <c r="C34" s="245" t="str">
        <f aca="false">IF(VLOOKUP(A34,'TH theo khach hang'!$A$4:$C$309,3,FALSE())=0, "", "x")</f>
        <v/>
      </c>
      <c r="D34" s="246" t="n">
        <f aca="false">F34-H34</f>
        <v>0</v>
      </c>
      <c r="E34" s="247" t="n">
        <f aca="false">G34-I34</f>
        <v>0</v>
      </c>
      <c r="F34" s="248" t="n">
        <f aca="false">VLOOKUP(A34,'TH theo khach hang'!$A$4:$G$309,4,FALSE())</f>
        <v>0</v>
      </c>
      <c r="G34" s="249" t="n">
        <f aca="false">VLOOKUP(A34,'TH theo khach hang'!$A$4:$G$309,5,FALSE())</f>
        <v>0</v>
      </c>
      <c r="H34" s="248" t="n">
        <f aca="false">J34+L34+N34+P34+R34+T34+V34+X34+Z34+AB34+AD34+AF34</f>
        <v>0</v>
      </c>
      <c r="I34" s="250" t="n">
        <f aca="false">K34+M34+O34+Q34+S34+U34+W34+Y34+AA34+AC34+AE34+AG34</f>
        <v>0</v>
      </c>
      <c r="J34" s="249"/>
      <c r="K34" s="249"/>
      <c r="L34" s="249"/>
      <c r="M34" s="249"/>
      <c r="N34" s="249"/>
      <c r="O34" s="249"/>
      <c r="P34" s="249"/>
      <c r="Q34" s="249"/>
      <c r="R34" s="249"/>
      <c r="S34" s="249"/>
      <c r="T34" s="249"/>
      <c r="U34" s="249"/>
      <c r="V34" s="249"/>
      <c r="W34" s="249"/>
      <c r="X34" s="249"/>
      <c r="Y34" s="249"/>
      <c r="Z34" s="249"/>
      <c r="AA34" s="249"/>
      <c r="AB34" s="249"/>
      <c r="AC34" s="249"/>
      <c r="AD34" s="249"/>
      <c r="AE34" s="249"/>
      <c r="AF34" s="249"/>
      <c r="AG34" s="249"/>
    </row>
    <row r="35" customFormat="false" ht="16.5" hidden="false" customHeight="false" outlineLevel="0" collapsed="false">
      <c r="A35" s="244" t="s">
        <v>211</v>
      </c>
      <c r="B35" s="214" t="n">
        <f aca="false">VLOOKUP(A35,'TH theo khach hang'!$A$4:$C$309,2,FALSE())</f>
        <v>0</v>
      </c>
      <c r="C35" s="245" t="str">
        <f aca="false">IF(VLOOKUP(A35,'TH theo khach hang'!$A$4:$C$309,3,FALSE())=0, "", "x")</f>
        <v/>
      </c>
      <c r="D35" s="246" t="n">
        <f aca="false">F35-H35</f>
        <v>0</v>
      </c>
      <c r="E35" s="247" t="n">
        <f aca="false">G35-I35</f>
        <v>0</v>
      </c>
      <c r="F35" s="248" t="n">
        <f aca="false">VLOOKUP(A35,'TH theo khach hang'!$A$4:$G$309,4,FALSE())</f>
        <v>0</v>
      </c>
      <c r="G35" s="249" t="n">
        <f aca="false">VLOOKUP(A35,'TH theo khach hang'!$A$4:$G$309,5,FALSE())</f>
        <v>0</v>
      </c>
      <c r="H35" s="248" t="n">
        <f aca="false">J35+L35+N35+P35+R35+T35+V35+X35+Z35+AB35+AD35+AF35</f>
        <v>0</v>
      </c>
      <c r="I35" s="250" t="n">
        <f aca="false">K35+M35+O35+Q35+S35+U35+W35+Y35+AA35+AC35+AE35+AG35</f>
        <v>0</v>
      </c>
      <c r="J35" s="249"/>
      <c r="K35" s="249"/>
      <c r="L35" s="249"/>
      <c r="M35" s="249"/>
      <c r="N35" s="249"/>
      <c r="O35" s="249"/>
      <c r="P35" s="249"/>
      <c r="Q35" s="249"/>
      <c r="R35" s="249"/>
      <c r="S35" s="249"/>
      <c r="T35" s="249"/>
      <c r="U35" s="249"/>
      <c r="V35" s="249"/>
      <c r="W35" s="249"/>
      <c r="X35" s="249"/>
      <c r="Y35" s="249"/>
      <c r="Z35" s="249"/>
      <c r="AA35" s="249"/>
      <c r="AB35" s="249"/>
      <c r="AC35" s="249"/>
      <c r="AD35" s="249"/>
      <c r="AE35" s="249"/>
      <c r="AF35" s="249"/>
      <c r="AG35" s="249"/>
    </row>
    <row r="36" customFormat="false" ht="16.5" hidden="false" customHeight="false" outlineLevel="0" collapsed="false">
      <c r="A36" s="244" t="s">
        <v>212</v>
      </c>
      <c r="B36" s="214" t="n">
        <f aca="false">VLOOKUP(A36,'TH theo khach hang'!$A$4:$C$309,2,FALSE())</f>
        <v>0</v>
      </c>
      <c r="C36" s="245" t="str">
        <f aca="false">IF(VLOOKUP(A36,'TH theo khach hang'!$A$4:$C$309,3,FALSE())=0, "", "x")</f>
        <v/>
      </c>
      <c r="D36" s="246" t="n">
        <f aca="false">F36-H36</f>
        <v>0</v>
      </c>
      <c r="E36" s="247" t="n">
        <f aca="false">G36-I36</f>
        <v>0</v>
      </c>
      <c r="F36" s="248" t="n">
        <f aca="false">VLOOKUP(A36,'TH theo khach hang'!$A$4:$G$309,4,FALSE())</f>
        <v>0</v>
      </c>
      <c r="G36" s="249" t="n">
        <f aca="false">VLOOKUP(A36,'TH theo khach hang'!$A$4:$G$309,5,FALSE())</f>
        <v>0</v>
      </c>
      <c r="H36" s="248" t="n">
        <f aca="false">J36+L36+N36+P36+R36+T36+V36+X36+Z36+AB36+AD36+AF36</f>
        <v>0</v>
      </c>
      <c r="I36" s="250" t="n">
        <f aca="false">K36+M36+O36+Q36+S36+U36+W36+Y36+AA36+AC36+AE36+AG36</f>
        <v>0</v>
      </c>
      <c r="J36" s="249"/>
      <c r="K36" s="249"/>
      <c r="L36" s="249"/>
      <c r="M36" s="249"/>
      <c r="N36" s="249"/>
      <c r="O36" s="249"/>
      <c r="P36" s="249"/>
      <c r="Q36" s="249"/>
      <c r="R36" s="249"/>
      <c r="S36" s="249"/>
      <c r="T36" s="249"/>
      <c r="U36" s="249"/>
      <c r="V36" s="249"/>
      <c r="W36" s="249"/>
      <c r="X36" s="249"/>
      <c r="Y36" s="249"/>
      <c r="Z36" s="249"/>
      <c r="AA36" s="249"/>
      <c r="AB36" s="249"/>
      <c r="AC36" s="249"/>
      <c r="AD36" s="249"/>
      <c r="AE36" s="249"/>
      <c r="AF36" s="249"/>
      <c r="AG36" s="249"/>
    </row>
    <row r="37" customFormat="false" ht="16.5" hidden="false" customHeight="false" outlineLevel="0" collapsed="false">
      <c r="A37" s="244" t="s">
        <v>213</v>
      </c>
      <c r="B37" s="214" t="n">
        <f aca="false">VLOOKUP(A37,'TH theo khach hang'!$A$4:$C$309,2,FALSE())</f>
        <v>0</v>
      </c>
      <c r="C37" s="245" t="str">
        <f aca="false">IF(VLOOKUP(A37,'TH theo khach hang'!$A$4:$C$309,3,FALSE())=0, "", "x")</f>
        <v/>
      </c>
      <c r="D37" s="246" t="n">
        <f aca="false">F37-H37</f>
        <v>0</v>
      </c>
      <c r="E37" s="247" t="n">
        <f aca="false">G37-I37</f>
        <v>0</v>
      </c>
      <c r="F37" s="248" t="n">
        <f aca="false">VLOOKUP(A37,'TH theo khach hang'!$A$4:$G$309,4,FALSE())</f>
        <v>0</v>
      </c>
      <c r="G37" s="249" t="n">
        <f aca="false">VLOOKUP(A37,'TH theo khach hang'!$A$4:$G$309,5,FALSE())</f>
        <v>0</v>
      </c>
      <c r="H37" s="248" t="n">
        <f aca="false">J37+L37+N37+P37+R37+T37+V37+X37+Z37+AB37+AD37+AF37</f>
        <v>0</v>
      </c>
      <c r="I37" s="250" t="n">
        <f aca="false">K37+M37+O37+Q37+S37+U37+W37+Y37+AA37+AC37+AE37+AG37</f>
        <v>0</v>
      </c>
      <c r="J37" s="249"/>
      <c r="K37" s="249"/>
      <c r="L37" s="249"/>
      <c r="M37" s="249"/>
      <c r="N37" s="249"/>
      <c r="O37" s="249"/>
      <c r="P37" s="249"/>
      <c r="Q37" s="249"/>
      <c r="R37" s="249"/>
      <c r="S37" s="249"/>
      <c r="T37" s="249"/>
      <c r="U37" s="249"/>
      <c r="V37" s="249"/>
      <c r="W37" s="249"/>
      <c r="X37" s="249"/>
      <c r="Y37" s="249"/>
      <c r="Z37" s="249"/>
      <c r="AA37" s="249"/>
      <c r="AB37" s="249"/>
      <c r="AC37" s="249"/>
      <c r="AD37" s="249"/>
      <c r="AE37" s="249"/>
      <c r="AF37" s="249"/>
      <c r="AG37" s="249"/>
      <c r="AH37" s="251"/>
    </row>
    <row r="38" customFormat="false" ht="16.5" hidden="false" customHeight="false" outlineLevel="0" collapsed="false">
      <c r="A38" s="244" t="s">
        <v>214</v>
      </c>
      <c r="B38" s="214" t="n">
        <f aca="false">VLOOKUP(A38,'TH theo khach hang'!$A$4:$C$309,2,FALSE())</f>
        <v>0</v>
      </c>
      <c r="C38" s="245" t="str">
        <f aca="false">IF(VLOOKUP(A38,'TH theo khach hang'!$A$4:$C$309,3,FALSE())=0, "", "x")</f>
        <v/>
      </c>
      <c r="D38" s="246" t="n">
        <f aca="false">F38-H38</f>
        <v>0</v>
      </c>
      <c r="E38" s="247" t="n">
        <f aca="false">G38-I38</f>
        <v>0</v>
      </c>
      <c r="F38" s="248" t="n">
        <f aca="false">VLOOKUP(A38,'TH theo khach hang'!$A$4:$G$309,4,FALSE())</f>
        <v>0</v>
      </c>
      <c r="G38" s="249" t="n">
        <f aca="false">VLOOKUP(A38,'TH theo khach hang'!$A$4:$G$309,5,FALSE())</f>
        <v>0</v>
      </c>
      <c r="H38" s="248" t="n">
        <f aca="false">J38+L38+N38+P38+R38+T38+V38+X38+Z38+AB38+AD38+AF38</f>
        <v>0</v>
      </c>
      <c r="I38" s="250" t="n">
        <f aca="false">K38+M38+O38+Q38+S38+U38+W38+Y38+AA38+AC38+AE38+AG38</f>
        <v>0</v>
      </c>
      <c r="J38" s="249"/>
      <c r="K38" s="249"/>
      <c r="L38" s="249"/>
      <c r="M38" s="249"/>
      <c r="N38" s="249"/>
      <c r="O38" s="249"/>
      <c r="P38" s="249"/>
      <c r="Q38" s="249"/>
      <c r="R38" s="249"/>
      <c r="S38" s="249"/>
      <c r="T38" s="249"/>
      <c r="U38" s="249"/>
      <c r="V38" s="249"/>
      <c r="W38" s="249"/>
      <c r="X38" s="249"/>
      <c r="Y38" s="249"/>
      <c r="Z38" s="249"/>
      <c r="AA38" s="249"/>
      <c r="AB38" s="249"/>
      <c r="AC38" s="249"/>
      <c r="AD38" s="249"/>
      <c r="AE38" s="249"/>
      <c r="AF38" s="249"/>
      <c r="AG38" s="249"/>
      <c r="AH38" s="251"/>
    </row>
    <row r="39" customFormat="false" ht="16.5" hidden="false" customHeight="false" outlineLevel="0" collapsed="false">
      <c r="A39" s="244" t="s">
        <v>215</v>
      </c>
      <c r="B39" s="214" t="n">
        <f aca="false">VLOOKUP(A39,'TH theo khach hang'!$A$4:$C$309,2,FALSE())</f>
        <v>0</v>
      </c>
      <c r="C39" s="245" t="str">
        <f aca="false">IF(VLOOKUP(A39,'TH theo khach hang'!$A$4:$C$309,3,FALSE())=0, "", "x")</f>
        <v/>
      </c>
      <c r="D39" s="246" t="n">
        <f aca="false">F39-H39</f>
        <v>0</v>
      </c>
      <c r="E39" s="247" t="n">
        <f aca="false">G39-I39</f>
        <v>0</v>
      </c>
      <c r="F39" s="248" t="n">
        <f aca="false">VLOOKUP(A39,'TH theo khach hang'!$A$4:$G$309,4,FALSE())</f>
        <v>0</v>
      </c>
      <c r="G39" s="249" t="n">
        <f aca="false">VLOOKUP(A39,'TH theo khach hang'!$A$4:$G$309,5,FALSE())</f>
        <v>0</v>
      </c>
      <c r="H39" s="248" t="n">
        <f aca="false">J39+L39+N39+P39+R39+T39+V39+X39+Z39+AB39+AD39+AF39</f>
        <v>0</v>
      </c>
      <c r="I39" s="250" t="n">
        <f aca="false">K39+M39+O39+Q39+S39+U39+W39+Y39+AA39+AC39+AE39+AG39</f>
        <v>0</v>
      </c>
      <c r="J39" s="249"/>
      <c r="K39" s="249"/>
      <c r="L39" s="249"/>
      <c r="M39" s="249"/>
      <c r="N39" s="249"/>
      <c r="O39" s="249"/>
      <c r="P39" s="249"/>
      <c r="Q39" s="249"/>
      <c r="R39" s="249"/>
      <c r="S39" s="249"/>
      <c r="T39" s="249"/>
      <c r="U39" s="249"/>
      <c r="V39" s="249"/>
      <c r="W39" s="249"/>
      <c r="X39" s="249"/>
      <c r="Y39" s="249"/>
      <c r="Z39" s="249"/>
      <c r="AA39" s="249"/>
      <c r="AB39" s="249"/>
      <c r="AC39" s="249"/>
      <c r="AD39" s="249"/>
      <c r="AE39" s="249"/>
      <c r="AF39" s="249"/>
      <c r="AG39" s="249"/>
      <c r="AH39" s="251"/>
    </row>
    <row r="40" customFormat="false" ht="16.5" hidden="false" customHeight="false" outlineLevel="0" collapsed="false">
      <c r="A40" s="244" t="s">
        <v>216</v>
      </c>
      <c r="B40" s="214" t="n">
        <f aca="false">VLOOKUP(A40,'TH theo khach hang'!$A$4:$C$309,2,FALSE())</f>
        <v>0</v>
      </c>
      <c r="C40" s="245" t="str">
        <f aca="false">IF(VLOOKUP(A40,'TH theo khach hang'!$A$4:$C$309,3,FALSE())=0, "", "x")</f>
        <v/>
      </c>
      <c r="D40" s="246" t="n">
        <f aca="false">F40-H40</f>
        <v>0</v>
      </c>
      <c r="E40" s="247" t="n">
        <f aca="false">G40-I40</f>
        <v>0</v>
      </c>
      <c r="F40" s="248" t="n">
        <f aca="false">VLOOKUP(A40,'TH theo khach hang'!$A$4:$G$309,4,FALSE())</f>
        <v>0</v>
      </c>
      <c r="G40" s="249" t="n">
        <f aca="false">VLOOKUP(A40,'TH theo khach hang'!$A$4:$G$309,5,FALSE())</f>
        <v>0</v>
      </c>
      <c r="H40" s="248" t="n">
        <f aca="false">J40+L40+N40+P40+R40+T40+V40+X40+Z40+AB40+AD40+AF40</f>
        <v>0</v>
      </c>
      <c r="I40" s="250" t="n">
        <f aca="false">K40+M40+O40+Q40+S40+U40+W40+Y40+AA40+AC40+AE40+AG40</f>
        <v>0</v>
      </c>
      <c r="J40" s="249"/>
      <c r="K40" s="249"/>
      <c r="L40" s="249"/>
      <c r="M40" s="249"/>
      <c r="N40" s="249"/>
      <c r="O40" s="249"/>
      <c r="P40" s="249"/>
      <c r="Q40" s="249"/>
      <c r="R40" s="249"/>
      <c r="S40" s="249"/>
      <c r="T40" s="249"/>
      <c r="U40" s="249"/>
      <c r="V40" s="249"/>
      <c r="W40" s="249"/>
      <c r="X40" s="249"/>
      <c r="Y40" s="249"/>
      <c r="Z40" s="249"/>
      <c r="AA40" s="249"/>
      <c r="AB40" s="249"/>
      <c r="AC40" s="249"/>
      <c r="AD40" s="249"/>
      <c r="AE40" s="249"/>
      <c r="AF40" s="249"/>
      <c r="AG40" s="249"/>
      <c r="AH40" s="251"/>
    </row>
    <row r="41" customFormat="false" ht="16.5" hidden="false" customHeight="false" outlineLevel="0" collapsed="false">
      <c r="A41" s="244" t="s">
        <v>217</v>
      </c>
      <c r="B41" s="214" t="n">
        <f aca="false">VLOOKUP(A41,'TH theo khach hang'!$A$4:$C$309,2,FALSE())</f>
        <v>0</v>
      </c>
      <c r="C41" s="245" t="str">
        <f aca="false">IF(VLOOKUP(A41,'TH theo khach hang'!$A$4:$C$309,3,FALSE())=0, "", "x")</f>
        <v/>
      </c>
      <c r="D41" s="246" t="n">
        <f aca="false">F41-H41</f>
        <v>0</v>
      </c>
      <c r="E41" s="247" t="n">
        <f aca="false">G41-I41</f>
        <v>0</v>
      </c>
      <c r="F41" s="248" t="n">
        <f aca="false">VLOOKUP(A41,'TH theo khach hang'!$A$4:$G$309,4,FALSE())</f>
        <v>0</v>
      </c>
      <c r="G41" s="249" t="n">
        <f aca="false">VLOOKUP(A41,'TH theo khach hang'!$A$4:$G$309,5,FALSE())</f>
        <v>0</v>
      </c>
      <c r="H41" s="248" t="n">
        <f aca="false">J41+L41+N41+P41+R41+T41+V41+X41+Z41+AB41+AD41+AF41</f>
        <v>0</v>
      </c>
      <c r="I41" s="250" t="n">
        <f aca="false">K41+M41+O41+Q41+S41+U41+W41+Y41+AA41+AC41+AE41+AG41</f>
        <v>0</v>
      </c>
      <c r="J41" s="249"/>
      <c r="K41" s="249"/>
      <c r="L41" s="249"/>
      <c r="M41" s="249"/>
      <c r="N41" s="249"/>
      <c r="O41" s="249"/>
      <c r="P41" s="249"/>
      <c r="Q41" s="249"/>
      <c r="R41" s="249"/>
      <c r="S41" s="249"/>
      <c r="T41" s="249"/>
      <c r="U41" s="249"/>
      <c r="V41" s="249"/>
      <c r="W41" s="249"/>
      <c r="X41" s="249"/>
      <c r="Y41" s="249"/>
      <c r="Z41" s="249"/>
      <c r="AA41" s="249"/>
      <c r="AB41" s="249"/>
      <c r="AC41" s="249"/>
      <c r="AD41" s="249"/>
      <c r="AE41" s="249"/>
      <c r="AF41" s="249"/>
      <c r="AG41" s="249"/>
    </row>
    <row r="42" customFormat="false" ht="16.5" hidden="false" customHeight="false" outlineLevel="0" collapsed="false">
      <c r="A42" s="244" t="s">
        <v>218</v>
      </c>
      <c r="B42" s="214" t="n">
        <f aca="false">VLOOKUP(A42,'TH theo khach hang'!$A$4:$C$309,2,FALSE())</f>
        <v>0</v>
      </c>
      <c r="C42" s="245" t="str">
        <f aca="false">IF(VLOOKUP(A42,'TH theo khach hang'!$A$4:$C$309,3,FALSE())=0, "", "x")</f>
        <v/>
      </c>
      <c r="D42" s="246" t="n">
        <f aca="false">F42-H42</f>
        <v>0</v>
      </c>
      <c r="E42" s="247" t="n">
        <f aca="false">G42-I42</f>
        <v>0</v>
      </c>
      <c r="F42" s="248" t="n">
        <f aca="false">VLOOKUP(A42,'TH theo khach hang'!$A$4:$G$309,4,FALSE())</f>
        <v>0</v>
      </c>
      <c r="G42" s="249" t="n">
        <f aca="false">VLOOKUP(A42,'TH theo khach hang'!$A$4:$G$309,5,FALSE())</f>
        <v>0</v>
      </c>
      <c r="H42" s="248" t="n">
        <f aca="false">J42+L42+N42+P42+R42+T42+V42+X42+Z42+AB42+AD42+AF42</f>
        <v>0</v>
      </c>
      <c r="I42" s="250" t="n">
        <f aca="false">K42+M42+O42+Q42+S42+U42+W42+Y42+AA42+AC42+AE42+AG42</f>
        <v>0</v>
      </c>
      <c r="J42" s="249"/>
      <c r="K42" s="249"/>
      <c r="L42" s="249"/>
      <c r="M42" s="249"/>
      <c r="N42" s="249"/>
      <c r="O42" s="249"/>
      <c r="P42" s="249"/>
      <c r="Q42" s="249"/>
      <c r="R42" s="249"/>
      <c r="S42" s="249"/>
      <c r="T42" s="249"/>
      <c r="U42" s="249"/>
      <c r="V42" s="249"/>
      <c r="W42" s="249"/>
      <c r="X42" s="249"/>
      <c r="Y42" s="249"/>
      <c r="Z42" s="249"/>
      <c r="AA42" s="249"/>
      <c r="AB42" s="249"/>
      <c r="AC42" s="249"/>
      <c r="AD42" s="249"/>
      <c r="AE42" s="249"/>
      <c r="AF42" s="249"/>
      <c r="AG42" s="249"/>
    </row>
    <row r="43" customFormat="false" ht="16.5" hidden="false" customHeight="false" outlineLevel="0" collapsed="false">
      <c r="A43" s="244" t="s">
        <v>219</v>
      </c>
      <c r="B43" s="214" t="n">
        <f aca="false">VLOOKUP(A43,'TH theo khach hang'!$A$4:$C$309,2,FALSE())</f>
        <v>0</v>
      </c>
      <c r="C43" s="245" t="str">
        <f aca="false">IF(VLOOKUP(A43,'TH theo khach hang'!$A$4:$C$309,3,FALSE())=0, "", "x")</f>
        <v/>
      </c>
      <c r="D43" s="246" t="n">
        <f aca="false">F43-H43</f>
        <v>0</v>
      </c>
      <c r="E43" s="247" t="n">
        <f aca="false">G43-I43</f>
        <v>0</v>
      </c>
      <c r="F43" s="248" t="n">
        <f aca="false">VLOOKUP(A43,'TH theo khach hang'!$A$4:$G$309,4,FALSE())</f>
        <v>0</v>
      </c>
      <c r="G43" s="249" t="n">
        <f aca="false">VLOOKUP(A43,'TH theo khach hang'!$A$4:$G$309,5,FALSE())</f>
        <v>0</v>
      </c>
      <c r="H43" s="248" t="n">
        <f aca="false">J43+L43+N43+P43+R43+T43+V43+X43+Z43+AB43+AD43+AF43</f>
        <v>0</v>
      </c>
      <c r="I43" s="250" t="n">
        <f aca="false">K43+M43+O43+Q43+S43+U43+W43+Y43+AA43+AC43+AE43+AG43</f>
        <v>0</v>
      </c>
      <c r="J43" s="249"/>
      <c r="K43" s="249"/>
      <c r="L43" s="249"/>
      <c r="M43" s="249"/>
      <c r="N43" s="249"/>
      <c r="O43" s="249"/>
      <c r="P43" s="249"/>
      <c r="Q43" s="249"/>
      <c r="R43" s="249"/>
      <c r="S43" s="249"/>
      <c r="T43" s="249"/>
      <c r="U43" s="249"/>
      <c r="V43" s="249"/>
      <c r="W43" s="249"/>
      <c r="X43" s="249"/>
      <c r="Y43" s="249"/>
      <c r="Z43" s="249"/>
      <c r="AA43" s="249"/>
      <c r="AB43" s="249"/>
      <c r="AC43" s="249"/>
      <c r="AD43" s="249"/>
      <c r="AE43" s="249"/>
      <c r="AF43" s="249"/>
      <c r="AG43" s="249"/>
      <c r="AH43" s="251"/>
    </row>
    <row r="44" customFormat="false" ht="16.5" hidden="false" customHeight="false" outlineLevel="0" collapsed="false">
      <c r="A44" s="244" t="s">
        <v>220</v>
      </c>
      <c r="B44" s="214" t="n">
        <f aca="false">VLOOKUP(A44,'TH theo khach hang'!$A$4:$C$309,2,FALSE())</f>
        <v>0</v>
      </c>
      <c r="C44" s="245" t="str">
        <f aca="false">IF(VLOOKUP(A44,'TH theo khach hang'!$A$4:$C$309,3,FALSE())=0, "", "x")</f>
        <v/>
      </c>
      <c r="D44" s="246" t="n">
        <f aca="false">F44-H44</f>
        <v>0</v>
      </c>
      <c r="E44" s="247" t="n">
        <f aca="false">G44-I44</f>
        <v>0</v>
      </c>
      <c r="F44" s="248" t="n">
        <f aca="false">VLOOKUP(A44,'TH theo khach hang'!$A$4:$G$309,4,FALSE())</f>
        <v>0</v>
      </c>
      <c r="G44" s="249" t="n">
        <f aca="false">VLOOKUP(A44,'TH theo khach hang'!$A$4:$G$309,5,FALSE())</f>
        <v>0</v>
      </c>
      <c r="H44" s="248" t="n">
        <f aca="false">J44+L44+N44+P44+R44+T44+V44+X44+Z44+AB44+AD44+AF44</f>
        <v>0</v>
      </c>
      <c r="I44" s="250" t="n">
        <f aca="false">K44+M44+O44+Q44+S44+U44+W44+Y44+AA44+AC44+AE44+AG44</f>
        <v>0</v>
      </c>
      <c r="J44" s="249"/>
      <c r="K44" s="249"/>
      <c r="L44" s="249"/>
      <c r="M44" s="249"/>
      <c r="N44" s="249"/>
      <c r="O44" s="249"/>
      <c r="P44" s="249"/>
      <c r="Q44" s="249"/>
      <c r="R44" s="249"/>
      <c r="S44" s="249"/>
      <c r="T44" s="249"/>
      <c r="U44" s="249"/>
      <c r="V44" s="249"/>
      <c r="W44" s="249"/>
      <c r="X44" s="249"/>
      <c r="Y44" s="249"/>
      <c r="Z44" s="249"/>
      <c r="AA44" s="249"/>
      <c r="AB44" s="249"/>
      <c r="AC44" s="249"/>
      <c r="AD44" s="249"/>
      <c r="AE44" s="249"/>
      <c r="AF44" s="249"/>
      <c r="AG44" s="249"/>
    </row>
    <row r="45" customFormat="false" ht="16.5" hidden="false" customHeight="false" outlineLevel="0" collapsed="false">
      <c r="A45" s="244" t="s">
        <v>221</v>
      </c>
      <c r="B45" s="214" t="n">
        <f aca="false">VLOOKUP(A45,'TH theo khach hang'!$A$4:$C$309,2,FALSE())</f>
        <v>0</v>
      </c>
      <c r="C45" s="245" t="str">
        <f aca="false">IF(VLOOKUP(A45,'TH theo khach hang'!$A$4:$C$309,3,FALSE())=0, "", "x")</f>
        <v/>
      </c>
      <c r="D45" s="246" t="n">
        <f aca="false">F45-H45</f>
        <v>0</v>
      </c>
      <c r="E45" s="247" t="n">
        <f aca="false">G45-I45</f>
        <v>0</v>
      </c>
      <c r="F45" s="248" t="n">
        <f aca="false">VLOOKUP(A45,'TH theo khach hang'!$A$4:$G$309,4,FALSE())</f>
        <v>0</v>
      </c>
      <c r="G45" s="249" t="n">
        <f aca="false">VLOOKUP(A45,'TH theo khach hang'!$A$4:$G$309,5,FALSE())</f>
        <v>0</v>
      </c>
      <c r="H45" s="248" t="n">
        <f aca="false">J45+L45+N45+P45+R45+T45+V45+X45+Z45+AB45+AD45+AF45</f>
        <v>0</v>
      </c>
      <c r="I45" s="250" t="n">
        <f aca="false">K45+M45+O45+Q45+S45+U45+W45+Y45+AA45+AC45+AE45+AG45</f>
        <v>0</v>
      </c>
      <c r="J45" s="249"/>
      <c r="K45" s="249"/>
      <c r="L45" s="249"/>
      <c r="M45" s="249"/>
      <c r="N45" s="249"/>
      <c r="O45" s="249"/>
      <c r="P45" s="249"/>
      <c r="Q45" s="249"/>
      <c r="R45" s="249"/>
      <c r="S45" s="249"/>
      <c r="T45" s="249"/>
      <c r="U45" s="249"/>
      <c r="V45" s="249"/>
      <c r="W45" s="249"/>
      <c r="X45" s="249"/>
      <c r="Y45" s="249"/>
      <c r="Z45" s="249"/>
      <c r="AA45" s="249"/>
      <c r="AB45" s="249"/>
      <c r="AC45" s="249"/>
      <c r="AD45" s="249"/>
      <c r="AE45" s="249"/>
      <c r="AF45" s="249"/>
      <c r="AG45" s="249"/>
    </row>
    <row r="46" customFormat="false" ht="16.5" hidden="false" customHeight="false" outlineLevel="0" collapsed="false">
      <c r="A46" s="244" t="s">
        <v>222</v>
      </c>
      <c r="B46" s="214" t="n">
        <f aca="false">VLOOKUP(A46,'TH theo khach hang'!$A$4:$C$309,2,FALSE())</f>
        <v>0</v>
      </c>
      <c r="C46" s="245" t="str">
        <f aca="false">IF(VLOOKUP(A46,'TH theo khach hang'!$A$4:$C$309,3,FALSE())=0, "", "x")</f>
        <v/>
      </c>
      <c r="D46" s="246" t="n">
        <f aca="false">F46-H46</f>
        <v>0</v>
      </c>
      <c r="E46" s="247" t="n">
        <f aca="false">G46-I46</f>
        <v>0</v>
      </c>
      <c r="F46" s="248" t="n">
        <f aca="false">VLOOKUP(A46,'TH theo khach hang'!$A$4:$G$309,4,FALSE())</f>
        <v>0</v>
      </c>
      <c r="G46" s="249" t="n">
        <f aca="false">VLOOKUP(A46,'TH theo khach hang'!$A$4:$G$309,5,FALSE())</f>
        <v>0</v>
      </c>
      <c r="H46" s="248" t="n">
        <f aca="false">J46+L46+N46+P46+R46+T46+V46+X46+Z46+AB46+AD46+AF46</f>
        <v>0</v>
      </c>
      <c r="I46" s="250" t="n">
        <f aca="false">K46+M46+O46+Q46+S46+U46+W46+Y46+AA46+AC46+AE46+AG46</f>
        <v>0</v>
      </c>
      <c r="J46" s="249"/>
      <c r="K46" s="249"/>
      <c r="L46" s="249"/>
      <c r="M46" s="249"/>
      <c r="N46" s="249"/>
      <c r="O46" s="249"/>
      <c r="P46" s="249"/>
      <c r="Q46" s="249"/>
      <c r="R46" s="249"/>
      <c r="S46" s="249"/>
      <c r="T46" s="249"/>
      <c r="U46" s="249"/>
      <c r="V46" s="249"/>
      <c r="W46" s="249"/>
      <c r="X46" s="249"/>
      <c r="Y46" s="249"/>
      <c r="Z46" s="249"/>
      <c r="AA46" s="249"/>
      <c r="AB46" s="249"/>
      <c r="AC46" s="249"/>
      <c r="AD46" s="249"/>
      <c r="AE46" s="249"/>
      <c r="AF46" s="249"/>
      <c r="AG46" s="249"/>
      <c r="AH46" s="251"/>
    </row>
    <row r="47" customFormat="false" ht="16.5" hidden="false" customHeight="false" outlineLevel="0" collapsed="false">
      <c r="A47" s="244" t="s">
        <v>223</v>
      </c>
      <c r="B47" s="214" t="n">
        <f aca="false">VLOOKUP(A47,'TH theo khach hang'!$A$4:$C$309,2,FALSE())</f>
        <v>0</v>
      </c>
      <c r="C47" s="245" t="str">
        <f aca="false">IF(VLOOKUP(A47,'TH theo khach hang'!$A$4:$C$309,3,FALSE())=0, "", "x")</f>
        <v/>
      </c>
      <c r="D47" s="246" t="n">
        <f aca="false">F47-H47</f>
        <v>0</v>
      </c>
      <c r="E47" s="247" t="n">
        <f aca="false">G47-I47</f>
        <v>0</v>
      </c>
      <c r="F47" s="248" t="n">
        <f aca="false">VLOOKUP(A47,'TH theo khach hang'!$A$4:$G$309,4,FALSE())</f>
        <v>0</v>
      </c>
      <c r="G47" s="249" t="n">
        <f aca="false">VLOOKUP(A47,'TH theo khach hang'!$A$4:$G$309,5,FALSE())</f>
        <v>0</v>
      </c>
      <c r="H47" s="248" t="n">
        <f aca="false">J47+L47+N47+P47+R47+T47+V47+X47+Z47+AB47+AD47+AF47</f>
        <v>0</v>
      </c>
      <c r="I47" s="250" t="n">
        <f aca="false">K47+M47+O47+Q47+S47+U47+W47+Y47+AA47+AC47+AE47+AG47</f>
        <v>0</v>
      </c>
      <c r="J47" s="249"/>
      <c r="K47" s="249"/>
      <c r="L47" s="249"/>
      <c r="M47" s="249"/>
      <c r="N47" s="249"/>
      <c r="O47" s="249"/>
      <c r="P47" s="249"/>
      <c r="Q47" s="249"/>
      <c r="R47" s="249"/>
      <c r="S47" s="249"/>
      <c r="T47" s="249"/>
      <c r="U47" s="249"/>
      <c r="V47" s="249"/>
      <c r="W47" s="249"/>
      <c r="X47" s="249"/>
      <c r="Y47" s="249"/>
      <c r="Z47" s="249"/>
      <c r="AA47" s="249"/>
      <c r="AB47" s="249"/>
      <c r="AC47" s="249"/>
      <c r="AD47" s="249"/>
      <c r="AE47" s="249"/>
      <c r="AF47" s="249"/>
      <c r="AG47" s="249"/>
      <c r="AH47" s="251"/>
    </row>
    <row r="48" customFormat="false" ht="16.5" hidden="false" customHeight="false" outlineLevel="0" collapsed="false">
      <c r="A48" s="244" t="s">
        <v>224</v>
      </c>
      <c r="B48" s="214" t="n">
        <f aca="false">VLOOKUP(A48,'TH theo khach hang'!$A$4:$C$309,2,FALSE())</f>
        <v>0</v>
      </c>
      <c r="C48" s="245" t="str">
        <f aca="false">IF(VLOOKUP(A48,'TH theo khach hang'!$A$4:$C$309,3,FALSE())=0, "", "x")</f>
        <v/>
      </c>
      <c r="D48" s="246" t="n">
        <f aca="false">F48-H48</f>
        <v>0</v>
      </c>
      <c r="E48" s="247" t="n">
        <f aca="false">G48-I48</f>
        <v>0</v>
      </c>
      <c r="F48" s="248" t="n">
        <f aca="false">VLOOKUP(A48,'TH theo khach hang'!$A$4:$G$309,4,FALSE())</f>
        <v>0</v>
      </c>
      <c r="G48" s="249" t="n">
        <f aca="false">VLOOKUP(A48,'TH theo khach hang'!$A$4:$G$309,5,FALSE())</f>
        <v>0</v>
      </c>
      <c r="H48" s="248" t="n">
        <f aca="false">J48+L48+N48+P48+R48+T48+V48+X48+Z48+AB48+AD48+AF48</f>
        <v>0</v>
      </c>
      <c r="I48" s="250" t="n">
        <f aca="false">K48+M48+O48+Q48+S48+U48+W48+Y48+AA48+AC48+AE48+AG48</f>
        <v>0</v>
      </c>
      <c r="J48" s="249"/>
      <c r="K48" s="249"/>
      <c r="L48" s="249"/>
      <c r="M48" s="249"/>
      <c r="N48" s="249"/>
      <c r="O48" s="249"/>
      <c r="P48" s="249"/>
      <c r="Q48" s="249"/>
      <c r="R48" s="249"/>
      <c r="S48" s="249"/>
      <c r="T48" s="249"/>
      <c r="U48" s="249"/>
      <c r="V48" s="249"/>
      <c r="W48" s="249"/>
      <c r="X48" s="249"/>
      <c r="Y48" s="249"/>
      <c r="Z48" s="249"/>
      <c r="AA48" s="249"/>
      <c r="AB48" s="249"/>
      <c r="AC48" s="249"/>
      <c r="AD48" s="249"/>
      <c r="AE48" s="249"/>
      <c r="AF48" s="249"/>
      <c r="AG48" s="249"/>
      <c r="AH48" s="251"/>
    </row>
    <row r="49" customFormat="false" ht="16.5" hidden="false" customHeight="false" outlineLevel="0" collapsed="false">
      <c r="A49" s="244" t="s">
        <v>225</v>
      </c>
      <c r="B49" s="214" t="n">
        <f aca="false">VLOOKUP(A49,'TH theo khach hang'!$A$4:$C$309,2,FALSE())</f>
        <v>0</v>
      </c>
      <c r="C49" s="245" t="str">
        <f aca="false">IF(VLOOKUP(A49,'TH theo khach hang'!$A$4:$C$309,3,FALSE())=0, "", "x")</f>
        <v/>
      </c>
      <c r="D49" s="246" t="n">
        <f aca="false">F49-H49</f>
        <v>0</v>
      </c>
      <c r="E49" s="247" t="n">
        <f aca="false">G49-I49</f>
        <v>0</v>
      </c>
      <c r="F49" s="248" t="n">
        <f aca="false">VLOOKUP(A49,'TH theo khach hang'!$A$4:$G$309,4,FALSE())</f>
        <v>0</v>
      </c>
      <c r="G49" s="249" t="n">
        <f aca="false">VLOOKUP(A49,'TH theo khach hang'!$A$4:$G$309,5,FALSE())</f>
        <v>0</v>
      </c>
      <c r="H49" s="248" t="n">
        <f aca="false">J49+L49+N49+P49+R49+T49+V49+X49+Z49+AB49+AD49+AF49</f>
        <v>0</v>
      </c>
      <c r="I49" s="250" t="n">
        <f aca="false">K49+M49+O49+Q49+S49+U49+W49+Y49+AA49+AC49+AE49+AG49</f>
        <v>0</v>
      </c>
      <c r="J49" s="249"/>
      <c r="K49" s="249"/>
      <c r="L49" s="249"/>
      <c r="M49" s="249"/>
      <c r="N49" s="249"/>
      <c r="O49" s="249"/>
      <c r="P49" s="249"/>
      <c r="Q49" s="249"/>
      <c r="R49" s="249"/>
      <c r="S49" s="249"/>
      <c r="T49" s="249"/>
      <c r="U49" s="249"/>
      <c r="V49" s="249"/>
      <c r="W49" s="249"/>
      <c r="X49" s="249"/>
      <c r="Y49" s="249"/>
      <c r="Z49" s="249"/>
      <c r="AA49" s="249"/>
      <c r="AB49" s="249"/>
      <c r="AC49" s="249"/>
      <c r="AD49" s="249"/>
      <c r="AE49" s="249"/>
      <c r="AF49" s="249"/>
      <c r="AG49" s="249"/>
      <c r="AH49" s="251"/>
    </row>
    <row r="50" customFormat="false" ht="16.5" hidden="false" customHeight="false" outlineLevel="0" collapsed="false">
      <c r="A50" s="244" t="s">
        <v>226</v>
      </c>
      <c r="B50" s="214" t="n">
        <f aca="false">VLOOKUP(A50,'TH theo khach hang'!$A$4:$C$309,2,FALSE())</f>
        <v>0</v>
      </c>
      <c r="C50" s="245" t="str">
        <f aca="false">IF(VLOOKUP(A50,'TH theo khach hang'!$A$4:$C$309,3,FALSE())=0, "", "x")</f>
        <v/>
      </c>
      <c r="D50" s="246" t="n">
        <f aca="false">F50-H50</f>
        <v>0</v>
      </c>
      <c r="E50" s="247" t="n">
        <f aca="false">G50-I50</f>
        <v>0</v>
      </c>
      <c r="F50" s="248" t="n">
        <f aca="false">VLOOKUP(A50,'TH theo khach hang'!$A$4:$G$309,4,FALSE())</f>
        <v>0</v>
      </c>
      <c r="G50" s="249" t="n">
        <f aca="false">VLOOKUP(A50,'TH theo khach hang'!$A$4:$G$309,5,FALSE())</f>
        <v>0</v>
      </c>
      <c r="H50" s="248" t="n">
        <f aca="false">J50+L50+N50+P50+R50+T50+V50+X50+Z50+AB50+AD50+AF50</f>
        <v>0</v>
      </c>
      <c r="I50" s="250" t="n">
        <f aca="false">K50+M50+O50+Q50+S50+U50+W50+Y50+AA50+AC50+AE50+AG50</f>
        <v>0</v>
      </c>
      <c r="J50" s="249"/>
      <c r="K50" s="249"/>
      <c r="L50" s="249"/>
      <c r="M50" s="249"/>
      <c r="N50" s="249"/>
      <c r="O50" s="249"/>
      <c r="P50" s="249"/>
      <c r="Q50" s="249"/>
      <c r="R50" s="249"/>
      <c r="S50" s="249"/>
      <c r="T50" s="249"/>
      <c r="U50" s="249"/>
      <c r="V50" s="249"/>
      <c r="W50" s="249"/>
      <c r="X50" s="249"/>
      <c r="Y50" s="249"/>
      <c r="Z50" s="249"/>
      <c r="AA50" s="249"/>
      <c r="AB50" s="249"/>
      <c r="AC50" s="249"/>
      <c r="AD50" s="249"/>
      <c r="AE50" s="249"/>
      <c r="AF50" s="249"/>
      <c r="AG50" s="249"/>
      <c r="AH50" s="251"/>
    </row>
    <row r="51" customFormat="false" ht="16.5" hidden="false" customHeight="false" outlineLevel="0" collapsed="false">
      <c r="A51" s="244" t="s">
        <v>227</v>
      </c>
      <c r="B51" s="214" t="n">
        <f aca="false">VLOOKUP(A51,'TH theo khach hang'!$A$4:$C$309,2,FALSE())</f>
        <v>0</v>
      </c>
      <c r="C51" s="245" t="str">
        <f aca="false">IF(VLOOKUP(A51,'TH theo khach hang'!$A$4:$C$309,3,FALSE())=0, "", "x")</f>
        <v/>
      </c>
      <c r="D51" s="246" t="n">
        <f aca="false">F51-H51</f>
        <v>0</v>
      </c>
      <c r="E51" s="247" t="n">
        <f aca="false">G51-I51</f>
        <v>0</v>
      </c>
      <c r="F51" s="248" t="n">
        <f aca="false">VLOOKUP(A51,'TH theo khach hang'!$A$4:$G$309,4,FALSE())</f>
        <v>0</v>
      </c>
      <c r="G51" s="249" t="n">
        <f aca="false">VLOOKUP(A51,'TH theo khach hang'!$A$4:$G$309,5,FALSE())</f>
        <v>0</v>
      </c>
      <c r="H51" s="248" t="n">
        <f aca="false">J51+L51+N51+P51+R51+T51+V51+X51+Z51+AB51+AD51+AF51</f>
        <v>0</v>
      </c>
      <c r="I51" s="250" t="n">
        <f aca="false">K51+M51+O51+Q51+S51+U51+W51+Y51+AA51+AC51+AE51+AG51</f>
        <v>0</v>
      </c>
      <c r="J51" s="249"/>
      <c r="K51" s="249"/>
      <c r="L51" s="249"/>
      <c r="M51" s="249"/>
      <c r="N51" s="249"/>
      <c r="O51" s="249"/>
      <c r="P51" s="249"/>
      <c r="Q51" s="249"/>
      <c r="R51" s="249"/>
      <c r="S51" s="249"/>
      <c r="T51" s="249"/>
      <c r="U51" s="249"/>
      <c r="V51" s="249"/>
      <c r="W51" s="249"/>
      <c r="X51" s="249"/>
      <c r="Y51" s="249"/>
      <c r="Z51" s="249"/>
      <c r="AA51" s="249"/>
      <c r="AB51" s="249"/>
      <c r="AC51" s="249"/>
      <c r="AD51" s="249"/>
      <c r="AE51" s="249"/>
      <c r="AF51" s="249"/>
      <c r="AG51" s="249"/>
      <c r="AH51" s="251"/>
    </row>
    <row r="52" customFormat="false" ht="16.5" hidden="false" customHeight="false" outlineLevel="0" collapsed="false">
      <c r="A52" s="244" t="s">
        <v>228</v>
      </c>
      <c r="B52" s="214" t="n">
        <f aca="false">VLOOKUP(A52,'TH theo khach hang'!$A$4:$C$309,2,FALSE())</f>
        <v>0</v>
      </c>
      <c r="C52" s="245" t="str">
        <f aca="false">IF(VLOOKUP(A52,'TH theo khach hang'!$A$4:$C$309,3,FALSE())=0, "", "x")</f>
        <v/>
      </c>
      <c r="D52" s="246" t="n">
        <f aca="false">F52-H52</f>
        <v>0</v>
      </c>
      <c r="E52" s="247" t="n">
        <f aca="false">G52-I52</f>
        <v>0</v>
      </c>
      <c r="F52" s="248" t="n">
        <f aca="false">VLOOKUP(A52,'TH theo khach hang'!$A$4:$G$309,4,FALSE())</f>
        <v>0</v>
      </c>
      <c r="G52" s="249" t="n">
        <f aca="false">VLOOKUP(A52,'TH theo khach hang'!$A$4:$G$309,5,FALSE())</f>
        <v>0</v>
      </c>
      <c r="H52" s="248" t="n">
        <f aca="false">J52+L52+N52+P52+R52+T52+V52+X52+Z52+AB52+AD52+AF52</f>
        <v>0</v>
      </c>
      <c r="I52" s="250" t="n">
        <f aca="false">K52+M52+O52+Q52+S52+U52+W52+Y52+AA52+AC52+AE52+AG52</f>
        <v>0</v>
      </c>
      <c r="J52" s="249"/>
      <c r="K52" s="249"/>
      <c r="L52" s="249"/>
      <c r="M52" s="249"/>
      <c r="N52" s="249"/>
      <c r="O52" s="249"/>
      <c r="P52" s="249"/>
      <c r="Q52" s="249"/>
      <c r="R52" s="249"/>
      <c r="S52" s="249"/>
      <c r="T52" s="249"/>
      <c r="U52" s="249"/>
      <c r="V52" s="249"/>
      <c r="W52" s="249"/>
      <c r="X52" s="249"/>
      <c r="Y52" s="249"/>
      <c r="Z52" s="249"/>
      <c r="AA52" s="249"/>
      <c r="AB52" s="249"/>
      <c r="AC52" s="249"/>
      <c r="AD52" s="249"/>
      <c r="AE52" s="249"/>
      <c r="AF52" s="249"/>
      <c r="AG52" s="249"/>
      <c r="AH52" s="251"/>
    </row>
    <row r="53" customFormat="false" ht="16.5" hidden="false" customHeight="false" outlineLevel="0" collapsed="false">
      <c r="A53" s="244" t="s">
        <v>229</v>
      </c>
      <c r="B53" s="214" t="n">
        <f aca="false">VLOOKUP(A53,'TH theo khach hang'!$A$4:$C$309,2,FALSE())</f>
        <v>0</v>
      </c>
      <c r="C53" s="245" t="str">
        <f aca="false">IF(VLOOKUP(A53,'TH theo khach hang'!$A$4:$C$309,3,FALSE())=0, "", "x")</f>
        <v/>
      </c>
      <c r="D53" s="246" t="n">
        <f aca="false">F53-H53</f>
        <v>0</v>
      </c>
      <c r="E53" s="247" t="n">
        <f aca="false">G53-I53</f>
        <v>0</v>
      </c>
      <c r="F53" s="248" t="n">
        <f aca="false">VLOOKUP(A53,'TH theo khach hang'!$A$4:$G$309,4,FALSE())</f>
        <v>0</v>
      </c>
      <c r="G53" s="249" t="n">
        <f aca="false">VLOOKUP(A53,'TH theo khach hang'!$A$4:$G$309,5,FALSE())</f>
        <v>0</v>
      </c>
      <c r="H53" s="248" t="n">
        <f aca="false">J53+L53+N53+P53+R53+T53+V53+X53+Z53+AB53+AD53+AF53</f>
        <v>0</v>
      </c>
      <c r="I53" s="250" t="n">
        <f aca="false">K53+M53+O53+Q53+S53+U53+W53+Y53+AA53+AC53+AE53+AG53</f>
        <v>0</v>
      </c>
      <c r="J53" s="249"/>
      <c r="K53" s="249"/>
      <c r="L53" s="249"/>
      <c r="M53" s="249"/>
      <c r="N53" s="249"/>
      <c r="O53" s="249"/>
      <c r="P53" s="249"/>
      <c r="Q53" s="249"/>
      <c r="R53" s="249"/>
      <c r="S53" s="249"/>
      <c r="T53" s="249"/>
      <c r="U53" s="249"/>
      <c r="V53" s="249"/>
      <c r="W53" s="249"/>
      <c r="X53" s="249"/>
      <c r="Y53" s="249"/>
      <c r="Z53" s="249"/>
      <c r="AA53" s="249"/>
      <c r="AB53" s="249"/>
      <c r="AC53" s="249"/>
      <c r="AD53" s="249"/>
      <c r="AE53" s="249"/>
      <c r="AF53" s="249"/>
      <c r="AG53" s="249"/>
      <c r="AH53" s="251"/>
    </row>
    <row r="54" customFormat="false" ht="16.5" hidden="false" customHeight="false" outlineLevel="0" collapsed="false">
      <c r="A54" s="244" t="s">
        <v>230</v>
      </c>
      <c r="B54" s="214" t="n">
        <f aca="false">VLOOKUP(A54,'TH theo khach hang'!$A$4:$C$309,2,FALSE())</f>
        <v>0</v>
      </c>
      <c r="C54" s="245" t="str">
        <f aca="false">IF(VLOOKUP(A54,'TH theo khach hang'!$A$4:$C$309,3,FALSE())=0, "", "x")</f>
        <v/>
      </c>
      <c r="D54" s="246" t="n">
        <f aca="false">F54-H54</f>
        <v>0</v>
      </c>
      <c r="E54" s="247" t="n">
        <f aca="false">G54-I54</f>
        <v>0</v>
      </c>
      <c r="F54" s="248" t="n">
        <f aca="false">VLOOKUP(A54,'TH theo khach hang'!$A$4:$G$309,4,FALSE())</f>
        <v>0</v>
      </c>
      <c r="G54" s="249" t="n">
        <f aca="false">VLOOKUP(A54,'TH theo khach hang'!$A$4:$G$309,5,FALSE())</f>
        <v>0</v>
      </c>
      <c r="H54" s="248" t="n">
        <f aca="false">J54+L54+N54+P54+R54+T54+V54+X54+Z54+AB54+AD54+AF54</f>
        <v>0</v>
      </c>
      <c r="I54" s="250" t="n">
        <f aca="false">K54+M54+O54+Q54+S54+U54+W54+Y54+AA54+AC54+AE54+AG54</f>
        <v>0</v>
      </c>
      <c r="J54" s="249"/>
      <c r="K54" s="249"/>
      <c r="L54" s="249"/>
      <c r="M54" s="249"/>
      <c r="N54" s="249"/>
      <c r="O54" s="249"/>
      <c r="P54" s="249"/>
      <c r="Q54" s="249"/>
      <c r="R54" s="249"/>
      <c r="S54" s="249"/>
      <c r="T54" s="249"/>
      <c r="U54" s="249"/>
      <c r="V54" s="249"/>
      <c r="W54" s="249"/>
      <c r="X54" s="249"/>
      <c r="Y54" s="249"/>
      <c r="Z54" s="249"/>
      <c r="AA54" s="249"/>
      <c r="AB54" s="249"/>
      <c r="AC54" s="249"/>
      <c r="AD54" s="249"/>
      <c r="AE54" s="249"/>
      <c r="AF54" s="249"/>
      <c r="AG54" s="249"/>
      <c r="AH54" s="251"/>
    </row>
    <row r="55" customFormat="false" ht="16.5" hidden="false" customHeight="false" outlineLevel="0" collapsed="false">
      <c r="A55" s="244" t="s">
        <v>231</v>
      </c>
      <c r="B55" s="214" t="n">
        <f aca="false">VLOOKUP(A55,'TH theo khach hang'!$A$4:$C$309,2,FALSE())</f>
        <v>0</v>
      </c>
      <c r="C55" s="245" t="str">
        <f aca="false">IF(VLOOKUP(A55,'TH theo khach hang'!$A$4:$C$309,3,FALSE())=0, "", "x")</f>
        <v/>
      </c>
      <c r="D55" s="246" t="n">
        <f aca="false">F55-H55</f>
        <v>0</v>
      </c>
      <c r="E55" s="247" t="n">
        <f aca="false">G55-I55</f>
        <v>0</v>
      </c>
      <c r="F55" s="248" t="n">
        <f aca="false">VLOOKUP(A55,'TH theo khach hang'!$A$4:$G$309,4,FALSE())</f>
        <v>0</v>
      </c>
      <c r="G55" s="249" t="n">
        <f aca="false">VLOOKUP(A55,'TH theo khach hang'!$A$4:$G$309,5,FALSE())</f>
        <v>0</v>
      </c>
      <c r="H55" s="248" t="n">
        <f aca="false">J55+L55+N55+P55+R55+T55+V55+X55+Z55+AB55+AD55+AF55</f>
        <v>0</v>
      </c>
      <c r="I55" s="250" t="n">
        <f aca="false">K55+M55+O55+Q55+S55+U55+W55+Y55+AA55+AC55+AE55+AG55</f>
        <v>0</v>
      </c>
      <c r="J55" s="249"/>
      <c r="K55" s="249"/>
      <c r="L55" s="249"/>
      <c r="M55" s="249"/>
      <c r="N55" s="249"/>
      <c r="O55" s="249"/>
      <c r="P55" s="249"/>
      <c r="Q55" s="249"/>
      <c r="R55" s="249"/>
      <c r="S55" s="249"/>
      <c r="T55" s="249"/>
      <c r="U55" s="249"/>
      <c r="V55" s="249"/>
      <c r="W55" s="249"/>
      <c r="X55" s="249"/>
      <c r="Y55" s="249"/>
      <c r="Z55" s="249"/>
      <c r="AA55" s="249"/>
      <c r="AB55" s="249"/>
      <c r="AC55" s="249"/>
      <c r="AD55" s="249"/>
      <c r="AE55" s="249"/>
      <c r="AF55" s="249"/>
      <c r="AG55" s="249"/>
      <c r="AH55" s="251"/>
    </row>
    <row r="56" customFormat="false" ht="16.5" hidden="false" customHeight="false" outlineLevel="0" collapsed="false">
      <c r="A56" s="244" t="s">
        <v>232</v>
      </c>
      <c r="B56" s="214" t="n">
        <f aca="false">VLOOKUP(A56,'TH theo khach hang'!$A$4:$C$309,2,FALSE())</f>
        <v>0</v>
      </c>
      <c r="C56" s="245" t="str">
        <f aca="false">IF(VLOOKUP(A56,'TH theo khach hang'!$A$4:$C$309,3,FALSE())=0, "", "x")</f>
        <v/>
      </c>
      <c r="D56" s="246" t="n">
        <f aca="false">F56-H56</f>
        <v>0</v>
      </c>
      <c r="E56" s="247" t="n">
        <f aca="false">G56-I56</f>
        <v>0</v>
      </c>
      <c r="F56" s="248" t="n">
        <f aca="false">VLOOKUP(A56,'TH theo khach hang'!$A$4:$G$309,4,FALSE())</f>
        <v>0</v>
      </c>
      <c r="G56" s="249" t="n">
        <f aca="false">VLOOKUP(A56,'TH theo khach hang'!$A$4:$G$309,5,FALSE())</f>
        <v>0</v>
      </c>
      <c r="H56" s="248" t="n">
        <f aca="false">J56+L56+N56+P56+R56+T56+V56+X56+Z56+AB56+AD56+AF56</f>
        <v>0</v>
      </c>
      <c r="I56" s="250" t="n">
        <f aca="false">K56+M56+O56+Q56+S56+U56+W56+Y56+AA56+AC56+AE56+AG56</f>
        <v>0</v>
      </c>
      <c r="J56" s="249"/>
      <c r="K56" s="249"/>
      <c r="L56" s="249"/>
      <c r="M56" s="249"/>
      <c r="N56" s="249"/>
      <c r="O56" s="249"/>
      <c r="P56" s="249"/>
      <c r="Q56" s="249"/>
      <c r="R56" s="249"/>
      <c r="S56" s="249"/>
      <c r="T56" s="249"/>
      <c r="U56" s="249"/>
      <c r="V56" s="249"/>
      <c r="W56" s="249"/>
      <c r="X56" s="249"/>
      <c r="Y56" s="249"/>
      <c r="Z56" s="249"/>
      <c r="AA56" s="249"/>
      <c r="AB56" s="249"/>
      <c r="AC56" s="249"/>
      <c r="AD56" s="249"/>
      <c r="AE56" s="249"/>
      <c r="AF56" s="249"/>
      <c r="AG56" s="249"/>
      <c r="AH56" s="251"/>
    </row>
    <row r="57" customFormat="false" ht="16.5" hidden="false" customHeight="false" outlineLevel="0" collapsed="false">
      <c r="A57" s="244" t="s">
        <v>233</v>
      </c>
      <c r="B57" s="214" t="n">
        <f aca="false">VLOOKUP(A57,'TH theo khach hang'!$A$4:$C$309,2,FALSE())</f>
        <v>0</v>
      </c>
      <c r="C57" s="245" t="str">
        <f aca="false">IF(VLOOKUP(A57,'TH theo khach hang'!$A$4:$C$309,3,FALSE())=0, "", "x")</f>
        <v/>
      </c>
      <c r="D57" s="246" t="n">
        <f aca="false">F57-H57</f>
        <v>0</v>
      </c>
      <c r="E57" s="247" t="n">
        <f aca="false">G57-I57</f>
        <v>0</v>
      </c>
      <c r="F57" s="248" t="n">
        <f aca="false">VLOOKUP(A57,'TH theo khach hang'!$A$4:$G$309,4,FALSE())</f>
        <v>0</v>
      </c>
      <c r="G57" s="249" t="n">
        <f aca="false">VLOOKUP(A57,'TH theo khach hang'!$A$4:$G$309,5,FALSE())</f>
        <v>0</v>
      </c>
      <c r="H57" s="248" t="n">
        <f aca="false">J57+L57+N57+P57+R57+T57+V57+X57+Z57+AB57+AD57+AF57</f>
        <v>0</v>
      </c>
      <c r="I57" s="250" t="n">
        <f aca="false">K57+M57+O57+Q57+S57+U57+W57+Y57+AA57+AC57+AE57+AG57</f>
        <v>0</v>
      </c>
      <c r="J57" s="249"/>
      <c r="K57" s="249"/>
      <c r="L57" s="249"/>
      <c r="M57" s="249"/>
      <c r="N57" s="249"/>
      <c r="O57" s="249"/>
      <c r="P57" s="249"/>
      <c r="Q57" s="249"/>
      <c r="R57" s="249"/>
      <c r="S57" s="249"/>
      <c r="T57" s="249"/>
      <c r="U57" s="249"/>
      <c r="V57" s="249"/>
      <c r="W57" s="249"/>
      <c r="X57" s="249"/>
      <c r="Y57" s="249"/>
      <c r="Z57" s="249"/>
      <c r="AA57" s="249"/>
      <c r="AB57" s="249"/>
      <c r="AC57" s="249"/>
      <c r="AD57" s="249"/>
      <c r="AE57" s="249"/>
      <c r="AF57" s="249"/>
      <c r="AG57" s="249"/>
      <c r="AH57" s="251"/>
    </row>
    <row r="58" customFormat="false" ht="16.5" hidden="false" customHeight="false" outlineLevel="0" collapsed="false">
      <c r="A58" s="244" t="s">
        <v>234</v>
      </c>
      <c r="B58" s="214" t="n">
        <f aca="false">VLOOKUP(A58,'TH theo khach hang'!$A$4:$C$309,2,FALSE())</f>
        <v>0</v>
      </c>
      <c r="C58" s="245" t="str">
        <f aca="false">IF(VLOOKUP(A58,'TH theo khach hang'!$A$4:$C$309,3,FALSE())=0, "", "x")</f>
        <v/>
      </c>
      <c r="D58" s="246" t="n">
        <f aca="false">F58-H58</f>
        <v>0</v>
      </c>
      <c r="E58" s="247" t="n">
        <f aca="false">G58-I58</f>
        <v>0</v>
      </c>
      <c r="F58" s="248" t="n">
        <f aca="false">VLOOKUP(A58,'TH theo khach hang'!$A$4:$G$309,4,FALSE())</f>
        <v>0</v>
      </c>
      <c r="G58" s="249" t="n">
        <f aca="false">VLOOKUP(A58,'TH theo khach hang'!$A$4:$G$309,5,FALSE())</f>
        <v>0</v>
      </c>
      <c r="H58" s="248" t="n">
        <f aca="false">J58+L58+N58+P58+R58+T58+V58+X58+Z58+AB58+AD58+AF58</f>
        <v>0</v>
      </c>
      <c r="I58" s="250" t="n">
        <f aca="false">K58+M58+O58+Q58+S58+U58+W58+Y58+AA58+AC58+AE58+AG58</f>
        <v>0</v>
      </c>
      <c r="J58" s="249"/>
      <c r="K58" s="249"/>
      <c r="L58" s="249"/>
      <c r="M58" s="249"/>
      <c r="N58" s="249"/>
      <c r="O58" s="249"/>
      <c r="P58" s="249"/>
      <c r="Q58" s="249"/>
      <c r="R58" s="249"/>
      <c r="S58" s="249"/>
      <c r="T58" s="249"/>
      <c r="U58" s="249"/>
      <c r="V58" s="249"/>
      <c r="W58" s="249"/>
      <c r="X58" s="249"/>
      <c r="Y58" s="249"/>
      <c r="Z58" s="249"/>
      <c r="AA58" s="249"/>
      <c r="AB58" s="249"/>
      <c r="AC58" s="249"/>
      <c r="AD58" s="249"/>
      <c r="AE58" s="249"/>
      <c r="AF58" s="249"/>
      <c r="AG58" s="249"/>
      <c r="AH58" s="251"/>
    </row>
    <row r="59" customFormat="false" ht="16.5" hidden="false" customHeight="false" outlineLevel="0" collapsed="false">
      <c r="A59" s="244" t="s">
        <v>235</v>
      </c>
      <c r="B59" s="214" t="n">
        <f aca="false">VLOOKUP(A59,'TH theo khach hang'!$A$4:$C$309,2,FALSE())</f>
        <v>0</v>
      </c>
      <c r="C59" s="245" t="str">
        <f aca="false">IF(VLOOKUP(A59,'TH theo khach hang'!$A$4:$C$309,3,FALSE())=0, "", "x")</f>
        <v/>
      </c>
      <c r="D59" s="246" t="n">
        <f aca="false">F59-H59</f>
        <v>0</v>
      </c>
      <c r="E59" s="247" t="n">
        <f aca="false">G59-I59</f>
        <v>0</v>
      </c>
      <c r="F59" s="248" t="n">
        <f aca="false">VLOOKUP(A59,'TH theo khach hang'!$A$4:$G$309,4,FALSE())</f>
        <v>0</v>
      </c>
      <c r="G59" s="249" t="n">
        <f aca="false">VLOOKUP(A59,'TH theo khach hang'!$A$4:$G$309,5,FALSE())</f>
        <v>0</v>
      </c>
      <c r="H59" s="248" t="n">
        <f aca="false">J59+L59+N59+P59+R59+T59+V59+X59+Z59+AB59+AD59+AF59</f>
        <v>0</v>
      </c>
      <c r="I59" s="250" t="n">
        <f aca="false">K59+M59+O59+Q59+S59+U59+W59+Y59+AA59+AC59+AE59+AG59</f>
        <v>0</v>
      </c>
      <c r="J59" s="249"/>
      <c r="K59" s="249"/>
      <c r="L59" s="249"/>
      <c r="M59" s="249"/>
      <c r="N59" s="249"/>
      <c r="O59" s="249"/>
      <c r="P59" s="249"/>
      <c r="Q59" s="249"/>
      <c r="R59" s="249"/>
      <c r="S59" s="249"/>
      <c r="T59" s="249"/>
      <c r="U59" s="249"/>
      <c r="V59" s="249"/>
      <c r="W59" s="249"/>
      <c r="X59" s="249"/>
      <c r="Y59" s="249"/>
      <c r="Z59" s="249"/>
      <c r="AA59" s="249"/>
      <c r="AB59" s="249"/>
      <c r="AC59" s="249"/>
      <c r="AD59" s="249"/>
      <c r="AE59" s="249"/>
      <c r="AF59" s="249"/>
      <c r="AG59" s="249"/>
      <c r="AH59" s="251"/>
    </row>
    <row r="60" customFormat="false" ht="16.5" hidden="false" customHeight="false" outlineLevel="0" collapsed="false">
      <c r="A60" s="244" t="s">
        <v>236</v>
      </c>
      <c r="B60" s="214" t="n">
        <f aca="false">VLOOKUP(A60,'TH theo khach hang'!$A$4:$C$309,2,FALSE())</f>
        <v>0</v>
      </c>
      <c r="C60" s="245" t="str">
        <f aca="false">IF(VLOOKUP(A60,'TH theo khach hang'!$A$4:$C$309,3,FALSE())=0, "", "x")</f>
        <v/>
      </c>
      <c r="D60" s="246" t="n">
        <f aca="false">F60-H60</f>
        <v>0</v>
      </c>
      <c r="E60" s="247" t="n">
        <f aca="false">G60-I60</f>
        <v>0</v>
      </c>
      <c r="F60" s="248" t="n">
        <f aca="false">VLOOKUP(A60,'TH theo khach hang'!$A$4:$G$309,4,FALSE())</f>
        <v>0</v>
      </c>
      <c r="G60" s="249" t="n">
        <f aca="false">VLOOKUP(A60,'TH theo khach hang'!$A$4:$G$309,5,FALSE())</f>
        <v>0</v>
      </c>
      <c r="H60" s="248" t="n">
        <f aca="false">J60+L60+N60+P60+R60+T60+V60+X60+Z60+AB60+AD60+AF60</f>
        <v>0</v>
      </c>
      <c r="I60" s="250" t="n">
        <f aca="false">K60+M60+O60+Q60+S60+U60+W60+Y60+AA60+AC60+AE60+AG60</f>
        <v>0</v>
      </c>
      <c r="J60" s="249"/>
      <c r="K60" s="249"/>
      <c r="L60" s="249"/>
      <c r="M60" s="249"/>
      <c r="N60" s="249"/>
      <c r="O60" s="249"/>
      <c r="P60" s="249"/>
      <c r="Q60" s="249"/>
      <c r="R60" s="249"/>
      <c r="S60" s="249"/>
      <c r="T60" s="249"/>
      <c r="U60" s="249"/>
      <c r="V60" s="249"/>
      <c r="W60" s="249"/>
      <c r="X60" s="249"/>
      <c r="Y60" s="249"/>
      <c r="Z60" s="249"/>
      <c r="AA60" s="249"/>
      <c r="AB60" s="249"/>
      <c r="AC60" s="249"/>
      <c r="AD60" s="249"/>
      <c r="AE60" s="249"/>
      <c r="AF60" s="249"/>
      <c r="AG60" s="249"/>
      <c r="AH60" s="251"/>
    </row>
    <row r="61" customFormat="false" ht="16.5" hidden="false" customHeight="false" outlineLevel="0" collapsed="false">
      <c r="A61" s="244" t="s">
        <v>237</v>
      </c>
      <c r="B61" s="214" t="n">
        <f aca="false">VLOOKUP(A61,'TH theo khach hang'!$A$4:$C$309,2,FALSE())</f>
        <v>0</v>
      </c>
      <c r="C61" s="245" t="str">
        <f aca="false">IF(VLOOKUP(A61,'TH theo khach hang'!$A$4:$C$309,3,FALSE())=0, "", "x")</f>
        <v/>
      </c>
      <c r="D61" s="246" t="n">
        <f aca="false">F61-H61</f>
        <v>0</v>
      </c>
      <c r="E61" s="247" t="n">
        <f aca="false">G61-I61</f>
        <v>0</v>
      </c>
      <c r="F61" s="248" t="n">
        <f aca="false">VLOOKUP(A61,'TH theo khach hang'!$A$4:$G$309,4,FALSE())</f>
        <v>0</v>
      </c>
      <c r="G61" s="249" t="n">
        <f aca="false">VLOOKUP(A61,'TH theo khach hang'!$A$4:$G$309,5,FALSE())</f>
        <v>0</v>
      </c>
      <c r="H61" s="248" t="n">
        <f aca="false">J61+L61+N61+P61+R61+T61+V61+X61+Z61+AB61+AD61+AF61</f>
        <v>0</v>
      </c>
      <c r="I61" s="250" t="n">
        <f aca="false">K61+M61+O61+Q61+S61+U61+W61+Y61+AA61+AC61+AE61+AG61</f>
        <v>0</v>
      </c>
      <c r="J61" s="249"/>
      <c r="K61" s="249"/>
      <c r="L61" s="249"/>
      <c r="M61" s="249"/>
      <c r="N61" s="249"/>
      <c r="O61" s="249"/>
      <c r="P61" s="249"/>
      <c r="Q61" s="249"/>
      <c r="R61" s="249"/>
      <c r="S61" s="249"/>
      <c r="T61" s="249"/>
      <c r="U61" s="249"/>
      <c r="V61" s="249"/>
      <c r="W61" s="249"/>
      <c r="X61" s="249"/>
      <c r="Y61" s="249"/>
      <c r="Z61" s="249"/>
      <c r="AA61" s="249"/>
      <c r="AB61" s="249"/>
      <c r="AC61" s="249"/>
      <c r="AD61" s="249"/>
      <c r="AE61" s="249"/>
      <c r="AF61" s="249"/>
      <c r="AG61" s="249"/>
    </row>
    <row r="62" customFormat="false" ht="16.5" hidden="false" customHeight="false" outlineLevel="0" collapsed="false">
      <c r="A62" s="244" t="s">
        <v>238</v>
      </c>
      <c r="B62" s="214" t="n">
        <f aca="false">VLOOKUP(A62,'TH theo khach hang'!$A$4:$C$309,2,FALSE())</f>
        <v>0</v>
      </c>
      <c r="C62" s="245" t="str">
        <f aca="false">IF(VLOOKUP(A62,'TH theo khach hang'!$A$4:$C$309,3,FALSE())=0, "", "x")</f>
        <v/>
      </c>
      <c r="D62" s="246" t="n">
        <f aca="false">F62-H62</f>
        <v>0</v>
      </c>
      <c r="E62" s="247" t="n">
        <f aca="false">G62-I62</f>
        <v>0</v>
      </c>
      <c r="F62" s="248" t="n">
        <f aca="false">VLOOKUP(A62,'TH theo khach hang'!$A$4:$G$309,4,FALSE())</f>
        <v>0</v>
      </c>
      <c r="G62" s="249" t="n">
        <f aca="false">VLOOKUP(A62,'TH theo khach hang'!$A$4:$G$309,5,FALSE())</f>
        <v>0</v>
      </c>
      <c r="H62" s="248" t="n">
        <f aca="false">J62+L62+N62+P62+R62+T62+V62+X62+Z62+AB62+AD62+AF62</f>
        <v>0</v>
      </c>
      <c r="I62" s="250" t="n">
        <f aca="false">K62+M62+O62+Q62+S62+U62+W62+Y62+AA62+AC62+AE62+AG62</f>
        <v>0</v>
      </c>
      <c r="J62" s="249"/>
      <c r="K62" s="249"/>
      <c r="L62" s="249"/>
      <c r="M62" s="249"/>
      <c r="N62" s="249"/>
      <c r="O62" s="249"/>
      <c r="P62" s="249"/>
      <c r="Q62" s="249"/>
      <c r="R62" s="249"/>
      <c r="S62" s="249"/>
      <c r="T62" s="249"/>
      <c r="U62" s="249"/>
      <c r="V62" s="249"/>
      <c r="W62" s="249"/>
      <c r="X62" s="249"/>
      <c r="Y62" s="249"/>
      <c r="Z62" s="249"/>
      <c r="AA62" s="249"/>
      <c r="AB62" s="249"/>
      <c r="AC62" s="249"/>
      <c r="AD62" s="249"/>
      <c r="AE62" s="249"/>
      <c r="AF62" s="249"/>
      <c r="AG62" s="249"/>
    </row>
    <row r="63" customFormat="false" ht="16.5" hidden="false" customHeight="false" outlineLevel="0" collapsed="false">
      <c r="A63" s="244" t="s">
        <v>239</v>
      </c>
      <c r="B63" s="214" t="n">
        <f aca="false">VLOOKUP(A63,'TH theo khach hang'!$A$4:$C$309,2,FALSE())</f>
        <v>0</v>
      </c>
      <c r="C63" s="245" t="str">
        <f aca="false">IF(VLOOKUP(A63,'TH theo khach hang'!$A$4:$C$309,3,FALSE())=0, "", "x")</f>
        <v/>
      </c>
      <c r="D63" s="246" t="n">
        <f aca="false">F63-H63</f>
        <v>0</v>
      </c>
      <c r="E63" s="247" t="n">
        <f aca="false">G63-I63</f>
        <v>0</v>
      </c>
      <c r="F63" s="248" t="n">
        <f aca="false">VLOOKUP(A63,'TH theo khach hang'!$A$4:$G$309,4,FALSE())</f>
        <v>0</v>
      </c>
      <c r="G63" s="249" t="n">
        <f aca="false">VLOOKUP(A63,'TH theo khach hang'!$A$4:$G$309,5,FALSE())</f>
        <v>0</v>
      </c>
      <c r="H63" s="248" t="n">
        <f aca="false">J63+L63+N63+P63+R63+T63+V63+X63+Z63+AB63+AD63+AF63</f>
        <v>0</v>
      </c>
      <c r="I63" s="250" t="n">
        <f aca="false">K63+M63+O63+Q63+S63+U63+W63+Y63+AA63+AC63+AE63+AG63</f>
        <v>0</v>
      </c>
      <c r="J63" s="249"/>
      <c r="K63" s="249"/>
      <c r="L63" s="249"/>
      <c r="M63" s="249"/>
      <c r="N63" s="249"/>
      <c r="O63" s="249"/>
      <c r="P63" s="249"/>
      <c r="Q63" s="249"/>
      <c r="R63" s="249"/>
      <c r="S63" s="249"/>
      <c r="T63" s="249"/>
      <c r="U63" s="249"/>
      <c r="V63" s="249"/>
      <c r="W63" s="249"/>
      <c r="X63" s="249"/>
      <c r="Y63" s="249"/>
      <c r="Z63" s="249"/>
      <c r="AA63" s="249"/>
      <c r="AB63" s="249"/>
      <c r="AC63" s="249"/>
      <c r="AD63" s="249"/>
      <c r="AE63" s="249"/>
      <c r="AF63" s="249"/>
      <c r="AG63" s="249"/>
    </row>
    <row r="64" customFormat="false" ht="16.5" hidden="false" customHeight="false" outlineLevel="0" collapsed="false">
      <c r="A64" s="244" t="s">
        <v>240</v>
      </c>
      <c r="B64" s="214" t="n">
        <f aca="false">VLOOKUP(A64,'TH theo khach hang'!$A$4:$C$309,2,FALSE())</f>
        <v>0</v>
      </c>
      <c r="C64" s="245" t="str">
        <f aca="false">IF(VLOOKUP(A64,'TH theo khach hang'!$A$4:$C$309,3,FALSE())=0, "", "x")</f>
        <v/>
      </c>
      <c r="D64" s="246" t="n">
        <f aca="false">F64-H64</f>
        <v>0</v>
      </c>
      <c r="E64" s="247" t="n">
        <f aca="false">G64-I64</f>
        <v>0</v>
      </c>
      <c r="F64" s="248" t="n">
        <f aca="false">VLOOKUP(A64,'TH theo khach hang'!$A$4:$G$309,4,FALSE())</f>
        <v>0</v>
      </c>
      <c r="G64" s="249" t="n">
        <f aca="false">VLOOKUP(A64,'TH theo khach hang'!$A$4:$G$309,5,FALSE())</f>
        <v>0</v>
      </c>
      <c r="H64" s="248" t="n">
        <f aca="false">J64+L64+N64+P64+R64+T64+V64+X64+Z64+AB64+AD64+AF64</f>
        <v>0</v>
      </c>
      <c r="I64" s="250" t="n">
        <f aca="false">K64+M64+O64+Q64+S64+U64+W64+Y64+AA64+AC64+AE64+AG64</f>
        <v>0</v>
      </c>
      <c r="J64" s="249"/>
      <c r="K64" s="249"/>
      <c r="L64" s="249"/>
      <c r="M64" s="249"/>
      <c r="N64" s="249"/>
      <c r="O64" s="249"/>
      <c r="P64" s="249"/>
      <c r="Q64" s="249"/>
      <c r="R64" s="249"/>
      <c r="S64" s="249"/>
      <c r="T64" s="249"/>
      <c r="U64" s="249"/>
      <c r="V64" s="249"/>
      <c r="W64" s="249"/>
      <c r="X64" s="249"/>
      <c r="Y64" s="249"/>
      <c r="Z64" s="249"/>
      <c r="AA64" s="249"/>
      <c r="AB64" s="249"/>
      <c r="AC64" s="249"/>
      <c r="AD64" s="249"/>
      <c r="AE64" s="249"/>
      <c r="AF64" s="249"/>
      <c r="AG64" s="249"/>
    </row>
    <row r="65" customFormat="false" ht="16.5" hidden="false" customHeight="false" outlineLevel="0" collapsed="false">
      <c r="A65" s="244" t="s">
        <v>241</v>
      </c>
      <c r="B65" s="214" t="n">
        <f aca="false">VLOOKUP(A65,'TH theo khach hang'!$A$4:$C$309,2,FALSE())</f>
        <v>0</v>
      </c>
      <c r="C65" s="245" t="str">
        <f aca="false">IF(VLOOKUP(A65,'TH theo khach hang'!$A$4:$C$309,3,FALSE())=0, "", "x")</f>
        <v/>
      </c>
      <c r="D65" s="246" t="n">
        <f aca="false">F65-H65</f>
        <v>0</v>
      </c>
      <c r="E65" s="247" t="n">
        <f aca="false">G65-I65</f>
        <v>0</v>
      </c>
      <c r="F65" s="248" t="n">
        <f aca="false">VLOOKUP(A65,'TH theo khach hang'!$A$4:$G$309,4,FALSE())</f>
        <v>0</v>
      </c>
      <c r="G65" s="249" t="n">
        <f aca="false">VLOOKUP(A65,'TH theo khach hang'!$A$4:$G$309,5,FALSE())</f>
        <v>0</v>
      </c>
      <c r="H65" s="248" t="n">
        <f aca="false">J65+L65+N65+P65+R65+T65+V65+X65+Z65+AB65+AD65+AF65</f>
        <v>0</v>
      </c>
      <c r="I65" s="250" t="n">
        <f aca="false">K65+M65+O65+Q65+S65+U65+W65+Y65+AA65+AC65+AE65+AG65</f>
        <v>0</v>
      </c>
      <c r="J65" s="249"/>
      <c r="K65" s="249"/>
      <c r="L65" s="249"/>
      <c r="M65" s="249"/>
      <c r="N65" s="249"/>
      <c r="O65" s="249"/>
      <c r="P65" s="249"/>
      <c r="Q65" s="249"/>
      <c r="R65" s="249"/>
      <c r="S65" s="249"/>
      <c r="T65" s="249"/>
      <c r="U65" s="249"/>
      <c r="V65" s="249"/>
      <c r="W65" s="249"/>
      <c r="X65" s="249"/>
      <c r="Y65" s="249"/>
      <c r="Z65" s="249"/>
      <c r="AA65" s="249"/>
      <c r="AB65" s="249"/>
      <c r="AC65" s="249"/>
      <c r="AD65" s="249"/>
      <c r="AE65" s="249"/>
      <c r="AF65" s="249"/>
      <c r="AG65" s="249"/>
    </row>
    <row r="66" customFormat="false" ht="16.5" hidden="false" customHeight="false" outlineLevel="0" collapsed="false">
      <c r="A66" s="244" t="s">
        <v>242</v>
      </c>
      <c r="B66" s="214" t="n">
        <f aca="false">VLOOKUP(A66,'TH theo khach hang'!$A$4:$C$309,2,FALSE())</f>
        <v>0</v>
      </c>
      <c r="C66" s="245" t="str">
        <f aca="false">IF(VLOOKUP(A66,'TH theo khach hang'!$A$4:$C$309,3,FALSE())=0, "", "x")</f>
        <v/>
      </c>
      <c r="D66" s="246" t="n">
        <f aca="false">F66-H66</f>
        <v>0</v>
      </c>
      <c r="E66" s="247" t="n">
        <f aca="false">G66-I66</f>
        <v>0</v>
      </c>
      <c r="F66" s="248" t="n">
        <f aca="false">VLOOKUP(A66,'TH theo khach hang'!$A$4:$G$309,4,FALSE())</f>
        <v>0</v>
      </c>
      <c r="G66" s="249" t="n">
        <f aca="false">VLOOKUP(A66,'TH theo khach hang'!$A$4:$G$309,5,FALSE())</f>
        <v>0</v>
      </c>
      <c r="H66" s="248" t="n">
        <f aca="false">J66+L66+N66+P66+R66+T66+V66+X66+Z66+AB66+AD66+AF66</f>
        <v>0</v>
      </c>
      <c r="I66" s="250" t="n">
        <f aca="false">K66+M66+O66+Q66+S66+U66+W66+Y66+AA66+AC66+AE66+AG66</f>
        <v>0</v>
      </c>
      <c r="J66" s="249"/>
      <c r="K66" s="249"/>
      <c r="L66" s="249"/>
      <c r="M66" s="249"/>
      <c r="N66" s="249"/>
      <c r="O66" s="249"/>
      <c r="P66" s="249"/>
      <c r="Q66" s="249"/>
      <c r="R66" s="249"/>
      <c r="S66" s="249"/>
      <c r="T66" s="249"/>
      <c r="U66" s="249"/>
      <c r="V66" s="249"/>
      <c r="W66" s="249"/>
      <c r="X66" s="249"/>
      <c r="Y66" s="249"/>
      <c r="Z66" s="249"/>
      <c r="AA66" s="249"/>
      <c r="AB66" s="249"/>
      <c r="AC66" s="249"/>
      <c r="AD66" s="249"/>
      <c r="AE66" s="249"/>
      <c r="AF66" s="249"/>
      <c r="AG66" s="249"/>
    </row>
    <row r="67" customFormat="false" ht="16.5" hidden="false" customHeight="false" outlineLevel="0" collapsed="false">
      <c r="A67" s="244" t="s">
        <v>243</v>
      </c>
      <c r="B67" s="214" t="n">
        <f aca="false">VLOOKUP(A67,'TH theo khach hang'!$A$4:$C$309,2,FALSE())</f>
        <v>0</v>
      </c>
      <c r="C67" s="245" t="str">
        <f aca="false">IF(VLOOKUP(A67,'TH theo khach hang'!$A$4:$C$309,3,FALSE())=0, "", "x")</f>
        <v/>
      </c>
      <c r="D67" s="246" t="n">
        <f aca="false">F67-H67</f>
        <v>0</v>
      </c>
      <c r="E67" s="247" t="n">
        <f aca="false">G67-I67</f>
        <v>0</v>
      </c>
      <c r="F67" s="248" t="n">
        <f aca="false">VLOOKUP(A67,'TH theo khach hang'!$A$4:$G$309,4,FALSE())</f>
        <v>0</v>
      </c>
      <c r="G67" s="249" t="n">
        <f aca="false">VLOOKUP(A67,'TH theo khach hang'!$A$4:$G$309,5,FALSE())</f>
        <v>0</v>
      </c>
      <c r="H67" s="248" t="n">
        <f aca="false">J67+L67+N67+P67+R67+T67+V67+X67+Z67+AB67+AD67+AF67</f>
        <v>0</v>
      </c>
      <c r="I67" s="250" t="n">
        <f aca="false">K67+M67+O67+Q67+S67+U67+W67+Y67+AA67+AC67+AE67+AG67</f>
        <v>0</v>
      </c>
      <c r="J67" s="249"/>
      <c r="K67" s="249"/>
      <c r="L67" s="249"/>
      <c r="M67" s="249"/>
      <c r="N67" s="249"/>
      <c r="O67" s="249"/>
      <c r="P67" s="249"/>
      <c r="Q67" s="249"/>
      <c r="R67" s="249"/>
      <c r="S67" s="249"/>
      <c r="T67" s="249"/>
      <c r="U67" s="249"/>
      <c r="V67" s="249"/>
      <c r="W67" s="249"/>
      <c r="X67" s="249"/>
      <c r="Y67" s="249"/>
      <c r="Z67" s="249"/>
      <c r="AA67" s="249"/>
      <c r="AB67" s="249"/>
      <c r="AC67" s="249"/>
      <c r="AD67" s="249"/>
      <c r="AE67" s="249"/>
      <c r="AF67" s="249"/>
      <c r="AG67" s="249"/>
    </row>
    <row r="68" customFormat="false" ht="16.5" hidden="false" customHeight="false" outlineLevel="0" collapsed="false">
      <c r="A68" s="244" t="s">
        <v>244</v>
      </c>
      <c r="B68" s="214" t="n">
        <f aca="false">VLOOKUP(A68,'TH theo khach hang'!$A$4:$C$309,2,FALSE())</f>
        <v>0</v>
      </c>
      <c r="C68" s="245" t="str">
        <f aca="false">IF(VLOOKUP(A68,'TH theo khach hang'!$A$4:$C$309,3,FALSE())=0, "", "x")</f>
        <v/>
      </c>
      <c r="D68" s="246" t="n">
        <f aca="false">F68-H68</f>
        <v>0</v>
      </c>
      <c r="E68" s="247" t="n">
        <f aca="false">G68-I68</f>
        <v>0</v>
      </c>
      <c r="F68" s="248" t="n">
        <f aca="false">VLOOKUP(A68,'TH theo khach hang'!$A$4:$G$309,4,FALSE())</f>
        <v>0</v>
      </c>
      <c r="G68" s="249" t="n">
        <f aca="false">VLOOKUP(A68,'TH theo khach hang'!$A$4:$G$309,5,FALSE())</f>
        <v>0</v>
      </c>
      <c r="H68" s="248" t="n">
        <f aca="false">J68+L68+N68+P68+R68+T68+V68+X68+Z68+AB68+AD68+AF68</f>
        <v>0</v>
      </c>
      <c r="I68" s="250" t="n">
        <f aca="false">K68+M68+O68+Q68+S68+U68+W68+Y68+AA68+AC68+AE68+AG68</f>
        <v>0</v>
      </c>
      <c r="J68" s="249"/>
      <c r="K68" s="249"/>
      <c r="L68" s="249"/>
      <c r="M68" s="249"/>
      <c r="N68" s="249"/>
      <c r="O68" s="249"/>
      <c r="P68" s="249"/>
      <c r="Q68" s="249"/>
      <c r="R68" s="249"/>
      <c r="S68" s="249"/>
      <c r="T68" s="249"/>
      <c r="U68" s="249"/>
      <c r="V68" s="249"/>
      <c r="W68" s="249"/>
      <c r="X68" s="249"/>
      <c r="Y68" s="249"/>
      <c r="Z68" s="249"/>
      <c r="AA68" s="249"/>
      <c r="AB68" s="249"/>
      <c r="AC68" s="249"/>
      <c r="AD68" s="249"/>
      <c r="AE68" s="249"/>
      <c r="AF68" s="249"/>
      <c r="AG68" s="249"/>
    </row>
    <row r="69" customFormat="false" ht="16.5" hidden="false" customHeight="false" outlineLevel="0" collapsed="false">
      <c r="A69" s="244" t="s">
        <v>245</v>
      </c>
      <c r="B69" s="214" t="n">
        <f aca="false">VLOOKUP(A69,'TH theo khach hang'!$A$4:$C$309,2,FALSE())</f>
        <v>0</v>
      </c>
      <c r="C69" s="245" t="str">
        <f aca="false">IF(VLOOKUP(A69,'TH theo khach hang'!$A$4:$C$309,3,FALSE())=0, "", "x")</f>
        <v/>
      </c>
      <c r="D69" s="246" t="n">
        <f aca="false">F69-H69</f>
        <v>0</v>
      </c>
      <c r="E69" s="247" t="n">
        <f aca="false">G69-I69</f>
        <v>0</v>
      </c>
      <c r="F69" s="248" t="n">
        <f aca="false">VLOOKUP(A69,'TH theo khach hang'!$A$4:$G$309,4,FALSE())</f>
        <v>0</v>
      </c>
      <c r="G69" s="249" t="n">
        <f aca="false">VLOOKUP(A69,'TH theo khach hang'!$A$4:$G$309,5,FALSE())</f>
        <v>0</v>
      </c>
      <c r="H69" s="248" t="n">
        <f aca="false">J69+L69+N69+P69+R69+T69+V69+X69+Z69+AB69+AD69+AF69</f>
        <v>0</v>
      </c>
      <c r="I69" s="250" t="n">
        <f aca="false">K69+M69+O69+Q69+S69+U69+W69+Y69+AA69+AC69+AE69+AG69</f>
        <v>0</v>
      </c>
      <c r="J69" s="249"/>
      <c r="K69" s="249"/>
      <c r="L69" s="249"/>
      <c r="M69" s="249"/>
      <c r="N69" s="249"/>
      <c r="O69" s="249"/>
      <c r="P69" s="249"/>
      <c r="Q69" s="249"/>
      <c r="R69" s="249"/>
      <c r="S69" s="249"/>
      <c r="T69" s="249"/>
      <c r="U69" s="249"/>
      <c r="V69" s="249"/>
      <c r="W69" s="249"/>
      <c r="X69" s="249"/>
      <c r="Y69" s="249"/>
      <c r="Z69" s="249"/>
      <c r="AA69" s="249"/>
      <c r="AB69" s="249"/>
      <c r="AC69" s="249"/>
      <c r="AD69" s="249"/>
      <c r="AE69" s="249"/>
      <c r="AF69" s="249"/>
      <c r="AG69" s="249"/>
    </row>
    <row r="70" customFormat="false" ht="16.5" hidden="false" customHeight="false" outlineLevel="0" collapsed="false">
      <c r="A70" s="244" t="s">
        <v>246</v>
      </c>
      <c r="B70" s="214" t="n">
        <f aca="false">VLOOKUP(A70,'TH theo khach hang'!$A$4:$C$309,2,FALSE())</f>
        <v>0</v>
      </c>
      <c r="C70" s="245" t="str">
        <f aca="false">IF(VLOOKUP(A70,'TH theo khach hang'!$A$4:$C$309,3,FALSE())=0, "", "x")</f>
        <v/>
      </c>
      <c r="D70" s="246" t="n">
        <f aca="false">F70-H70</f>
        <v>0</v>
      </c>
      <c r="E70" s="247" t="n">
        <f aca="false">G70-I70</f>
        <v>0</v>
      </c>
      <c r="F70" s="248" t="n">
        <f aca="false">VLOOKUP(A70,'TH theo khach hang'!$A$4:$G$309,4,FALSE())</f>
        <v>0</v>
      </c>
      <c r="G70" s="249" t="n">
        <f aca="false">VLOOKUP(A70,'TH theo khach hang'!$A$4:$G$309,5,FALSE())</f>
        <v>0</v>
      </c>
      <c r="H70" s="248" t="n">
        <f aca="false">J70+L70+N70+P70+R70+T70+V70+X70+Z70+AB70+AD70+AF70</f>
        <v>0</v>
      </c>
      <c r="I70" s="250" t="n">
        <f aca="false">K70+M70+O70+Q70+S70+U70+W70+Y70+AA70+AC70+AE70+AG70</f>
        <v>0</v>
      </c>
      <c r="J70" s="249"/>
      <c r="K70" s="249"/>
      <c r="L70" s="249"/>
      <c r="M70" s="249"/>
      <c r="N70" s="249"/>
      <c r="O70" s="249"/>
      <c r="P70" s="249"/>
      <c r="Q70" s="249"/>
      <c r="R70" s="249"/>
      <c r="S70" s="249"/>
      <c r="T70" s="249"/>
      <c r="U70" s="249"/>
      <c r="V70" s="249"/>
      <c r="W70" s="249"/>
      <c r="X70" s="249"/>
      <c r="Y70" s="249"/>
      <c r="Z70" s="249"/>
      <c r="AA70" s="249"/>
      <c r="AB70" s="249"/>
      <c r="AC70" s="249"/>
      <c r="AD70" s="249"/>
      <c r="AE70" s="249"/>
      <c r="AF70" s="249"/>
      <c r="AG70" s="249"/>
      <c r="AH70" s="251"/>
    </row>
    <row r="71" customFormat="false" ht="16.5" hidden="false" customHeight="false" outlineLevel="0" collapsed="false">
      <c r="A71" s="244" t="s">
        <v>247</v>
      </c>
      <c r="B71" s="214" t="n">
        <f aca="false">VLOOKUP(A71,'TH theo khach hang'!$A$4:$C$309,2,FALSE())</f>
        <v>0</v>
      </c>
      <c r="C71" s="245" t="str">
        <f aca="false">IF(VLOOKUP(A71,'TH theo khach hang'!$A$4:$C$309,3,FALSE())=0, "", "x")</f>
        <v/>
      </c>
      <c r="D71" s="246" t="n">
        <f aca="false">F71-H71</f>
        <v>0</v>
      </c>
      <c r="E71" s="247" t="n">
        <f aca="false">G71-I71</f>
        <v>0</v>
      </c>
      <c r="F71" s="248" t="n">
        <f aca="false">VLOOKUP(A71,'TH theo khach hang'!$A$4:$G$309,4,FALSE())</f>
        <v>0</v>
      </c>
      <c r="G71" s="249" t="n">
        <f aca="false">VLOOKUP(A71,'TH theo khach hang'!$A$4:$G$309,5,FALSE())</f>
        <v>0</v>
      </c>
      <c r="H71" s="248" t="n">
        <f aca="false">J71+L71+N71+P71+R71+T71+V71+X71+Z71+AB71+AD71+AF71</f>
        <v>0</v>
      </c>
      <c r="I71" s="250" t="n">
        <f aca="false">K71+M71+O71+Q71+S71+U71+W71+Y71+AA71+AC71+AE71+AG71</f>
        <v>0</v>
      </c>
      <c r="J71" s="249"/>
      <c r="K71" s="249"/>
      <c r="L71" s="249"/>
      <c r="M71" s="249"/>
      <c r="N71" s="249"/>
      <c r="O71" s="249"/>
      <c r="P71" s="249"/>
      <c r="Q71" s="249"/>
      <c r="R71" s="249"/>
      <c r="S71" s="249"/>
      <c r="T71" s="249"/>
      <c r="U71" s="249"/>
      <c r="V71" s="249"/>
      <c r="W71" s="249"/>
      <c r="X71" s="249"/>
      <c r="Y71" s="249"/>
      <c r="Z71" s="249"/>
      <c r="AA71" s="249"/>
      <c r="AB71" s="249"/>
      <c r="AC71" s="249"/>
      <c r="AD71" s="249"/>
      <c r="AE71" s="249"/>
      <c r="AF71" s="249"/>
      <c r="AG71" s="249"/>
    </row>
    <row r="72" customFormat="false" ht="16.5" hidden="false" customHeight="false" outlineLevel="0" collapsed="false">
      <c r="A72" s="244" t="s">
        <v>248</v>
      </c>
      <c r="B72" s="214" t="n">
        <f aca="false">VLOOKUP(A72,'TH theo khach hang'!$A$4:$C$309,2,FALSE())</f>
        <v>0</v>
      </c>
      <c r="C72" s="245" t="str">
        <f aca="false">IF(VLOOKUP(A72,'TH theo khach hang'!$A$4:$C$309,3,FALSE())=0, "", "x")</f>
        <v/>
      </c>
      <c r="D72" s="246" t="n">
        <f aca="false">F72-H72</f>
        <v>0</v>
      </c>
      <c r="E72" s="247" t="n">
        <f aca="false">G72-I72</f>
        <v>0</v>
      </c>
      <c r="F72" s="248" t="n">
        <f aca="false">VLOOKUP(A72,'TH theo khach hang'!$A$4:$G$309,4,FALSE())</f>
        <v>0</v>
      </c>
      <c r="G72" s="249" t="n">
        <f aca="false">VLOOKUP(A72,'TH theo khach hang'!$A$4:$G$309,5,FALSE())</f>
        <v>0</v>
      </c>
      <c r="H72" s="248" t="n">
        <f aca="false">J72+L72+N72+P72+R72+T72+V72+X72+Z72+AB72+AD72+AF72</f>
        <v>0</v>
      </c>
      <c r="I72" s="250" t="n">
        <f aca="false">K72+M72+O72+Q72+S72+U72+W72+Y72+AA72+AC72+AE72+AG72</f>
        <v>0</v>
      </c>
      <c r="J72" s="249"/>
      <c r="K72" s="249"/>
      <c r="L72" s="249"/>
      <c r="M72" s="249"/>
      <c r="N72" s="249"/>
      <c r="O72" s="249"/>
      <c r="P72" s="249"/>
      <c r="Q72" s="249"/>
      <c r="R72" s="249"/>
      <c r="S72" s="249"/>
      <c r="T72" s="249"/>
      <c r="U72" s="249"/>
      <c r="V72" s="249"/>
      <c r="W72" s="249"/>
      <c r="X72" s="249"/>
      <c r="Y72" s="249"/>
      <c r="Z72" s="249"/>
      <c r="AA72" s="249"/>
      <c r="AB72" s="249"/>
      <c r="AC72" s="249"/>
      <c r="AD72" s="249"/>
      <c r="AE72" s="249"/>
      <c r="AF72" s="249"/>
      <c r="AG72" s="249"/>
    </row>
    <row r="73" customFormat="false" ht="16.5" hidden="false" customHeight="false" outlineLevel="0" collapsed="false">
      <c r="A73" s="244" t="s">
        <v>249</v>
      </c>
      <c r="B73" s="214" t="n">
        <f aca="false">VLOOKUP(A73,'TH theo khach hang'!$A$4:$C$309,2,FALSE())</f>
        <v>0</v>
      </c>
      <c r="C73" s="245" t="str">
        <f aca="false">IF(VLOOKUP(A73,'TH theo khach hang'!$A$4:$C$309,3,FALSE())=0, "", "x")</f>
        <v/>
      </c>
      <c r="D73" s="246" t="n">
        <f aca="false">F73-H73</f>
        <v>0</v>
      </c>
      <c r="E73" s="247" t="n">
        <f aca="false">G73-I73</f>
        <v>0</v>
      </c>
      <c r="F73" s="248" t="n">
        <f aca="false">VLOOKUP(A73,'TH theo khach hang'!$A$4:$G$309,4,FALSE())</f>
        <v>0</v>
      </c>
      <c r="G73" s="249" t="n">
        <f aca="false">VLOOKUP(A73,'TH theo khach hang'!$A$4:$G$309,5,FALSE())</f>
        <v>0</v>
      </c>
      <c r="H73" s="248" t="n">
        <f aca="false">J73+L73+N73+P73+R73+T73+V73+X73+Z73+AB73+AD73+AF73</f>
        <v>0</v>
      </c>
      <c r="I73" s="250" t="n">
        <f aca="false">K73+M73+O73+Q73+S73+U73+W73+Y73+AA73+AC73+AE73+AG73</f>
        <v>0</v>
      </c>
      <c r="J73" s="249"/>
      <c r="K73" s="249"/>
      <c r="L73" s="249"/>
      <c r="M73" s="249"/>
      <c r="N73" s="249"/>
      <c r="O73" s="249"/>
      <c r="P73" s="249"/>
      <c r="Q73" s="249"/>
      <c r="R73" s="249"/>
      <c r="S73" s="249"/>
      <c r="T73" s="249"/>
      <c r="U73" s="249"/>
      <c r="V73" s="249"/>
      <c r="W73" s="249"/>
      <c r="X73" s="249"/>
      <c r="Y73" s="249"/>
      <c r="Z73" s="249"/>
      <c r="AA73" s="249"/>
      <c r="AB73" s="249"/>
      <c r="AC73" s="249"/>
      <c r="AD73" s="249"/>
      <c r="AE73" s="249"/>
      <c r="AF73" s="249"/>
      <c r="AG73" s="249"/>
      <c r="AH73" s="251"/>
    </row>
    <row r="74" customFormat="false" ht="16.5" hidden="false" customHeight="false" outlineLevel="0" collapsed="false">
      <c r="A74" s="244" t="s">
        <v>250</v>
      </c>
      <c r="B74" s="214" t="n">
        <f aca="false">VLOOKUP(A74,'TH theo khach hang'!$A$4:$C$309,2,FALSE())</f>
        <v>0</v>
      </c>
      <c r="C74" s="245" t="str">
        <f aca="false">IF(VLOOKUP(A74,'TH theo khach hang'!$A$4:$C$309,3,FALSE())=0, "", "x")</f>
        <v/>
      </c>
      <c r="D74" s="246" t="n">
        <f aca="false">F74-H74</f>
        <v>0</v>
      </c>
      <c r="E74" s="247" t="n">
        <f aca="false">G74-I74</f>
        <v>0</v>
      </c>
      <c r="F74" s="248" t="n">
        <f aca="false">VLOOKUP(A74,'TH theo khach hang'!$A$4:$G$309,4,FALSE())</f>
        <v>0</v>
      </c>
      <c r="G74" s="249" t="n">
        <f aca="false">VLOOKUP(A74,'TH theo khach hang'!$A$4:$G$309,5,FALSE())</f>
        <v>0</v>
      </c>
      <c r="H74" s="248" t="n">
        <f aca="false">J74+L74+N74+P74+R74+T74+V74+X74+Z74+AB74+AD74+AF74</f>
        <v>0</v>
      </c>
      <c r="I74" s="250" t="n">
        <f aca="false">K74+M74+O74+Q74+S74+U74+W74+Y74+AA74+AC74+AE74+AG74</f>
        <v>0</v>
      </c>
      <c r="J74" s="249"/>
      <c r="K74" s="249"/>
      <c r="L74" s="249"/>
      <c r="M74" s="249"/>
      <c r="N74" s="249"/>
      <c r="O74" s="249"/>
      <c r="P74" s="249"/>
      <c r="Q74" s="249"/>
      <c r="R74" s="249"/>
      <c r="S74" s="249"/>
      <c r="T74" s="249"/>
      <c r="U74" s="249"/>
      <c r="V74" s="249"/>
      <c r="W74" s="249"/>
      <c r="X74" s="249"/>
      <c r="Y74" s="249"/>
      <c r="Z74" s="249"/>
      <c r="AA74" s="249"/>
      <c r="AB74" s="249"/>
      <c r="AC74" s="249"/>
      <c r="AD74" s="249"/>
      <c r="AE74" s="249"/>
      <c r="AF74" s="249"/>
      <c r="AG74" s="249"/>
    </row>
    <row r="75" customFormat="false" ht="16.5" hidden="false" customHeight="false" outlineLevel="0" collapsed="false">
      <c r="A75" s="244" t="s">
        <v>251</v>
      </c>
      <c r="B75" s="214" t="n">
        <f aca="false">VLOOKUP(A75,'TH theo khach hang'!$A$4:$C$309,2,FALSE())</f>
        <v>0</v>
      </c>
      <c r="C75" s="245" t="str">
        <f aca="false">IF(VLOOKUP(A75,'TH theo khach hang'!$A$4:$C$309,3,FALSE())=0, "", "x")</f>
        <v/>
      </c>
      <c r="D75" s="246" t="n">
        <f aca="false">F75-H75</f>
        <v>0</v>
      </c>
      <c r="E75" s="247" t="n">
        <f aca="false">G75-I75</f>
        <v>0</v>
      </c>
      <c r="F75" s="248" t="n">
        <f aca="false">VLOOKUP(A75,'TH theo khach hang'!$A$4:$G$309,4,FALSE())</f>
        <v>0</v>
      </c>
      <c r="G75" s="249" t="n">
        <f aca="false">VLOOKUP(A75,'TH theo khach hang'!$A$4:$G$309,5,FALSE())</f>
        <v>0</v>
      </c>
      <c r="H75" s="248" t="n">
        <f aca="false">J75+L75+N75+P75+R75+T75+V75+X75+Z75+AB75+AD75+AF75</f>
        <v>0</v>
      </c>
      <c r="I75" s="250" t="n">
        <f aca="false">K75+M75+O75+Q75+S75+U75+W75+Y75+AA75+AC75+AE75+AG75</f>
        <v>0</v>
      </c>
      <c r="J75" s="249"/>
      <c r="K75" s="249"/>
      <c r="L75" s="249"/>
      <c r="M75" s="249"/>
      <c r="N75" s="249"/>
      <c r="O75" s="249"/>
      <c r="P75" s="249"/>
      <c r="Q75" s="249"/>
      <c r="R75" s="249"/>
      <c r="S75" s="249"/>
      <c r="T75" s="249"/>
      <c r="U75" s="249"/>
      <c r="V75" s="249"/>
      <c r="W75" s="249"/>
      <c r="X75" s="249"/>
      <c r="Y75" s="249"/>
      <c r="Z75" s="249"/>
      <c r="AA75" s="249"/>
      <c r="AB75" s="249"/>
      <c r="AC75" s="249"/>
      <c r="AD75" s="249"/>
      <c r="AE75" s="249"/>
      <c r="AF75" s="249"/>
      <c r="AG75" s="249"/>
    </row>
    <row r="76" customFormat="false" ht="16.5" hidden="false" customHeight="false" outlineLevel="0" collapsed="false">
      <c r="A76" s="244" t="s">
        <v>252</v>
      </c>
      <c r="B76" s="214" t="n">
        <f aca="false">VLOOKUP(A76,'TH theo khach hang'!$A$4:$C$309,2,FALSE())</f>
        <v>0</v>
      </c>
      <c r="C76" s="245" t="str">
        <f aca="false">IF(VLOOKUP(A76,'TH theo khach hang'!$A$4:$C$309,3,FALSE())=0, "", "x")</f>
        <v/>
      </c>
      <c r="D76" s="246" t="n">
        <f aca="false">F76-H76</f>
        <v>0</v>
      </c>
      <c r="E76" s="247" t="n">
        <f aca="false">G76-I76</f>
        <v>0</v>
      </c>
      <c r="F76" s="248" t="n">
        <f aca="false">VLOOKUP(A76,'TH theo khach hang'!$A$4:$G$309,4,FALSE())</f>
        <v>0</v>
      </c>
      <c r="G76" s="249" t="n">
        <f aca="false">VLOOKUP(A76,'TH theo khach hang'!$A$4:$G$309,5,FALSE())</f>
        <v>0</v>
      </c>
      <c r="H76" s="248" t="n">
        <f aca="false">J76+L76+N76+P76+R76+T76+V76+X76+Z76+AB76+AD76+AF76</f>
        <v>0</v>
      </c>
      <c r="I76" s="250" t="n">
        <f aca="false">K76+M76+O76+Q76+S76+U76+W76+Y76+AA76+AC76+AE76+AG76</f>
        <v>0</v>
      </c>
      <c r="J76" s="249"/>
      <c r="K76" s="249"/>
      <c r="L76" s="249"/>
      <c r="M76" s="249"/>
      <c r="N76" s="249"/>
      <c r="O76" s="249"/>
      <c r="P76" s="249"/>
      <c r="Q76" s="249"/>
      <c r="R76" s="249"/>
      <c r="S76" s="249"/>
      <c r="T76" s="249"/>
      <c r="U76" s="249"/>
      <c r="V76" s="249"/>
      <c r="W76" s="249"/>
      <c r="X76" s="249"/>
      <c r="Y76" s="249"/>
      <c r="Z76" s="249"/>
      <c r="AA76" s="249"/>
      <c r="AB76" s="249"/>
      <c r="AC76" s="249"/>
      <c r="AD76" s="249"/>
      <c r="AE76" s="249"/>
      <c r="AF76" s="249"/>
      <c r="AG76" s="249"/>
      <c r="AH76" s="251"/>
    </row>
    <row r="77" customFormat="false" ht="16.5" hidden="false" customHeight="false" outlineLevel="0" collapsed="false">
      <c r="A77" s="244" t="s">
        <v>253</v>
      </c>
      <c r="B77" s="214" t="n">
        <f aca="false">VLOOKUP(A77,'TH theo khach hang'!$A$4:$C$309,2,FALSE())</f>
        <v>0</v>
      </c>
      <c r="C77" s="245" t="str">
        <f aca="false">IF(VLOOKUP(A77,'TH theo khach hang'!$A$4:$C$309,3,FALSE())=0, "", "x")</f>
        <v/>
      </c>
      <c r="D77" s="246" t="n">
        <f aca="false">F77-H77</f>
        <v>0</v>
      </c>
      <c r="E77" s="247" t="n">
        <f aca="false">G77-I77</f>
        <v>0</v>
      </c>
      <c r="F77" s="248" t="n">
        <f aca="false">VLOOKUP(A77,'TH theo khach hang'!$A$4:$G$309,4,FALSE())</f>
        <v>0</v>
      </c>
      <c r="G77" s="249" t="n">
        <f aca="false">VLOOKUP(A77,'TH theo khach hang'!$A$4:$G$309,5,FALSE())</f>
        <v>0</v>
      </c>
      <c r="H77" s="248" t="n">
        <f aca="false">J77+L77+N77+P77+R77+T77+V77+X77+Z77+AB77+AD77+AF77</f>
        <v>0</v>
      </c>
      <c r="I77" s="250" t="n">
        <f aca="false">K77+M77+O77+Q77+S77+U77+W77+Y77+AA77+AC77+AE77+AG77</f>
        <v>0</v>
      </c>
      <c r="J77" s="249"/>
      <c r="K77" s="249"/>
      <c r="L77" s="249"/>
      <c r="M77" s="249"/>
      <c r="N77" s="249"/>
      <c r="O77" s="249"/>
      <c r="P77" s="249"/>
      <c r="Q77" s="249"/>
      <c r="R77" s="249"/>
      <c r="S77" s="249"/>
      <c r="T77" s="249"/>
      <c r="U77" s="249"/>
      <c r="V77" s="249"/>
      <c r="W77" s="249"/>
      <c r="X77" s="249"/>
      <c r="Y77" s="249"/>
      <c r="Z77" s="249"/>
      <c r="AA77" s="249"/>
      <c r="AB77" s="249"/>
      <c r="AC77" s="249"/>
      <c r="AD77" s="249"/>
      <c r="AE77" s="249"/>
      <c r="AF77" s="249"/>
      <c r="AG77" s="249"/>
    </row>
    <row r="78" customFormat="false" ht="16.5" hidden="false" customHeight="false" outlineLevel="0" collapsed="false">
      <c r="A78" s="244" t="s">
        <v>254</v>
      </c>
      <c r="B78" s="214" t="n">
        <f aca="false">VLOOKUP(A78,'TH theo khach hang'!$A$4:$C$309,2,FALSE())</f>
        <v>0</v>
      </c>
      <c r="C78" s="245" t="str">
        <f aca="false">IF(VLOOKUP(A78,'TH theo khach hang'!$A$4:$C$309,3,FALSE())=0, "", "x")</f>
        <v/>
      </c>
      <c r="D78" s="246" t="n">
        <f aca="false">F78-H78</f>
        <v>0</v>
      </c>
      <c r="E78" s="247" t="n">
        <f aca="false">G78-I78</f>
        <v>0</v>
      </c>
      <c r="F78" s="248" t="n">
        <f aca="false">VLOOKUP(A78,'TH theo khach hang'!$A$4:$G$309,4,FALSE())</f>
        <v>0</v>
      </c>
      <c r="G78" s="249" t="n">
        <f aca="false">VLOOKUP(A78,'TH theo khach hang'!$A$4:$G$309,5,FALSE())</f>
        <v>0</v>
      </c>
      <c r="H78" s="248" t="n">
        <f aca="false">J78+L78+N78+P78+R78+T78+V78+X78+Z78+AB78+AD78+AF78</f>
        <v>0</v>
      </c>
      <c r="I78" s="250" t="n">
        <f aca="false">K78+M78+O78+Q78+S78+U78+W78+Y78+AA78+AC78+AE78+AG78</f>
        <v>0</v>
      </c>
      <c r="J78" s="249"/>
      <c r="K78" s="249"/>
      <c r="L78" s="249"/>
      <c r="M78" s="249"/>
      <c r="N78" s="249"/>
      <c r="O78" s="249"/>
      <c r="P78" s="249"/>
      <c r="Q78" s="249"/>
      <c r="R78" s="249"/>
      <c r="S78" s="249"/>
      <c r="T78" s="249"/>
      <c r="U78" s="249"/>
      <c r="V78" s="249"/>
      <c r="W78" s="249"/>
      <c r="X78" s="249"/>
      <c r="Y78" s="249"/>
      <c r="Z78" s="249"/>
      <c r="AA78" s="249"/>
      <c r="AB78" s="249"/>
      <c r="AC78" s="249"/>
      <c r="AD78" s="249"/>
      <c r="AE78" s="249"/>
      <c r="AF78" s="249"/>
      <c r="AG78" s="249"/>
    </row>
    <row r="79" customFormat="false" ht="16.5" hidden="false" customHeight="false" outlineLevel="0" collapsed="false">
      <c r="A79" s="244" t="s">
        <v>255</v>
      </c>
      <c r="B79" s="214" t="n">
        <f aca="false">VLOOKUP(A79,'TH theo khach hang'!$A$4:$C$309,2,FALSE())</f>
        <v>0</v>
      </c>
      <c r="C79" s="245" t="str">
        <f aca="false">IF(VLOOKUP(A79,'TH theo khach hang'!$A$4:$C$309,3,FALSE())=0, "", "x")</f>
        <v/>
      </c>
      <c r="D79" s="246" t="n">
        <f aca="false">F79-H79</f>
        <v>0</v>
      </c>
      <c r="E79" s="247" t="n">
        <f aca="false">G79-I79</f>
        <v>0</v>
      </c>
      <c r="F79" s="248" t="n">
        <f aca="false">VLOOKUP(A79,'TH theo khach hang'!$A$4:$G$309,4,FALSE())</f>
        <v>0</v>
      </c>
      <c r="G79" s="249" t="n">
        <f aca="false">VLOOKUP(A79,'TH theo khach hang'!$A$4:$G$309,5,FALSE())</f>
        <v>0</v>
      </c>
      <c r="H79" s="248" t="n">
        <f aca="false">J79+L79+N79+P79+R79+T79+V79+X79+Z79+AB79+AD79+AF79</f>
        <v>0</v>
      </c>
      <c r="I79" s="250" t="n">
        <f aca="false">K79+M79+O79+Q79+S79+U79+W79+Y79+AA79+AC79+AE79+AG79</f>
        <v>0</v>
      </c>
      <c r="J79" s="249"/>
      <c r="K79" s="249"/>
      <c r="L79" s="249"/>
      <c r="M79" s="249"/>
      <c r="N79" s="249"/>
      <c r="O79" s="249"/>
      <c r="P79" s="249"/>
      <c r="Q79" s="249"/>
      <c r="R79" s="249"/>
      <c r="S79" s="249"/>
      <c r="T79" s="249"/>
      <c r="U79" s="249"/>
      <c r="V79" s="249"/>
      <c r="W79" s="249"/>
      <c r="X79" s="249"/>
      <c r="Y79" s="249"/>
      <c r="Z79" s="249"/>
      <c r="AA79" s="249"/>
      <c r="AB79" s="249"/>
      <c r="AC79" s="249"/>
      <c r="AD79" s="249"/>
      <c r="AE79" s="249"/>
      <c r="AF79" s="249"/>
      <c r="AG79" s="249"/>
    </row>
    <row r="80" customFormat="false" ht="16.5" hidden="false" customHeight="false" outlineLevel="0" collapsed="false">
      <c r="A80" s="244" t="s">
        <v>256</v>
      </c>
      <c r="B80" s="214" t="n">
        <f aca="false">VLOOKUP(A80,'TH theo khach hang'!$A$4:$C$309,2,FALSE())</f>
        <v>0</v>
      </c>
      <c r="C80" s="245" t="str">
        <f aca="false">IF(VLOOKUP(A80,'TH theo khach hang'!$A$4:$C$309,3,FALSE())=0, "", "x")</f>
        <v/>
      </c>
      <c r="D80" s="246" t="n">
        <f aca="false">F80-H80</f>
        <v>0</v>
      </c>
      <c r="E80" s="247" t="n">
        <f aca="false">G80-I80</f>
        <v>0</v>
      </c>
      <c r="F80" s="248" t="n">
        <f aca="false">VLOOKUP(A80,'TH theo khach hang'!$A$4:$G$309,4,FALSE())</f>
        <v>0</v>
      </c>
      <c r="G80" s="249" t="n">
        <f aca="false">VLOOKUP(A80,'TH theo khach hang'!$A$4:$G$309,5,FALSE())</f>
        <v>0</v>
      </c>
      <c r="H80" s="248" t="n">
        <f aca="false">J80+L80+N80+P80+R80+T80+V80+X80+Z80+AB80+AD80+AF80</f>
        <v>0</v>
      </c>
      <c r="I80" s="250" t="n">
        <f aca="false">K80+M80+O80+Q80+S80+U80+W80+Y80+AA80+AC80+AE80+AG80</f>
        <v>0</v>
      </c>
      <c r="J80" s="249"/>
      <c r="K80" s="249"/>
      <c r="L80" s="249"/>
      <c r="M80" s="249"/>
      <c r="N80" s="249"/>
      <c r="O80" s="249"/>
      <c r="P80" s="249"/>
      <c r="Q80" s="249"/>
      <c r="R80" s="249"/>
      <c r="S80" s="249"/>
      <c r="T80" s="249"/>
      <c r="U80" s="249"/>
      <c r="V80" s="249"/>
      <c r="W80" s="249"/>
      <c r="X80" s="249"/>
      <c r="Y80" s="249"/>
      <c r="Z80" s="249"/>
      <c r="AA80" s="249"/>
      <c r="AB80" s="249"/>
      <c r="AC80" s="249"/>
      <c r="AD80" s="249"/>
      <c r="AE80" s="249"/>
      <c r="AF80" s="249"/>
      <c r="AG80" s="249"/>
    </row>
    <row r="81" customFormat="false" ht="16.5" hidden="false" customHeight="false" outlineLevel="0" collapsed="false">
      <c r="A81" s="244" t="s">
        <v>257</v>
      </c>
      <c r="B81" s="214" t="n">
        <f aca="false">VLOOKUP(A81,'TH theo khach hang'!$A$4:$C$309,2,FALSE())</f>
        <v>0</v>
      </c>
      <c r="C81" s="245" t="str">
        <f aca="false">IF(VLOOKUP(A81,'TH theo khach hang'!$A$4:$C$309,3,FALSE())=0, "", "x")</f>
        <v/>
      </c>
      <c r="D81" s="246" t="n">
        <f aca="false">F81-H81</f>
        <v>0</v>
      </c>
      <c r="E81" s="247" t="n">
        <f aca="false">G81-I81</f>
        <v>0</v>
      </c>
      <c r="F81" s="248" t="n">
        <f aca="false">VLOOKUP(A81,'TH theo khach hang'!$A$4:$G$309,4,FALSE())</f>
        <v>0</v>
      </c>
      <c r="G81" s="249" t="n">
        <f aca="false">VLOOKUP(A81,'TH theo khach hang'!$A$4:$G$309,5,FALSE())</f>
        <v>0</v>
      </c>
      <c r="H81" s="248" t="n">
        <f aca="false">J81+L81+N81+P81+R81+T81+V81+X81+Z81+AB81+AD81+AF81</f>
        <v>0</v>
      </c>
      <c r="I81" s="250" t="n">
        <f aca="false">K81+M81+O81+Q81+S81+U81+W81+Y81+AA81+AC81+AE81+AG81</f>
        <v>0</v>
      </c>
      <c r="J81" s="249"/>
      <c r="K81" s="249"/>
      <c r="L81" s="249"/>
      <c r="M81" s="249"/>
      <c r="N81" s="249"/>
      <c r="O81" s="249"/>
      <c r="P81" s="249"/>
      <c r="Q81" s="249"/>
      <c r="R81" s="249"/>
      <c r="S81" s="249"/>
      <c r="T81" s="249"/>
      <c r="U81" s="249"/>
      <c r="V81" s="249"/>
      <c r="W81" s="249"/>
      <c r="X81" s="249"/>
      <c r="Y81" s="249"/>
      <c r="Z81" s="249"/>
      <c r="AA81" s="249"/>
      <c r="AB81" s="249"/>
      <c r="AC81" s="249"/>
      <c r="AD81" s="249"/>
      <c r="AE81" s="249"/>
      <c r="AF81" s="249"/>
      <c r="AG81" s="249"/>
    </row>
    <row r="82" customFormat="false" ht="16.5" hidden="false" customHeight="true" outlineLevel="0" collapsed="false">
      <c r="A82" s="244" t="s">
        <v>258</v>
      </c>
      <c r="B82" s="214" t="n">
        <f aca="false">VLOOKUP(A82,'TH theo khach hang'!$A$4:$C$309,2,FALSE())</f>
        <v>0</v>
      </c>
      <c r="C82" s="245" t="str">
        <f aca="false">IF(VLOOKUP(A82,'TH theo khach hang'!$A$4:$C$309,3,FALSE())=0, "", "x")</f>
        <v/>
      </c>
      <c r="D82" s="246" t="n">
        <f aca="false">F82-H82</f>
        <v>0</v>
      </c>
      <c r="E82" s="247" t="n">
        <f aca="false">G82-I82</f>
        <v>0</v>
      </c>
      <c r="F82" s="248" t="n">
        <f aca="false">VLOOKUP(A82,'TH theo khach hang'!$A$4:$G$309,4,FALSE())</f>
        <v>0</v>
      </c>
      <c r="G82" s="249" t="n">
        <f aca="false">VLOOKUP(A82,'TH theo khach hang'!$A$4:$G$309,5,FALSE())</f>
        <v>0</v>
      </c>
      <c r="H82" s="248" t="n">
        <f aca="false">J82+L82+N82+P82+R82+T82+V82+X82+Z82+AB82+AD82+AF82</f>
        <v>0</v>
      </c>
      <c r="I82" s="250" t="n">
        <f aca="false">K82+M82+O82+Q82+S82+U82+W82+Y82+AA82+AC82+AE82+AG82</f>
        <v>0</v>
      </c>
      <c r="J82" s="249"/>
      <c r="K82" s="249"/>
      <c r="L82" s="249"/>
      <c r="M82" s="249"/>
      <c r="N82" s="249"/>
      <c r="O82" s="249"/>
      <c r="P82" s="249"/>
      <c r="Q82" s="249"/>
      <c r="R82" s="249"/>
      <c r="S82" s="249"/>
      <c r="T82" s="249"/>
      <c r="U82" s="249"/>
      <c r="V82" s="249"/>
      <c r="W82" s="249"/>
      <c r="X82" s="249"/>
      <c r="Y82" s="249"/>
      <c r="Z82" s="249"/>
      <c r="AA82" s="249"/>
      <c r="AB82" s="249"/>
      <c r="AC82" s="249"/>
      <c r="AD82" s="249"/>
      <c r="AE82" s="249"/>
      <c r="AF82" s="249"/>
      <c r="AG82" s="249"/>
      <c r="AH82" s="251"/>
    </row>
    <row r="83" customFormat="false" ht="16.5" hidden="false" customHeight="false" outlineLevel="0" collapsed="false">
      <c r="A83" s="244" t="s">
        <v>259</v>
      </c>
      <c r="B83" s="214" t="n">
        <f aca="false">VLOOKUP(A83,'TH theo khach hang'!$A$4:$C$309,2,FALSE())</f>
        <v>0</v>
      </c>
      <c r="C83" s="245" t="str">
        <f aca="false">IF(VLOOKUP(A83,'TH theo khach hang'!$A$4:$C$309,3,FALSE())=0, "", "x")</f>
        <v/>
      </c>
      <c r="D83" s="246" t="n">
        <f aca="false">F83-H83</f>
        <v>0</v>
      </c>
      <c r="E83" s="247" t="n">
        <f aca="false">G83-I83</f>
        <v>0</v>
      </c>
      <c r="F83" s="248" t="n">
        <f aca="false">VLOOKUP(A83,'TH theo khach hang'!$A$4:$G$309,4,FALSE())</f>
        <v>0</v>
      </c>
      <c r="G83" s="249" t="n">
        <f aca="false">VLOOKUP(A83,'TH theo khach hang'!$A$4:$G$309,5,FALSE())</f>
        <v>0</v>
      </c>
      <c r="H83" s="248" t="n">
        <f aca="false">J83+L83+N83+P83+R83+T83+V83+X83+Z83+AB83+AD83+AF83</f>
        <v>0</v>
      </c>
      <c r="I83" s="250" t="n">
        <f aca="false">K83+M83+O83+Q83+S83+U83+W83+Y83+AA83+AC83+AE83+AG83</f>
        <v>0</v>
      </c>
      <c r="J83" s="249"/>
      <c r="K83" s="249"/>
      <c r="L83" s="249"/>
      <c r="M83" s="249"/>
      <c r="N83" s="249"/>
      <c r="O83" s="249"/>
      <c r="P83" s="249"/>
      <c r="Q83" s="249"/>
      <c r="R83" s="249"/>
      <c r="S83" s="249"/>
      <c r="T83" s="249"/>
      <c r="U83" s="249"/>
      <c r="V83" s="249"/>
      <c r="W83" s="249"/>
      <c r="X83" s="249"/>
      <c r="Y83" s="249"/>
      <c r="Z83" s="249"/>
      <c r="AA83" s="249"/>
      <c r="AB83" s="249"/>
      <c r="AC83" s="249"/>
      <c r="AD83" s="249"/>
      <c r="AE83" s="249"/>
      <c r="AF83" s="249"/>
      <c r="AG83" s="249"/>
    </row>
    <row r="84" customFormat="false" ht="16.5" hidden="false" customHeight="false" outlineLevel="0" collapsed="false">
      <c r="A84" s="244" t="s">
        <v>260</v>
      </c>
      <c r="B84" s="214" t="n">
        <f aca="false">VLOOKUP(A84,'TH theo khach hang'!$A$4:$C$309,2,FALSE())</f>
        <v>0</v>
      </c>
      <c r="C84" s="245" t="str">
        <f aca="false">IF(VLOOKUP(A84,'TH theo khach hang'!$A$4:$C$309,3,FALSE())=0, "", "x")</f>
        <v/>
      </c>
      <c r="D84" s="246" t="n">
        <f aca="false">F84-H84</f>
        <v>0</v>
      </c>
      <c r="E84" s="247" t="n">
        <f aca="false">G84-I84</f>
        <v>0</v>
      </c>
      <c r="F84" s="248" t="n">
        <f aca="false">VLOOKUP(A84,'TH theo khach hang'!$A$4:$G$309,4,FALSE())</f>
        <v>0</v>
      </c>
      <c r="G84" s="249" t="n">
        <f aca="false">VLOOKUP(A84,'TH theo khach hang'!$A$4:$G$309,5,FALSE())</f>
        <v>0</v>
      </c>
      <c r="H84" s="248" t="n">
        <f aca="false">J84+L84+N84+P84+R84+T84+V84+X84+Z84+AB84+AD84+AF84</f>
        <v>0</v>
      </c>
      <c r="I84" s="250" t="n">
        <f aca="false">K84+M84+O84+Q84+S84+U84+W84+Y84+AA84+AC84+AE84+AG84</f>
        <v>0</v>
      </c>
      <c r="J84" s="249"/>
      <c r="K84" s="249"/>
      <c r="L84" s="249"/>
      <c r="M84" s="249"/>
      <c r="N84" s="249"/>
      <c r="O84" s="249"/>
      <c r="P84" s="249"/>
      <c r="Q84" s="249"/>
      <c r="R84" s="249"/>
      <c r="S84" s="249"/>
      <c r="T84" s="249"/>
      <c r="U84" s="249"/>
      <c r="V84" s="249"/>
      <c r="W84" s="249"/>
      <c r="X84" s="249"/>
      <c r="Y84" s="249"/>
      <c r="Z84" s="249"/>
      <c r="AA84" s="249"/>
      <c r="AB84" s="249"/>
      <c r="AC84" s="249"/>
      <c r="AD84" s="249"/>
      <c r="AE84" s="249"/>
      <c r="AF84" s="249"/>
      <c r="AG84" s="249"/>
    </row>
    <row r="85" customFormat="false" ht="16.5" hidden="false" customHeight="false" outlineLevel="0" collapsed="false">
      <c r="A85" s="244" t="s">
        <v>261</v>
      </c>
      <c r="B85" s="214" t="n">
        <f aca="false">VLOOKUP(A85,'TH theo khach hang'!$A$4:$C$309,2,FALSE())</f>
        <v>0</v>
      </c>
      <c r="C85" s="245" t="str">
        <f aca="false">IF(VLOOKUP(A85,'TH theo khach hang'!$A$4:$C$309,3,FALSE())=0, "", "x")</f>
        <v/>
      </c>
      <c r="D85" s="246" t="n">
        <f aca="false">F85-H85</f>
        <v>0</v>
      </c>
      <c r="E85" s="247" t="n">
        <f aca="false">G85-I85</f>
        <v>0</v>
      </c>
      <c r="F85" s="248" t="n">
        <f aca="false">VLOOKUP(A85,'TH theo khach hang'!$A$4:$G$309,4,FALSE())</f>
        <v>0</v>
      </c>
      <c r="G85" s="249" t="n">
        <f aca="false">VLOOKUP(A85,'TH theo khach hang'!$A$4:$G$309,5,FALSE())</f>
        <v>0</v>
      </c>
      <c r="H85" s="248" t="n">
        <f aca="false">J85+L85+N85+P85+R85+T85+V85+X85+Z85+AB85+AD85+AF85</f>
        <v>0</v>
      </c>
      <c r="I85" s="250" t="n">
        <f aca="false">K85+M85+O85+Q85+S85+U85+W85+Y85+AA85+AC85+AE85+AG85</f>
        <v>0</v>
      </c>
      <c r="J85" s="249"/>
      <c r="K85" s="249"/>
      <c r="L85" s="249"/>
      <c r="M85" s="249"/>
      <c r="N85" s="249"/>
      <c r="O85" s="249"/>
      <c r="P85" s="249"/>
      <c r="Q85" s="249"/>
      <c r="R85" s="249"/>
      <c r="S85" s="249"/>
      <c r="T85" s="249"/>
      <c r="U85" s="249"/>
      <c r="V85" s="249"/>
      <c r="W85" s="249"/>
      <c r="X85" s="249"/>
      <c r="Y85" s="249"/>
      <c r="Z85" s="249"/>
      <c r="AA85" s="249"/>
      <c r="AB85" s="249"/>
      <c r="AC85" s="249"/>
      <c r="AD85" s="249"/>
      <c r="AE85" s="249"/>
      <c r="AF85" s="249"/>
      <c r="AG85" s="249"/>
      <c r="AH85" s="251"/>
    </row>
    <row r="86" customFormat="false" ht="16.5" hidden="false" customHeight="false" outlineLevel="0" collapsed="false">
      <c r="A86" s="244" t="s">
        <v>262</v>
      </c>
      <c r="B86" s="214" t="n">
        <f aca="false">VLOOKUP(A86,'TH theo khach hang'!$A$4:$C$309,2,FALSE())</f>
        <v>0</v>
      </c>
      <c r="C86" s="245" t="str">
        <f aca="false">IF(VLOOKUP(A86,'TH theo khach hang'!$A$4:$C$309,3,FALSE())=0, "", "x")</f>
        <v/>
      </c>
      <c r="D86" s="246" t="n">
        <f aca="false">F86-H86</f>
        <v>0</v>
      </c>
      <c r="E86" s="247" t="n">
        <f aca="false">G86-I86</f>
        <v>0</v>
      </c>
      <c r="F86" s="248" t="n">
        <f aca="false">VLOOKUP(A86,'TH theo khach hang'!$A$4:$G$309,4,FALSE())</f>
        <v>0</v>
      </c>
      <c r="G86" s="249" t="n">
        <f aca="false">VLOOKUP(A86,'TH theo khach hang'!$A$4:$G$309,5,FALSE())</f>
        <v>0</v>
      </c>
      <c r="H86" s="248" t="n">
        <f aca="false">J86+L86+N86+P86+R86+T86+V86+X86+Z86+AB86+AD86+AF86</f>
        <v>0</v>
      </c>
      <c r="I86" s="250" t="n">
        <f aca="false">K86+M86+O86+Q86+S86+U86+W86+Y86+AA86+AC86+AE86+AG86</f>
        <v>0</v>
      </c>
      <c r="J86" s="249"/>
      <c r="K86" s="249"/>
      <c r="L86" s="249"/>
      <c r="M86" s="249"/>
      <c r="N86" s="249"/>
      <c r="O86" s="249"/>
      <c r="P86" s="249"/>
      <c r="Q86" s="249"/>
      <c r="R86" s="249"/>
      <c r="S86" s="249"/>
      <c r="T86" s="249"/>
      <c r="U86" s="249"/>
      <c r="V86" s="249"/>
      <c r="W86" s="249"/>
      <c r="X86" s="249"/>
      <c r="Y86" s="249"/>
      <c r="Z86" s="249"/>
      <c r="AA86" s="249"/>
      <c r="AB86" s="249"/>
      <c r="AC86" s="249"/>
      <c r="AD86" s="249"/>
      <c r="AE86" s="249"/>
      <c r="AF86" s="249"/>
      <c r="AG86" s="249"/>
    </row>
    <row r="87" customFormat="false" ht="16.5" hidden="false" customHeight="false" outlineLevel="0" collapsed="false">
      <c r="A87" s="244" t="s">
        <v>263</v>
      </c>
      <c r="B87" s="214" t="n">
        <f aca="false">VLOOKUP(A87,'TH theo khach hang'!$A$4:$C$309,2,FALSE())</f>
        <v>0</v>
      </c>
      <c r="C87" s="245" t="str">
        <f aca="false">IF(VLOOKUP(A87,'TH theo khach hang'!$A$4:$C$309,3,FALSE())=0, "", "x")</f>
        <v/>
      </c>
      <c r="D87" s="246" t="n">
        <f aca="false">F87-H87</f>
        <v>0</v>
      </c>
      <c r="E87" s="247" t="n">
        <f aca="false">G87-I87</f>
        <v>0</v>
      </c>
      <c r="F87" s="248" t="n">
        <f aca="false">VLOOKUP(A87,'TH theo khach hang'!$A$4:$G$309,4,FALSE())</f>
        <v>0</v>
      </c>
      <c r="G87" s="249" t="n">
        <f aca="false">VLOOKUP(A87,'TH theo khach hang'!$A$4:$G$309,5,FALSE())</f>
        <v>0</v>
      </c>
      <c r="H87" s="248" t="n">
        <f aca="false">J87+L87+N87+P87+R87+T87+V87+X87+Z87+AB87+AD87+AF87</f>
        <v>0</v>
      </c>
      <c r="I87" s="250" t="n">
        <f aca="false">K87+M87+O87+Q87+S87+U87+W87+Y87+AA87+AC87+AE87+AG87</f>
        <v>0</v>
      </c>
      <c r="J87" s="249"/>
      <c r="K87" s="249"/>
      <c r="L87" s="249"/>
      <c r="M87" s="249"/>
      <c r="N87" s="249"/>
      <c r="O87" s="249"/>
      <c r="P87" s="249"/>
      <c r="Q87" s="249"/>
      <c r="R87" s="249"/>
      <c r="S87" s="249"/>
      <c r="T87" s="249"/>
      <c r="U87" s="249"/>
      <c r="V87" s="249"/>
      <c r="W87" s="249"/>
      <c r="X87" s="249"/>
      <c r="Y87" s="249"/>
      <c r="Z87" s="249"/>
      <c r="AA87" s="249"/>
      <c r="AB87" s="249"/>
      <c r="AC87" s="249"/>
      <c r="AD87" s="249"/>
      <c r="AE87" s="249"/>
      <c r="AF87" s="249"/>
      <c r="AG87" s="249"/>
    </row>
    <row r="88" customFormat="false" ht="16.5" hidden="false" customHeight="false" outlineLevel="0" collapsed="false">
      <c r="A88" s="244" t="s">
        <v>264</v>
      </c>
      <c r="B88" s="214" t="n">
        <f aca="false">VLOOKUP(A88,'TH theo khach hang'!$A$4:$C$309,2,FALSE())</f>
        <v>0</v>
      </c>
      <c r="C88" s="245" t="str">
        <f aca="false">IF(VLOOKUP(A88,'TH theo khach hang'!$A$4:$C$309,3,FALSE())=0, "", "x")</f>
        <v/>
      </c>
      <c r="D88" s="246" t="n">
        <f aca="false">F88-H88</f>
        <v>0</v>
      </c>
      <c r="E88" s="247" t="n">
        <f aca="false">G88-I88</f>
        <v>0</v>
      </c>
      <c r="F88" s="248" t="n">
        <f aca="false">VLOOKUP(A88,'TH theo khach hang'!$A$4:$G$309,4,FALSE())</f>
        <v>0</v>
      </c>
      <c r="G88" s="249" t="n">
        <f aca="false">VLOOKUP(A88,'TH theo khach hang'!$A$4:$G$309,5,FALSE())</f>
        <v>0</v>
      </c>
      <c r="H88" s="248" t="n">
        <f aca="false">J88+L88+N88+P88+R88+T88+V88+X88+Z88+AB88+AD88+AF88</f>
        <v>0</v>
      </c>
      <c r="I88" s="250" t="n">
        <f aca="false">K88+M88+O88+Q88+S88+U88+W88+Y88+AA88+AC88+AE88+AG88</f>
        <v>0</v>
      </c>
      <c r="J88" s="249"/>
      <c r="K88" s="249"/>
      <c r="L88" s="249"/>
      <c r="M88" s="249"/>
      <c r="N88" s="249"/>
      <c r="O88" s="249"/>
      <c r="P88" s="249"/>
      <c r="Q88" s="249"/>
      <c r="R88" s="249"/>
      <c r="S88" s="249"/>
      <c r="T88" s="249"/>
      <c r="U88" s="249"/>
      <c r="V88" s="249"/>
      <c r="W88" s="249"/>
      <c r="X88" s="249"/>
      <c r="Y88" s="249"/>
      <c r="Z88" s="249"/>
      <c r="AA88" s="249"/>
      <c r="AB88" s="249"/>
      <c r="AC88" s="249"/>
      <c r="AD88" s="249"/>
      <c r="AE88" s="249"/>
      <c r="AF88" s="249"/>
      <c r="AG88" s="249"/>
      <c r="AH88" s="251"/>
    </row>
    <row r="89" customFormat="false" ht="16.5" hidden="false" customHeight="false" outlineLevel="0" collapsed="false">
      <c r="A89" s="244" t="s">
        <v>265</v>
      </c>
      <c r="B89" s="214" t="n">
        <f aca="false">VLOOKUP(A89,'TH theo khach hang'!$A$4:$C$309,2,FALSE())</f>
        <v>0</v>
      </c>
      <c r="C89" s="245" t="str">
        <f aca="false">IF(VLOOKUP(A89,'TH theo khach hang'!$A$4:$C$309,3,FALSE())=0, "", "x")</f>
        <v/>
      </c>
      <c r="D89" s="246" t="n">
        <f aca="false">F89-H89</f>
        <v>0</v>
      </c>
      <c r="E89" s="247" t="n">
        <f aca="false">G89-I89</f>
        <v>0</v>
      </c>
      <c r="F89" s="248" t="n">
        <f aca="false">VLOOKUP(A89,'TH theo khach hang'!$A$4:$G$309,4,FALSE())</f>
        <v>0</v>
      </c>
      <c r="G89" s="249" t="n">
        <f aca="false">VLOOKUP(A89,'TH theo khach hang'!$A$4:$G$309,5,FALSE())</f>
        <v>0</v>
      </c>
      <c r="H89" s="248" t="n">
        <f aca="false">J89+L89+N89+P89+R89+T89+V89+X89+Z89+AB89+AD89+AF89</f>
        <v>0</v>
      </c>
      <c r="I89" s="250" t="n">
        <f aca="false">K89+M89+O89+Q89+S89+U89+W89+Y89+AA89+AC89+AE89+AG89</f>
        <v>0</v>
      </c>
      <c r="J89" s="249"/>
      <c r="K89" s="249"/>
      <c r="L89" s="249"/>
      <c r="M89" s="249"/>
      <c r="N89" s="249"/>
      <c r="O89" s="249"/>
      <c r="P89" s="249"/>
      <c r="Q89" s="249"/>
      <c r="R89" s="249"/>
      <c r="S89" s="249"/>
      <c r="T89" s="249"/>
      <c r="U89" s="249"/>
      <c r="V89" s="249"/>
      <c r="W89" s="249"/>
      <c r="X89" s="249"/>
      <c r="Y89" s="249"/>
      <c r="Z89" s="249"/>
      <c r="AA89" s="249"/>
      <c r="AB89" s="249"/>
      <c r="AC89" s="249"/>
      <c r="AD89" s="249"/>
      <c r="AE89" s="249"/>
      <c r="AF89" s="249"/>
      <c r="AG89" s="249"/>
    </row>
    <row r="90" customFormat="false" ht="16.5" hidden="false" customHeight="false" outlineLevel="0" collapsed="false">
      <c r="A90" s="244" t="s">
        <v>266</v>
      </c>
      <c r="B90" s="214" t="n">
        <f aca="false">VLOOKUP(A90,'TH theo khach hang'!$A$4:$C$309,2,FALSE())</f>
        <v>0</v>
      </c>
      <c r="C90" s="245" t="str">
        <f aca="false">IF(VLOOKUP(A90,'TH theo khach hang'!$A$4:$C$309,3,FALSE())=0, "", "x")</f>
        <v/>
      </c>
      <c r="D90" s="246" t="n">
        <f aca="false">F90-H90</f>
        <v>0</v>
      </c>
      <c r="E90" s="247" t="n">
        <f aca="false">G90-I90</f>
        <v>0</v>
      </c>
      <c r="F90" s="248" t="n">
        <f aca="false">VLOOKUP(A90,'TH theo khach hang'!$A$4:$G$309,4,FALSE())</f>
        <v>0</v>
      </c>
      <c r="G90" s="249" t="n">
        <f aca="false">VLOOKUP(A90,'TH theo khach hang'!$A$4:$G$309,5,FALSE())</f>
        <v>0</v>
      </c>
      <c r="H90" s="248" t="n">
        <f aca="false">J90+L90+N90+P90+R90+T90+V90+X90+Z90+AB90+AD90+AF90</f>
        <v>0</v>
      </c>
      <c r="I90" s="250" t="n">
        <f aca="false">K90+M90+O90+Q90+S90+U90+W90+Y90+AA90+AC90+AE90+AG90</f>
        <v>0</v>
      </c>
      <c r="J90" s="249"/>
      <c r="K90" s="249"/>
      <c r="L90" s="249"/>
      <c r="M90" s="249"/>
      <c r="N90" s="249"/>
      <c r="O90" s="249"/>
      <c r="P90" s="249"/>
      <c r="Q90" s="249"/>
      <c r="R90" s="249"/>
      <c r="S90" s="249"/>
      <c r="T90" s="249"/>
      <c r="U90" s="249"/>
      <c r="V90" s="249"/>
      <c r="W90" s="249"/>
      <c r="X90" s="249"/>
      <c r="Y90" s="249"/>
      <c r="Z90" s="249"/>
      <c r="AA90" s="249"/>
      <c r="AB90" s="249"/>
      <c r="AC90" s="249"/>
      <c r="AD90" s="249"/>
      <c r="AE90" s="249"/>
      <c r="AF90" s="249"/>
      <c r="AG90" s="249"/>
    </row>
    <row r="91" customFormat="false" ht="16.5" hidden="false" customHeight="false" outlineLevel="0" collapsed="false">
      <c r="A91" s="244" t="s">
        <v>267</v>
      </c>
      <c r="B91" s="214" t="n">
        <f aca="false">VLOOKUP(A91,'TH theo khach hang'!$A$4:$C$309,2,FALSE())</f>
        <v>0</v>
      </c>
      <c r="C91" s="245" t="str">
        <f aca="false">IF(VLOOKUP(A91,'TH theo khach hang'!$A$4:$C$309,3,FALSE())=0, "", "x")</f>
        <v/>
      </c>
      <c r="D91" s="246" t="n">
        <f aca="false">F91-H91</f>
        <v>0</v>
      </c>
      <c r="E91" s="247" t="n">
        <f aca="false">G91-I91</f>
        <v>0</v>
      </c>
      <c r="F91" s="248" t="n">
        <f aca="false">VLOOKUP(A91,'TH theo khach hang'!$A$4:$G$309,4,FALSE())</f>
        <v>0</v>
      </c>
      <c r="G91" s="249" t="n">
        <f aca="false">VLOOKUP(A91,'TH theo khach hang'!$A$4:$G$309,5,FALSE())</f>
        <v>0</v>
      </c>
      <c r="H91" s="248" t="n">
        <f aca="false">J91+L91+N91+P91+R91+T91+V91+X91+Z91+AB91+AD91+AF91</f>
        <v>0</v>
      </c>
      <c r="I91" s="250" t="n">
        <f aca="false">K91+M91+O91+Q91+S91+U91+W91+Y91+AA91+AC91+AE91+AG91</f>
        <v>0</v>
      </c>
      <c r="J91" s="249"/>
      <c r="K91" s="249"/>
      <c r="L91" s="249"/>
      <c r="M91" s="249"/>
      <c r="N91" s="249"/>
      <c r="O91" s="249"/>
      <c r="P91" s="249"/>
      <c r="Q91" s="249"/>
      <c r="R91" s="249"/>
      <c r="S91" s="249"/>
      <c r="T91" s="249"/>
      <c r="U91" s="249"/>
      <c r="V91" s="249"/>
      <c r="W91" s="249"/>
      <c r="X91" s="249"/>
      <c r="Y91" s="249"/>
      <c r="Z91" s="249"/>
      <c r="AA91" s="249"/>
      <c r="AB91" s="249"/>
      <c r="AC91" s="249"/>
      <c r="AD91" s="249"/>
      <c r="AE91" s="249"/>
      <c r="AF91" s="249"/>
      <c r="AG91" s="249"/>
    </row>
    <row r="92" customFormat="false" ht="16.5" hidden="false" customHeight="true" outlineLevel="0" collapsed="false">
      <c r="A92" s="244" t="s">
        <v>268</v>
      </c>
      <c r="B92" s="214" t="n">
        <f aca="false">VLOOKUP(A92,'TH theo khach hang'!$A$4:$C$309,2,FALSE())</f>
        <v>0</v>
      </c>
      <c r="C92" s="245" t="str">
        <f aca="false">IF(VLOOKUP(A92,'TH theo khach hang'!$A$4:$C$309,3,FALSE())=0, "", "x")</f>
        <v/>
      </c>
      <c r="D92" s="246" t="n">
        <f aca="false">F92-H92</f>
        <v>0</v>
      </c>
      <c r="E92" s="247" t="n">
        <f aca="false">G92-I92</f>
        <v>0</v>
      </c>
      <c r="F92" s="248" t="n">
        <f aca="false">VLOOKUP(A92,'TH theo khach hang'!$A$4:$G$309,4,FALSE())</f>
        <v>0</v>
      </c>
      <c r="G92" s="249" t="n">
        <f aca="false">VLOOKUP(A92,'TH theo khach hang'!$A$4:$G$309,5,FALSE())</f>
        <v>0</v>
      </c>
      <c r="H92" s="248" t="n">
        <f aca="false">J92+L92+N92+P92+R92+T92+V92+X92+Z92+AB92+AD92+AF92</f>
        <v>0</v>
      </c>
      <c r="I92" s="250" t="n">
        <f aca="false">K92+M92+O92+Q92+S92+U92+W92+Y92+AA92+AC92+AE92+AG92</f>
        <v>0</v>
      </c>
      <c r="J92" s="249"/>
      <c r="K92" s="249"/>
      <c r="L92" s="249"/>
      <c r="M92" s="249"/>
      <c r="N92" s="249"/>
      <c r="O92" s="249"/>
      <c r="P92" s="249"/>
      <c r="Q92" s="249"/>
      <c r="R92" s="249"/>
      <c r="S92" s="249"/>
      <c r="T92" s="249"/>
      <c r="U92" s="249"/>
      <c r="V92" s="249"/>
      <c r="W92" s="249"/>
      <c r="X92" s="249"/>
      <c r="Y92" s="249"/>
      <c r="Z92" s="249"/>
      <c r="AA92" s="249"/>
      <c r="AB92" s="249"/>
      <c r="AC92" s="249"/>
      <c r="AD92" s="249"/>
      <c r="AE92" s="249"/>
      <c r="AF92" s="249"/>
      <c r="AG92" s="249"/>
    </row>
    <row r="93" customFormat="false" ht="16.5" hidden="false" customHeight="false" outlineLevel="0" collapsed="false">
      <c r="A93" s="244" t="s">
        <v>269</v>
      </c>
      <c r="B93" s="214" t="n">
        <f aca="false">VLOOKUP(A93,'TH theo khach hang'!$A$4:$C$309,2,FALSE())</f>
        <v>0</v>
      </c>
      <c r="C93" s="245" t="str">
        <f aca="false">IF(VLOOKUP(A93,'TH theo khach hang'!$A$4:$C$309,3,FALSE())=0, "", "x")</f>
        <v/>
      </c>
      <c r="D93" s="246" t="n">
        <f aca="false">F93-H93</f>
        <v>0</v>
      </c>
      <c r="E93" s="247" t="n">
        <f aca="false">G93-I93</f>
        <v>0</v>
      </c>
      <c r="F93" s="248" t="n">
        <f aca="false">VLOOKUP(A93,'TH theo khach hang'!$A$4:$G$309,4,FALSE())</f>
        <v>0</v>
      </c>
      <c r="G93" s="249" t="n">
        <f aca="false">VLOOKUP(A93,'TH theo khach hang'!$A$4:$G$309,5,FALSE())</f>
        <v>0</v>
      </c>
      <c r="H93" s="248" t="n">
        <f aca="false">J93+L93+N93+P93+R93+T93+V93+X93+Z93+AB93+AD93+AF93</f>
        <v>0</v>
      </c>
      <c r="I93" s="250" t="n">
        <f aca="false">K93+M93+O93+Q93+S93+U93+W93+Y93+AA93+AC93+AE93+AG93</f>
        <v>0</v>
      </c>
      <c r="J93" s="249"/>
      <c r="K93" s="249"/>
      <c r="L93" s="249"/>
      <c r="M93" s="249"/>
      <c r="N93" s="249"/>
      <c r="O93" s="249"/>
      <c r="P93" s="249"/>
      <c r="Q93" s="249"/>
      <c r="R93" s="249"/>
      <c r="S93" s="249"/>
      <c r="T93" s="249"/>
      <c r="U93" s="249"/>
      <c r="V93" s="249"/>
      <c r="W93" s="249"/>
      <c r="X93" s="249"/>
      <c r="Y93" s="249"/>
      <c r="Z93" s="249"/>
      <c r="AA93" s="249"/>
      <c r="AB93" s="249"/>
      <c r="AC93" s="249"/>
      <c r="AD93" s="249"/>
      <c r="AE93" s="249"/>
      <c r="AF93" s="249"/>
      <c r="AG93" s="249"/>
    </row>
    <row r="94" customFormat="false" ht="18" hidden="false" customHeight="true" outlineLevel="0" collapsed="false">
      <c r="A94" s="244" t="s">
        <v>270</v>
      </c>
      <c r="B94" s="214" t="n">
        <f aca="false">VLOOKUP(A94,'TH theo khach hang'!$A$4:$C$309,2,FALSE())</f>
        <v>0</v>
      </c>
      <c r="C94" s="245" t="str">
        <f aca="false">IF(VLOOKUP(A94,'TH theo khach hang'!$A$4:$C$309,3,FALSE())=0, "", "x")</f>
        <v/>
      </c>
      <c r="D94" s="246" t="n">
        <f aca="false">F94-H94</f>
        <v>0</v>
      </c>
      <c r="E94" s="247" t="n">
        <f aca="false">G94-I94</f>
        <v>0</v>
      </c>
      <c r="F94" s="248" t="n">
        <f aca="false">VLOOKUP(A94,'TH theo khach hang'!$A$4:$G$309,4,FALSE())</f>
        <v>0</v>
      </c>
      <c r="G94" s="249" t="n">
        <f aca="false">VLOOKUP(A94,'TH theo khach hang'!$A$4:$G$309,5,FALSE())</f>
        <v>0</v>
      </c>
      <c r="H94" s="248" t="n">
        <f aca="false">J94+L94+N94+P94+R94+T94+V94+X94+Z94+AB94+AD94+AF94</f>
        <v>0</v>
      </c>
      <c r="I94" s="250" t="n">
        <f aca="false">K94+M94+O94+Q94+S94+U94+W94+Y94+AA94+AC94+AE94+AG94</f>
        <v>0</v>
      </c>
      <c r="J94" s="249"/>
      <c r="K94" s="249"/>
      <c r="L94" s="249"/>
      <c r="M94" s="249"/>
      <c r="N94" s="249"/>
      <c r="O94" s="249"/>
      <c r="P94" s="249"/>
      <c r="Q94" s="249"/>
      <c r="R94" s="249"/>
      <c r="S94" s="249"/>
      <c r="T94" s="249"/>
      <c r="U94" s="249"/>
      <c r="V94" s="249"/>
      <c r="W94" s="249"/>
      <c r="X94" s="249"/>
      <c r="Y94" s="249"/>
      <c r="Z94" s="249"/>
      <c r="AA94" s="249"/>
      <c r="AB94" s="249"/>
      <c r="AC94" s="249"/>
      <c r="AD94" s="249"/>
      <c r="AE94" s="249"/>
      <c r="AF94" s="249"/>
      <c r="AG94" s="249"/>
    </row>
    <row r="95" customFormat="false" ht="16.5" hidden="false" customHeight="false" outlineLevel="0" collapsed="false">
      <c r="A95" s="244" t="s">
        <v>271</v>
      </c>
      <c r="B95" s="214" t="n">
        <f aca="false">VLOOKUP(A95,'TH theo khach hang'!$A$4:$C$309,2,FALSE())</f>
        <v>0</v>
      </c>
      <c r="C95" s="245" t="str">
        <f aca="false">IF(VLOOKUP(A95,'TH theo khach hang'!$A$4:$C$309,3,FALSE())=0, "", "x")</f>
        <v/>
      </c>
      <c r="D95" s="246" t="n">
        <f aca="false">F95-H95</f>
        <v>0</v>
      </c>
      <c r="E95" s="247" t="n">
        <f aca="false">G95-I95</f>
        <v>0</v>
      </c>
      <c r="F95" s="248" t="n">
        <f aca="false">VLOOKUP(A95,'TH theo khach hang'!$A$4:$G$309,4,FALSE())</f>
        <v>0</v>
      </c>
      <c r="G95" s="249" t="n">
        <f aca="false">VLOOKUP(A95,'TH theo khach hang'!$A$4:$G$309,5,FALSE())</f>
        <v>0</v>
      </c>
      <c r="H95" s="248" t="n">
        <f aca="false">J95+L95+N95+P95+R95+T95+V95+X95+Z95+AB95+AD95+AF95</f>
        <v>0</v>
      </c>
      <c r="I95" s="250" t="n">
        <f aca="false">K95+M95+O95+Q95+S95+U95+W95+Y95+AA95+AC95+AE95+AG95</f>
        <v>0</v>
      </c>
      <c r="J95" s="249"/>
      <c r="K95" s="249"/>
      <c r="L95" s="249"/>
      <c r="M95" s="249"/>
      <c r="N95" s="249"/>
      <c r="O95" s="249"/>
      <c r="P95" s="249"/>
      <c r="Q95" s="249"/>
      <c r="R95" s="249"/>
      <c r="S95" s="249"/>
      <c r="T95" s="249"/>
      <c r="U95" s="249"/>
      <c r="V95" s="249"/>
      <c r="W95" s="249"/>
      <c r="X95" s="249"/>
      <c r="Y95" s="249"/>
      <c r="Z95" s="249"/>
      <c r="AA95" s="249"/>
      <c r="AB95" s="249"/>
      <c r="AC95" s="249"/>
      <c r="AD95" s="249"/>
      <c r="AE95" s="249"/>
      <c r="AF95" s="249"/>
      <c r="AG95" s="249"/>
    </row>
    <row r="96" customFormat="false" ht="16.5" hidden="false" customHeight="false" outlineLevel="0" collapsed="false">
      <c r="A96" s="244" t="s">
        <v>272</v>
      </c>
      <c r="B96" s="214" t="n">
        <f aca="false">VLOOKUP(A96,'TH theo khach hang'!$A$4:$C$309,2,FALSE())</f>
        <v>0</v>
      </c>
      <c r="C96" s="245" t="str">
        <f aca="false">IF(VLOOKUP(A96,'TH theo khach hang'!$A$4:$C$309,3,FALSE())=0, "", "x")</f>
        <v/>
      </c>
      <c r="D96" s="246" t="n">
        <f aca="false">F96-H96</f>
        <v>0</v>
      </c>
      <c r="E96" s="247" t="n">
        <f aca="false">G96-I96</f>
        <v>0</v>
      </c>
      <c r="F96" s="248" t="n">
        <f aca="false">VLOOKUP(A96,'TH theo khach hang'!$A$4:$G$309,4,FALSE())</f>
        <v>0</v>
      </c>
      <c r="G96" s="249" t="n">
        <f aca="false">VLOOKUP(A96,'TH theo khach hang'!$A$4:$G$309,5,FALSE())</f>
        <v>0</v>
      </c>
      <c r="H96" s="248" t="n">
        <f aca="false">J96+L96+N96+P96+R96+T96+V96+X96+Z96+AB96+AD96+AF96</f>
        <v>0</v>
      </c>
      <c r="I96" s="250" t="n">
        <f aca="false">K96+M96+O96+Q96+S96+U96+W96+Y96+AA96+AC96+AE96+AG96</f>
        <v>0</v>
      </c>
      <c r="J96" s="249"/>
      <c r="K96" s="249"/>
      <c r="L96" s="249"/>
      <c r="M96" s="249"/>
      <c r="N96" s="249"/>
      <c r="O96" s="249"/>
      <c r="P96" s="249"/>
      <c r="Q96" s="249"/>
      <c r="R96" s="249"/>
      <c r="S96" s="249"/>
      <c r="T96" s="249"/>
      <c r="U96" s="249"/>
      <c r="V96" s="249"/>
      <c r="W96" s="249"/>
      <c r="X96" s="249"/>
      <c r="Y96" s="249"/>
      <c r="Z96" s="249"/>
      <c r="AA96" s="249"/>
      <c r="AB96" s="249"/>
      <c r="AC96" s="249"/>
      <c r="AD96" s="249"/>
      <c r="AE96" s="249"/>
      <c r="AF96" s="249"/>
      <c r="AG96" s="249"/>
    </row>
    <row r="97" customFormat="false" ht="16.5" hidden="false" customHeight="false" outlineLevel="0" collapsed="false">
      <c r="A97" s="244" t="s">
        <v>273</v>
      </c>
      <c r="B97" s="214" t="n">
        <f aca="false">VLOOKUP(A97,'TH theo khach hang'!$A$4:$C$309,2,FALSE())</f>
        <v>0</v>
      </c>
      <c r="C97" s="245" t="str">
        <f aca="false">IF(VLOOKUP(A97,'TH theo khach hang'!$A$4:$C$309,3,FALSE())=0, "", "x")</f>
        <v/>
      </c>
      <c r="D97" s="246" t="n">
        <f aca="false">F97-H97</f>
        <v>0</v>
      </c>
      <c r="E97" s="247" t="n">
        <f aca="false">G97-I97</f>
        <v>0</v>
      </c>
      <c r="F97" s="248" t="n">
        <f aca="false">VLOOKUP(A97,'TH theo khach hang'!$A$4:$G$309,4,FALSE())</f>
        <v>0</v>
      </c>
      <c r="G97" s="249" t="n">
        <f aca="false">VLOOKUP(A97,'TH theo khach hang'!$A$4:$G$309,5,FALSE())</f>
        <v>0</v>
      </c>
      <c r="H97" s="248" t="n">
        <f aca="false">J97+L97+N97+P97+R97+T97+V97+X97+Z97+AB97+AD97+AF97</f>
        <v>0</v>
      </c>
      <c r="I97" s="250" t="n">
        <f aca="false">K97+M97+O97+Q97+S97+U97+W97+Y97+AA97+AC97+AE97+AG97</f>
        <v>0</v>
      </c>
      <c r="J97" s="249"/>
      <c r="K97" s="249"/>
      <c r="L97" s="249"/>
      <c r="M97" s="249"/>
      <c r="N97" s="249"/>
      <c r="O97" s="249"/>
      <c r="P97" s="249"/>
      <c r="Q97" s="249"/>
      <c r="R97" s="249"/>
      <c r="S97" s="249"/>
      <c r="T97" s="249"/>
      <c r="U97" s="249"/>
      <c r="V97" s="249"/>
      <c r="W97" s="249"/>
      <c r="X97" s="249"/>
      <c r="Y97" s="249"/>
      <c r="Z97" s="249"/>
      <c r="AA97" s="249"/>
      <c r="AB97" s="249"/>
      <c r="AC97" s="249"/>
      <c r="AD97" s="249"/>
      <c r="AE97" s="249"/>
      <c r="AF97" s="249"/>
      <c r="AG97" s="249"/>
    </row>
    <row r="98" customFormat="false" ht="16.5" hidden="false" customHeight="false" outlineLevel="0" collapsed="false">
      <c r="A98" s="244" t="s">
        <v>274</v>
      </c>
      <c r="B98" s="214" t="n">
        <f aca="false">VLOOKUP(A98,'TH theo khach hang'!$A$4:$C$309,2,FALSE())</f>
        <v>0</v>
      </c>
      <c r="C98" s="245" t="str">
        <f aca="false">IF(VLOOKUP(A98,'TH theo khach hang'!$A$4:$C$309,3,FALSE())=0, "", "x")</f>
        <v/>
      </c>
      <c r="D98" s="246" t="n">
        <f aca="false">F98-H98</f>
        <v>0</v>
      </c>
      <c r="E98" s="247" t="n">
        <f aca="false">G98-I98</f>
        <v>0</v>
      </c>
      <c r="F98" s="248" t="n">
        <f aca="false">VLOOKUP(A98,'TH theo khach hang'!$A$4:$G$309,4,FALSE())</f>
        <v>0</v>
      </c>
      <c r="G98" s="249" t="n">
        <f aca="false">VLOOKUP(A98,'TH theo khach hang'!$A$4:$G$309,5,FALSE())</f>
        <v>0</v>
      </c>
      <c r="H98" s="248" t="n">
        <f aca="false">J98+L98+N98+P98+R98+T98+V98+X98+Z98+AB98+AD98+AF98</f>
        <v>0</v>
      </c>
      <c r="I98" s="250" t="n">
        <f aca="false">K98+M98+O98+Q98+S98+U98+W98+Y98+AA98+AC98+AE98+AG98</f>
        <v>0</v>
      </c>
      <c r="J98" s="249"/>
      <c r="K98" s="249"/>
      <c r="L98" s="249"/>
      <c r="M98" s="249"/>
      <c r="N98" s="249"/>
      <c r="O98" s="249"/>
      <c r="P98" s="249"/>
      <c r="Q98" s="249"/>
      <c r="R98" s="249"/>
      <c r="S98" s="249"/>
      <c r="T98" s="249"/>
      <c r="U98" s="249"/>
      <c r="V98" s="249"/>
      <c r="W98" s="249"/>
      <c r="X98" s="249"/>
      <c r="Y98" s="249"/>
      <c r="Z98" s="249"/>
      <c r="AA98" s="249"/>
      <c r="AB98" s="249"/>
      <c r="AC98" s="249"/>
      <c r="AD98" s="249"/>
      <c r="AE98" s="249"/>
      <c r="AF98" s="249"/>
      <c r="AG98" s="249"/>
    </row>
    <row r="99" customFormat="false" ht="16.5" hidden="false" customHeight="false" outlineLevel="0" collapsed="false">
      <c r="A99" s="244" t="s">
        <v>275</v>
      </c>
      <c r="B99" s="214" t="n">
        <f aca="false">VLOOKUP(A99,'TH theo khach hang'!$A$4:$C$309,2,FALSE())</f>
        <v>0</v>
      </c>
      <c r="C99" s="245" t="str">
        <f aca="false">IF(VLOOKUP(A99,'TH theo khach hang'!$A$4:$C$309,3,FALSE())=0, "", "x")</f>
        <v/>
      </c>
      <c r="D99" s="246" t="n">
        <f aca="false">F99-H99</f>
        <v>0</v>
      </c>
      <c r="E99" s="247" t="n">
        <f aca="false">G99-I99</f>
        <v>0</v>
      </c>
      <c r="F99" s="248" t="n">
        <f aca="false">VLOOKUP(A99,'TH theo khach hang'!$A$4:$G$309,4,FALSE())</f>
        <v>0</v>
      </c>
      <c r="G99" s="249" t="n">
        <f aca="false">VLOOKUP(A99,'TH theo khach hang'!$A$4:$G$309,5,FALSE())</f>
        <v>0</v>
      </c>
      <c r="H99" s="248" t="n">
        <f aca="false">J99+L99+N99+P99+R99+T99+V99+X99+Z99+AB99+AD99+AF99</f>
        <v>0</v>
      </c>
      <c r="I99" s="250" t="n">
        <f aca="false">K99+M99+O99+Q99+S99+U99+W99+Y99+AA99+AC99+AE99+AG99</f>
        <v>0</v>
      </c>
      <c r="J99" s="249"/>
      <c r="K99" s="249"/>
      <c r="L99" s="249"/>
      <c r="M99" s="249"/>
      <c r="N99" s="249"/>
      <c r="O99" s="249"/>
      <c r="P99" s="249"/>
      <c r="Q99" s="249"/>
      <c r="R99" s="249"/>
      <c r="S99" s="249"/>
      <c r="T99" s="249"/>
      <c r="U99" s="249"/>
      <c r="V99" s="249"/>
      <c r="W99" s="249"/>
      <c r="X99" s="249"/>
      <c r="Y99" s="249"/>
      <c r="Z99" s="249"/>
      <c r="AA99" s="249"/>
      <c r="AB99" s="249"/>
      <c r="AC99" s="249"/>
      <c r="AD99" s="249"/>
      <c r="AE99" s="249"/>
      <c r="AF99" s="249"/>
      <c r="AG99" s="249"/>
    </row>
    <row r="100" customFormat="false" ht="16.5" hidden="false" customHeight="false" outlineLevel="0" collapsed="false">
      <c r="A100" s="244" t="s">
        <v>276</v>
      </c>
      <c r="B100" s="214" t="n">
        <f aca="false">VLOOKUP(A100,'TH theo khach hang'!$A$4:$C$309,2,FALSE())</f>
        <v>0</v>
      </c>
      <c r="C100" s="245" t="str">
        <f aca="false">IF(VLOOKUP(A100,'TH theo khach hang'!$A$4:$C$309,3,FALSE())=0, "", "x")</f>
        <v/>
      </c>
      <c r="D100" s="246" t="n">
        <f aca="false">F100-H100</f>
        <v>0</v>
      </c>
      <c r="E100" s="247" t="n">
        <f aca="false">G100-I100</f>
        <v>0</v>
      </c>
      <c r="F100" s="248" t="n">
        <f aca="false">VLOOKUP(A100,'TH theo khach hang'!$A$4:$G$309,4,FALSE())</f>
        <v>0</v>
      </c>
      <c r="G100" s="249" t="n">
        <f aca="false">VLOOKUP(A100,'TH theo khach hang'!$A$4:$G$309,5,FALSE())</f>
        <v>0</v>
      </c>
      <c r="H100" s="248" t="n">
        <f aca="false">J100+L100+N100+P100+R100+T100+V100+X100+Z100+AB100+AD100+AF100</f>
        <v>0</v>
      </c>
      <c r="I100" s="250" t="n">
        <f aca="false">K100+M100+O100+Q100+S100+U100+W100+Y100+AA100+AC100+AE100+AG100</f>
        <v>0</v>
      </c>
      <c r="J100" s="249"/>
      <c r="K100" s="249"/>
      <c r="L100" s="249"/>
      <c r="M100" s="249"/>
      <c r="N100" s="249"/>
      <c r="O100" s="249"/>
      <c r="P100" s="249"/>
      <c r="Q100" s="249"/>
      <c r="R100" s="249"/>
      <c r="S100" s="249"/>
      <c r="T100" s="249"/>
      <c r="U100" s="249"/>
      <c r="V100" s="249"/>
      <c r="W100" s="249"/>
      <c r="X100" s="249"/>
      <c r="Y100" s="249"/>
      <c r="Z100" s="249"/>
      <c r="AA100" s="249"/>
      <c r="AB100" s="249"/>
      <c r="AC100" s="249"/>
      <c r="AD100" s="249"/>
      <c r="AE100" s="249"/>
      <c r="AF100" s="249"/>
      <c r="AG100" s="249"/>
    </row>
    <row r="101" customFormat="false" ht="16.5" hidden="false" customHeight="false" outlineLevel="0" collapsed="false">
      <c r="A101" s="244" t="s">
        <v>277</v>
      </c>
      <c r="B101" s="214" t="n">
        <f aca="false">VLOOKUP(A101,'TH theo khach hang'!$A$4:$C$309,2,FALSE())</f>
        <v>0</v>
      </c>
      <c r="C101" s="245" t="str">
        <f aca="false">IF(VLOOKUP(A101,'TH theo khach hang'!$A$4:$C$309,3,FALSE())=0, "", "x")</f>
        <v/>
      </c>
      <c r="D101" s="246" t="n">
        <f aca="false">F101-H101</f>
        <v>0</v>
      </c>
      <c r="E101" s="247" t="n">
        <f aca="false">G101-I101</f>
        <v>0</v>
      </c>
      <c r="F101" s="248" t="n">
        <f aca="false">VLOOKUP(A101,'TH theo khach hang'!$A$4:$G$309,4,FALSE())</f>
        <v>0</v>
      </c>
      <c r="G101" s="249" t="n">
        <f aca="false">VLOOKUP(A101,'TH theo khach hang'!$A$4:$G$309,5,FALSE())</f>
        <v>0</v>
      </c>
      <c r="H101" s="248" t="n">
        <f aca="false">J101+L101+N101+P101+R101+T101+V101+X101+Z101+AB101+AD101+AF101</f>
        <v>0</v>
      </c>
      <c r="I101" s="250" t="n">
        <f aca="false">K101+M101+O101+Q101+S101+U101+W101+Y101+AA101+AC101+AE101+AG101</f>
        <v>0</v>
      </c>
      <c r="J101" s="249"/>
      <c r="K101" s="249"/>
      <c r="L101" s="249"/>
      <c r="M101" s="249"/>
      <c r="N101" s="249"/>
      <c r="O101" s="249"/>
      <c r="P101" s="249"/>
      <c r="Q101" s="249"/>
      <c r="R101" s="249"/>
      <c r="S101" s="249"/>
      <c r="T101" s="249"/>
      <c r="U101" s="249"/>
      <c r="V101" s="249"/>
      <c r="W101" s="249"/>
      <c r="X101" s="249"/>
      <c r="Y101" s="249"/>
      <c r="Z101" s="249"/>
      <c r="AA101" s="249"/>
      <c r="AB101" s="249"/>
      <c r="AC101" s="249"/>
      <c r="AD101" s="249"/>
      <c r="AE101" s="249"/>
      <c r="AF101" s="249"/>
      <c r="AG101" s="249"/>
      <c r="AH101" s="251"/>
    </row>
    <row r="102" customFormat="false" ht="16.5" hidden="false" customHeight="false" outlineLevel="0" collapsed="false">
      <c r="A102" s="244" t="s">
        <v>278</v>
      </c>
      <c r="B102" s="214" t="n">
        <f aca="false">VLOOKUP(A102,'TH theo khach hang'!$A$4:$C$309,2,FALSE())</f>
        <v>0</v>
      </c>
      <c r="C102" s="245" t="str">
        <f aca="false">IF(VLOOKUP(A102,'TH theo khach hang'!$A$4:$C$309,3,FALSE())=0, "", "x")</f>
        <v/>
      </c>
      <c r="D102" s="246" t="n">
        <f aca="false">F102-H102</f>
        <v>0</v>
      </c>
      <c r="E102" s="247" t="n">
        <f aca="false">G102-I102</f>
        <v>0</v>
      </c>
      <c r="F102" s="248" t="n">
        <f aca="false">VLOOKUP(A102,'TH theo khach hang'!$A$4:$G$309,4,FALSE())</f>
        <v>0</v>
      </c>
      <c r="G102" s="249" t="n">
        <f aca="false">VLOOKUP(A102,'TH theo khach hang'!$A$4:$G$309,5,FALSE())</f>
        <v>0</v>
      </c>
      <c r="H102" s="248" t="n">
        <f aca="false">J102+L102+N102+P102+R102+T102+V102+X102+Z102+AB102+AD102+AF102</f>
        <v>0</v>
      </c>
      <c r="I102" s="250" t="n">
        <f aca="false">K102+M102+O102+Q102+S102+U102+W102+Y102+AA102+AC102+AE102+AG102</f>
        <v>0</v>
      </c>
      <c r="J102" s="249"/>
      <c r="K102" s="249"/>
      <c r="L102" s="249"/>
      <c r="M102" s="249"/>
      <c r="N102" s="249"/>
      <c r="O102" s="249"/>
      <c r="P102" s="249"/>
      <c r="Q102" s="249"/>
      <c r="R102" s="249"/>
      <c r="S102" s="249"/>
      <c r="T102" s="249"/>
      <c r="U102" s="249"/>
      <c r="V102" s="249"/>
      <c r="W102" s="249"/>
      <c r="X102" s="249"/>
      <c r="Y102" s="249"/>
      <c r="Z102" s="249"/>
      <c r="AA102" s="249"/>
      <c r="AB102" s="249"/>
      <c r="AC102" s="249"/>
      <c r="AD102" s="249"/>
      <c r="AE102" s="249"/>
      <c r="AF102" s="249"/>
      <c r="AG102" s="249"/>
    </row>
    <row r="103" customFormat="false" ht="16.5" hidden="false" customHeight="false" outlineLevel="0" collapsed="false">
      <c r="A103" s="244" t="s">
        <v>279</v>
      </c>
      <c r="B103" s="214" t="n">
        <f aca="false">VLOOKUP(A103,'TH theo khach hang'!$A$4:$C$309,2,FALSE())</f>
        <v>0</v>
      </c>
      <c r="C103" s="245" t="str">
        <f aca="false">IF(VLOOKUP(A103,'TH theo khach hang'!$A$4:$C$309,3,FALSE())=0, "", "x")</f>
        <v/>
      </c>
      <c r="D103" s="246" t="n">
        <f aca="false">F103-H103</f>
        <v>0</v>
      </c>
      <c r="E103" s="247" t="n">
        <f aca="false">G103-I103</f>
        <v>0</v>
      </c>
      <c r="F103" s="248" t="n">
        <f aca="false">VLOOKUP(A103,'TH theo khach hang'!$A$4:$G$309,4,FALSE())</f>
        <v>0</v>
      </c>
      <c r="G103" s="249" t="n">
        <f aca="false">VLOOKUP(A103,'TH theo khach hang'!$A$4:$G$309,5,FALSE())</f>
        <v>0</v>
      </c>
      <c r="H103" s="248" t="n">
        <f aca="false">J103+L103+N103+P103+R103+T103+V103+X103+Z103+AB103+AD103+AF103</f>
        <v>0</v>
      </c>
      <c r="I103" s="250" t="n">
        <f aca="false">K103+M103+O103+Q103+S103+U103+W103+Y103+AA103+AC103+AE103+AG103</f>
        <v>0</v>
      </c>
      <c r="J103" s="249"/>
      <c r="K103" s="249"/>
      <c r="L103" s="249"/>
      <c r="M103" s="249"/>
      <c r="N103" s="249"/>
      <c r="O103" s="249"/>
      <c r="P103" s="249"/>
      <c r="Q103" s="249"/>
      <c r="R103" s="249"/>
      <c r="S103" s="249"/>
      <c r="T103" s="249"/>
      <c r="U103" s="249"/>
      <c r="V103" s="249"/>
      <c r="W103" s="249"/>
      <c r="X103" s="249"/>
      <c r="Y103" s="249"/>
      <c r="Z103" s="249"/>
      <c r="AA103" s="249"/>
      <c r="AB103" s="249"/>
      <c r="AC103" s="249"/>
      <c r="AD103" s="249"/>
      <c r="AE103" s="249"/>
      <c r="AF103" s="249"/>
      <c r="AG103" s="249"/>
    </row>
    <row r="104" customFormat="false" ht="16.5" hidden="false" customHeight="false" outlineLevel="0" collapsed="false">
      <c r="A104" s="244" t="s">
        <v>280</v>
      </c>
      <c r="B104" s="214" t="n">
        <f aca="false">VLOOKUP(A104,'TH theo khach hang'!$A$4:$C$309,2,FALSE())</f>
        <v>0</v>
      </c>
      <c r="C104" s="245" t="str">
        <f aca="false">IF(VLOOKUP(A104,'TH theo khach hang'!$A$4:$C$309,3,FALSE())=0, "", "x")</f>
        <v/>
      </c>
      <c r="D104" s="246" t="n">
        <f aca="false">F104-H104</f>
        <v>0</v>
      </c>
      <c r="E104" s="247" t="n">
        <f aca="false">G104-I104</f>
        <v>0</v>
      </c>
      <c r="F104" s="248" t="n">
        <f aca="false">VLOOKUP(A104,'TH theo khach hang'!$A$4:$G$309,4,FALSE())</f>
        <v>0</v>
      </c>
      <c r="G104" s="249" t="n">
        <f aca="false">VLOOKUP(A104,'TH theo khach hang'!$A$4:$G$309,5,FALSE())</f>
        <v>0</v>
      </c>
      <c r="H104" s="248" t="n">
        <f aca="false">J104+L104+N104+P104+R104+T104+V104+X104+Z104+AB104+AD104+AF104</f>
        <v>0</v>
      </c>
      <c r="I104" s="250" t="n">
        <f aca="false">K104+M104+O104+Q104+S104+U104+W104+Y104+AA104+AC104+AE104+AG104</f>
        <v>0</v>
      </c>
      <c r="J104" s="249"/>
      <c r="K104" s="249"/>
      <c r="L104" s="249"/>
      <c r="M104" s="249"/>
      <c r="N104" s="249"/>
      <c r="O104" s="249"/>
      <c r="P104" s="249"/>
      <c r="Q104" s="249"/>
      <c r="R104" s="249"/>
      <c r="S104" s="249"/>
      <c r="T104" s="249"/>
      <c r="U104" s="249"/>
      <c r="V104" s="249"/>
      <c r="W104" s="249"/>
      <c r="X104" s="249"/>
      <c r="Y104" s="249"/>
      <c r="Z104" s="249"/>
      <c r="AA104" s="249"/>
      <c r="AB104" s="249"/>
      <c r="AC104" s="249"/>
      <c r="AD104" s="249"/>
      <c r="AE104" s="249"/>
      <c r="AF104" s="249"/>
      <c r="AG104" s="249"/>
      <c r="AH104" s="251"/>
    </row>
    <row r="105" customFormat="false" ht="16.5" hidden="false" customHeight="false" outlineLevel="0" collapsed="false">
      <c r="A105" s="244" t="s">
        <v>281</v>
      </c>
      <c r="B105" s="214" t="n">
        <f aca="false">VLOOKUP(A105,'TH theo khach hang'!$A$4:$C$309,2,FALSE())</f>
        <v>0</v>
      </c>
      <c r="C105" s="245" t="str">
        <f aca="false">IF(VLOOKUP(A105,'TH theo khach hang'!$A$4:$C$309,3,FALSE())=0, "", "x")</f>
        <v/>
      </c>
      <c r="D105" s="246" t="n">
        <f aca="false">F105-H105</f>
        <v>0</v>
      </c>
      <c r="E105" s="247" t="n">
        <f aca="false">G105-I105</f>
        <v>0</v>
      </c>
      <c r="F105" s="248" t="n">
        <f aca="false">VLOOKUP(A105,'TH theo khach hang'!$A$4:$G$309,4,FALSE())</f>
        <v>0</v>
      </c>
      <c r="G105" s="249" t="n">
        <f aca="false">VLOOKUP(A105,'TH theo khach hang'!$A$4:$G$309,5,FALSE())</f>
        <v>0</v>
      </c>
      <c r="H105" s="248" t="n">
        <f aca="false">J105+L105+N105+P105+R105+T105+V105+X105+Z105+AB105+AD105+AF105</f>
        <v>0</v>
      </c>
      <c r="I105" s="250" t="n">
        <f aca="false">K105+M105+O105+Q105+S105+U105+W105+Y105+AA105+AC105+AE105+AG105</f>
        <v>0</v>
      </c>
      <c r="J105" s="249"/>
      <c r="K105" s="249"/>
      <c r="L105" s="249"/>
      <c r="M105" s="249"/>
      <c r="N105" s="249"/>
      <c r="O105" s="249"/>
      <c r="P105" s="249"/>
      <c r="Q105" s="249"/>
      <c r="R105" s="249"/>
      <c r="S105" s="249"/>
      <c r="T105" s="249"/>
      <c r="U105" s="249"/>
      <c r="V105" s="249"/>
      <c r="W105" s="249"/>
      <c r="X105" s="249"/>
      <c r="Y105" s="249"/>
      <c r="Z105" s="249"/>
      <c r="AA105" s="249"/>
      <c r="AB105" s="249"/>
      <c r="AC105" s="249"/>
      <c r="AD105" s="249"/>
      <c r="AE105" s="249"/>
      <c r="AF105" s="249"/>
      <c r="AG105" s="249"/>
    </row>
    <row r="106" customFormat="false" ht="16.5" hidden="false" customHeight="false" outlineLevel="0" collapsed="false">
      <c r="A106" s="244" t="s">
        <v>282</v>
      </c>
      <c r="B106" s="214" t="str">
        <f aca="false">VLOOKUP(A106,'TH theo khach hang'!$A$4:$C$309,2,FALSE())</f>
        <v>Chuyển doanh thu từ ITO</v>
      </c>
      <c r="C106" s="245" t="str">
        <f aca="false">IF(VLOOKUP(A106,'TH theo khach hang'!$A$4:$C$309,3,FALSE())=0, "", "x")</f>
        <v/>
      </c>
      <c r="D106" s="246" t="n">
        <f aca="false">F106-H106</f>
        <v>0</v>
      </c>
      <c r="E106" s="247" t="n">
        <f aca="false">G106-I106</f>
        <v>0</v>
      </c>
      <c r="F106" s="248" t="n">
        <f aca="false">VLOOKUP(A106,'TH theo khach hang'!$A$4:$G$309,4,FALSE())</f>
        <v>0</v>
      </c>
      <c r="G106" s="249" t="n">
        <f aca="false">VLOOKUP(A106,'TH theo khach hang'!$A$4:$G$309,5,FALSE())</f>
        <v>0</v>
      </c>
      <c r="H106" s="248" t="n">
        <f aca="false">J106+L106+N106+P106+R106+T106+V106+X106+Z106+AB106+AD106+AF106</f>
        <v>0</v>
      </c>
      <c r="I106" s="250" t="n">
        <f aca="false">K106+M106+O106+Q106+S106+U106+W106+Y106+AA106+AC106+AE106+AG106</f>
        <v>0</v>
      </c>
      <c r="J106" s="249"/>
      <c r="K106" s="249"/>
      <c r="L106" s="249"/>
      <c r="M106" s="249"/>
      <c r="N106" s="249"/>
      <c r="O106" s="249"/>
      <c r="P106" s="249"/>
      <c r="Q106" s="249"/>
      <c r="R106" s="249"/>
      <c r="S106" s="249"/>
      <c r="T106" s="249"/>
      <c r="U106" s="249"/>
      <c r="V106" s="249"/>
      <c r="W106" s="249"/>
      <c r="X106" s="249"/>
      <c r="Y106" s="249"/>
      <c r="Z106" s="249"/>
      <c r="AA106" s="249"/>
      <c r="AB106" s="249"/>
      <c r="AC106" s="249"/>
      <c r="AD106" s="249"/>
      <c r="AE106" s="249"/>
      <c r="AF106" s="249"/>
      <c r="AG106" s="249"/>
    </row>
    <row r="107" customFormat="false" ht="16.5" hidden="true" customHeight="false" outlineLevel="0" collapsed="false">
      <c r="A107" s="240" t="s">
        <v>284</v>
      </c>
      <c r="B107" s="240"/>
      <c r="C107" s="241"/>
      <c r="D107" s="241"/>
      <c r="E107" s="241"/>
      <c r="F107" s="241"/>
      <c r="G107" s="241"/>
      <c r="H107" s="241"/>
      <c r="I107" s="243"/>
      <c r="J107" s="243"/>
      <c r="K107" s="243"/>
      <c r="L107" s="243"/>
      <c r="M107" s="243"/>
      <c r="N107" s="243"/>
      <c r="O107" s="243"/>
      <c r="P107" s="243"/>
      <c r="Q107" s="243"/>
      <c r="R107" s="243"/>
      <c r="S107" s="243"/>
      <c r="T107" s="243"/>
      <c r="U107" s="243"/>
      <c r="V107" s="243"/>
      <c r="W107" s="243"/>
      <c r="X107" s="243"/>
      <c r="Y107" s="243"/>
      <c r="Z107" s="243"/>
      <c r="AA107" s="243"/>
      <c r="AB107" s="243"/>
      <c r="AC107" s="243"/>
      <c r="AD107" s="243"/>
      <c r="AE107" s="243"/>
      <c r="AF107" s="243"/>
      <c r="AG107" s="243"/>
    </row>
    <row r="108" customFormat="false" ht="16.5" hidden="true" customHeight="false" outlineLevel="0" collapsed="false">
      <c r="A108" s="252" t="s">
        <v>285</v>
      </c>
      <c r="B108" s="214" t="n">
        <f aca="false">VLOOKUP(A108,'TH theo khach hang'!$A$4:$C$309,2,FALSE())</f>
        <v>0</v>
      </c>
      <c r="C108" s="245" t="str">
        <f aca="false">IF(VLOOKUP(A108,'TH theo khach hang'!$A$4:$C$309,3,FALSE())=0, "", "x")</f>
        <v/>
      </c>
      <c r="D108" s="246" t="n">
        <f aca="false">F108-H108</f>
        <v>0</v>
      </c>
      <c r="E108" s="247" t="n">
        <f aca="false">G108-I108</f>
        <v>0</v>
      </c>
      <c r="F108" s="248" t="n">
        <f aca="false">VLOOKUP(A108,'TH theo khach hang'!$A$4:$G$309,4,FALSE())</f>
        <v>0</v>
      </c>
      <c r="G108" s="249" t="n">
        <f aca="false">VLOOKUP(A108,'TH theo khach hang'!$A$4:$G$309,5,FALSE())</f>
        <v>0</v>
      </c>
      <c r="H108" s="248" t="n">
        <f aca="false">J108+L108+N108+P108+R108+T108+V108+X108+Z108+AB108+AD108+AF108</f>
        <v>0</v>
      </c>
      <c r="I108" s="250" t="n">
        <f aca="false">K108+M108+O108+Q108+S108+U108+W108+Y108+AA108+AC108+AE108+AG108</f>
        <v>0</v>
      </c>
      <c r="J108" s="249" t="n">
        <v>0</v>
      </c>
      <c r="K108" s="249" t="n">
        <v>0</v>
      </c>
      <c r="L108" s="249" t="n">
        <v>0</v>
      </c>
      <c r="M108" s="249" t="n">
        <v>0</v>
      </c>
      <c r="N108" s="249" t="n">
        <v>0</v>
      </c>
      <c r="O108" s="249" t="n">
        <v>0</v>
      </c>
      <c r="P108" s="249" t="n">
        <v>0</v>
      </c>
      <c r="Q108" s="249" t="n">
        <v>0</v>
      </c>
      <c r="R108" s="249" t="n">
        <v>0</v>
      </c>
      <c r="S108" s="249" t="n">
        <v>0</v>
      </c>
      <c r="T108" s="249" t="n">
        <v>0</v>
      </c>
      <c r="U108" s="249" t="n">
        <v>0</v>
      </c>
      <c r="V108" s="249" t="n">
        <v>0</v>
      </c>
      <c r="W108" s="249" t="n">
        <v>0</v>
      </c>
      <c r="X108" s="249" t="n">
        <v>0</v>
      </c>
      <c r="Y108" s="249" t="n">
        <v>0</v>
      </c>
      <c r="Z108" s="249" t="n">
        <v>0</v>
      </c>
      <c r="AA108" s="249" t="n">
        <v>0</v>
      </c>
      <c r="AB108" s="249" t="n">
        <v>0</v>
      </c>
      <c r="AC108" s="249" t="n">
        <v>0</v>
      </c>
      <c r="AD108" s="249" t="n">
        <v>0</v>
      </c>
      <c r="AE108" s="249" t="n">
        <v>0</v>
      </c>
      <c r="AF108" s="249" t="n">
        <v>0</v>
      </c>
      <c r="AG108" s="249" t="n">
        <v>0</v>
      </c>
      <c r="AH108" s="251"/>
    </row>
    <row r="109" customFormat="false" ht="16.5" hidden="true" customHeight="false" outlineLevel="0" collapsed="false">
      <c r="A109" s="252" t="s">
        <v>286</v>
      </c>
      <c r="B109" s="214" t="n">
        <f aca="false">VLOOKUP(A109,'TH theo khach hang'!$A$4:$C$309,2,FALSE())</f>
        <v>0</v>
      </c>
      <c r="C109" s="245" t="str">
        <f aca="false">IF(VLOOKUP(A109,'TH theo khach hang'!$A$4:$C$309,3,FALSE())=0, "", "x")</f>
        <v/>
      </c>
      <c r="D109" s="246" t="n">
        <f aca="false">F109-H109</f>
        <v>0</v>
      </c>
      <c r="E109" s="247" t="n">
        <f aca="false">G109-I109</f>
        <v>0</v>
      </c>
      <c r="F109" s="248" t="n">
        <f aca="false">VLOOKUP(A109,'TH theo khach hang'!$A$4:$G$309,4,FALSE())</f>
        <v>0</v>
      </c>
      <c r="G109" s="249" t="n">
        <f aca="false">VLOOKUP(A109,'TH theo khach hang'!$A$4:$G$309,5,FALSE())</f>
        <v>0</v>
      </c>
      <c r="H109" s="248" t="n">
        <f aca="false">J109+L109+N109+P109+R109+T109+V109+X109+Z109+AB109+AD109+AF109</f>
        <v>0</v>
      </c>
      <c r="I109" s="250" t="n">
        <f aca="false">K109+M109+O109+Q109+S109+U109+W109+Y109+AA109+AC109+AE109+AG109</f>
        <v>0</v>
      </c>
      <c r="J109" s="249" t="n">
        <v>0</v>
      </c>
      <c r="K109" s="249" t="n">
        <v>0</v>
      </c>
      <c r="L109" s="249" t="n">
        <v>0</v>
      </c>
      <c r="M109" s="249" t="n">
        <v>0</v>
      </c>
      <c r="N109" s="249" t="n">
        <v>0</v>
      </c>
      <c r="O109" s="249" t="n">
        <v>0</v>
      </c>
      <c r="P109" s="249" t="n">
        <v>0</v>
      </c>
      <c r="Q109" s="249" t="n">
        <v>0</v>
      </c>
      <c r="R109" s="249" t="n">
        <v>0</v>
      </c>
      <c r="S109" s="249" t="n">
        <v>0</v>
      </c>
      <c r="T109" s="249" t="n">
        <v>0</v>
      </c>
      <c r="U109" s="249" t="n">
        <v>0</v>
      </c>
      <c r="V109" s="249" t="n">
        <v>0</v>
      </c>
      <c r="W109" s="249" t="n">
        <v>0</v>
      </c>
      <c r="X109" s="249" t="n">
        <v>0</v>
      </c>
      <c r="Y109" s="249" t="n">
        <v>0</v>
      </c>
      <c r="Z109" s="249" t="n">
        <v>0</v>
      </c>
      <c r="AA109" s="249" t="n">
        <v>0</v>
      </c>
      <c r="AB109" s="249" t="n">
        <v>0</v>
      </c>
      <c r="AC109" s="249" t="n">
        <v>0</v>
      </c>
      <c r="AD109" s="249" t="n">
        <v>0</v>
      </c>
      <c r="AE109" s="249" t="n">
        <v>0</v>
      </c>
      <c r="AF109" s="249" t="n">
        <v>0</v>
      </c>
      <c r="AG109" s="249" t="n">
        <v>0</v>
      </c>
      <c r="AH109" s="251"/>
    </row>
    <row r="110" customFormat="false" ht="16.5" hidden="true" customHeight="false" outlineLevel="0" collapsed="false">
      <c r="A110" s="252" t="s">
        <v>287</v>
      </c>
      <c r="B110" s="214" t="n">
        <f aca="false">VLOOKUP(A110,'TH theo khach hang'!$A$4:$C$309,2,FALSE())</f>
        <v>0</v>
      </c>
      <c r="C110" s="245" t="str">
        <f aca="false">IF(VLOOKUP(A110,'TH theo khach hang'!$A$4:$C$309,3,FALSE())=0, "", "x")</f>
        <v/>
      </c>
      <c r="D110" s="246" t="n">
        <f aca="false">F110-H110</f>
        <v>0</v>
      </c>
      <c r="E110" s="247" t="n">
        <f aca="false">G110-I110</f>
        <v>0</v>
      </c>
      <c r="F110" s="248" t="n">
        <f aca="false">VLOOKUP(A110,'TH theo khach hang'!$A$4:$G$309,4,FALSE())</f>
        <v>0</v>
      </c>
      <c r="G110" s="249" t="n">
        <f aca="false">VLOOKUP(A110,'TH theo khach hang'!$A$4:$G$309,5,FALSE())</f>
        <v>0</v>
      </c>
      <c r="H110" s="248" t="n">
        <f aca="false">J110+L110+N110+P110+R110+T110+V110+X110+Z110+AB110+AD110+AF110</f>
        <v>0</v>
      </c>
      <c r="I110" s="250" t="n">
        <f aca="false">K110+M110+O110+Q110+S110+U110+W110+Y110+AA110+AC110+AE110+AG110</f>
        <v>0</v>
      </c>
      <c r="J110" s="249" t="n">
        <v>0</v>
      </c>
      <c r="K110" s="249" t="n">
        <v>0</v>
      </c>
      <c r="L110" s="249" t="n">
        <v>0</v>
      </c>
      <c r="M110" s="249" t="n">
        <v>0</v>
      </c>
      <c r="N110" s="249" t="n">
        <v>0</v>
      </c>
      <c r="O110" s="249" t="n">
        <v>0</v>
      </c>
      <c r="P110" s="249" t="n">
        <v>0</v>
      </c>
      <c r="Q110" s="249" t="n">
        <v>0</v>
      </c>
      <c r="R110" s="249" t="n">
        <v>0</v>
      </c>
      <c r="S110" s="249" t="n">
        <v>0</v>
      </c>
      <c r="T110" s="249" t="n">
        <v>0</v>
      </c>
      <c r="U110" s="249" t="n">
        <v>0</v>
      </c>
      <c r="V110" s="249" t="n">
        <v>0</v>
      </c>
      <c r="W110" s="249" t="n">
        <v>0</v>
      </c>
      <c r="X110" s="249" t="n">
        <v>0</v>
      </c>
      <c r="Y110" s="249" t="n">
        <v>0</v>
      </c>
      <c r="Z110" s="249" t="n">
        <v>0</v>
      </c>
      <c r="AA110" s="249" t="n">
        <v>0</v>
      </c>
      <c r="AB110" s="249" t="n">
        <v>0</v>
      </c>
      <c r="AC110" s="249" t="n">
        <v>0</v>
      </c>
      <c r="AD110" s="249" t="n">
        <v>0</v>
      </c>
      <c r="AE110" s="249" t="n">
        <v>0</v>
      </c>
      <c r="AF110" s="249" t="n">
        <v>0</v>
      </c>
      <c r="AG110" s="249" t="n">
        <v>0</v>
      </c>
      <c r="AH110" s="251"/>
    </row>
    <row r="111" customFormat="false" ht="16.5" hidden="true" customHeight="false" outlineLevel="0" collapsed="false">
      <c r="A111" s="252" t="s">
        <v>288</v>
      </c>
      <c r="B111" s="214" t="n">
        <f aca="false">VLOOKUP(A111,'TH theo khach hang'!$A$4:$C$309,2,FALSE())</f>
        <v>0</v>
      </c>
      <c r="C111" s="245" t="str">
        <f aca="false">IF(VLOOKUP(A111,'TH theo khach hang'!$A$4:$C$309,3,FALSE())=0, "", "x")</f>
        <v/>
      </c>
      <c r="D111" s="246" t="n">
        <f aca="false">F111-H111</f>
        <v>0</v>
      </c>
      <c r="E111" s="247" t="n">
        <f aca="false">G111-I111</f>
        <v>0</v>
      </c>
      <c r="F111" s="248" t="n">
        <f aca="false">VLOOKUP(A111,'TH theo khach hang'!$A$4:$G$309,4,FALSE())</f>
        <v>0</v>
      </c>
      <c r="G111" s="249" t="n">
        <f aca="false">VLOOKUP(A111,'TH theo khach hang'!$A$4:$G$309,5,FALSE())</f>
        <v>0</v>
      </c>
      <c r="H111" s="248" t="n">
        <f aca="false">J111+L111+N111+P111+R111+T111+V111+X111+Z111+AB111+AD111+AF111</f>
        <v>0</v>
      </c>
      <c r="I111" s="250" t="n">
        <f aca="false">K111+M111+O111+Q111+S111+U111+W111+Y111+AA111+AC111+AE111+AG111</f>
        <v>0</v>
      </c>
      <c r="J111" s="249" t="n">
        <v>0</v>
      </c>
      <c r="K111" s="249" t="n">
        <v>0</v>
      </c>
      <c r="L111" s="249" t="n">
        <v>0</v>
      </c>
      <c r="M111" s="249" t="n">
        <v>0</v>
      </c>
      <c r="N111" s="249" t="n">
        <v>0</v>
      </c>
      <c r="O111" s="249" t="n">
        <v>0</v>
      </c>
      <c r="P111" s="249" t="n">
        <v>0</v>
      </c>
      <c r="Q111" s="249" t="n">
        <v>0</v>
      </c>
      <c r="R111" s="249" t="n">
        <v>0</v>
      </c>
      <c r="S111" s="249" t="n">
        <v>0</v>
      </c>
      <c r="T111" s="249" t="n">
        <v>0</v>
      </c>
      <c r="U111" s="249" t="n">
        <v>0</v>
      </c>
      <c r="V111" s="249" t="n">
        <v>0</v>
      </c>
      <c r="W111" s="249" t="n">
        <v>0</v>
      </c>
      <c r="X111" s="249" t="n">
        <v>0</v>
      </c>
      <c r="Y111" s="249" t="n">
        <v>0</v>
      </c>
      <c r="Z111" s="249" t="n">
        <v>0</v>
      </c>
      <c r="AA111" s="249" t="n">
        <v>0</v>
      </c>
      <c r="AB111" s="249" t="n">
        <v>0</v>
      </c>
      <c r="AC111" s="249" t="n">
        <v>0</v>
      </c>
      <c r="AD111" s="249" t="n">
        <v>0</v>
      </c>
      <c r="AE111" s="249" t="n">
        <v>0</v>
      </c>
      <c r="AF111" s="249" t="n">
        <v>0</v>
      </c>
      <c r="AG111" s="249" t="n">
        <v>0</v>
      </c>
      <c r="AH111" s="251"/>
    </row>
    <row r="112" customFormat="false" ht="16.5" hidden="true" customHeight="false" outlineLevel="0" collapsed="false">
      <c r="A112" s="252" t="s">
        <v>289</v>
      </c>
      <c r="B112" s="214" t="n">
        <f aca="false">VLOOKUP(A112,'TH theo khach hang'!$A$4:$C$309,2,FALSE())</f>
        <v>0</v>
      </c>
      <c r="C112" s="245" t="str">
        <f aca="false">IF(VLOOKUP(A112,'TH theo khach hang'!$A$4:$C$309,3,FALSE())=0, "", "x")</f>
        <v/>
      </c>
      <c r="D112" s="246" t="n">
        <f aca="false">F112-H112</f>
        <v>0</v>
      </c>
      <c r="E112" s="247" t="n">
        <f aca="false">G112-I112</f>
        <v>0</v>
      </c>
      <c r="F112" s="248" t="n">
        <f aca="false">VLOOKUP(A112,'TH theo khach hang'!$A$4:$G$309,4,FALSE())</f>
        <v>0</v>
      </c>
      <c r="G112" s="249" t="n">
        <f aca="false">VLOOKUP(A112,'TH theo khach hang'!$A$4:$G$309,5,FALSE())</f>
        <v>0</v>
      </c>
      <c r="H112" s="248" t="n">
        <f aca="false">J112+L112+N112+P112+R112+T112+V112+X112+Z112+AB112+AD112+AF112</f>
        <v>0</v>
      </c>
      <c r="I112" s="250" t="n">
        <f aca="false">K112+M112+O112+Q112+S112+U112+W112+Y112+AA112+AC112+AE112+AG112</f>
        <v>0</v>
      </c>
      <c r="J112" s="249" t="n">
        <v>0</v>
      </c>
      <c r="K112" s="249" t="n">
        <v>0</v>
      </c>
      <c r="L112" s="249" t="n">
        <v>0</v>
      </c>
      <c r="M112" s="249" t="n">
        <v>0</v>
      </c>
      <c r="N112" s="249" t="n">
        <v>0</v>
      </c>
      <c r="O112" s="249" t="n">
        <v>0</v>
      </c>
      <c r="P112" s="249" t="n">
        <v>0</v>
      </c>
      <c r="Q112" s="249" t="n">
        <v>0</v>
      </c>
      <c r="R112" s="249" t="n">
        <v>0</v>
      </c>
      <c r="S112" s="249" t="n">
        <v>0</v>
      </c>
      <c r="T112" s="249" t="n">
        <v>0</v>
      </c>
      <c r="U112" s="249" t="n">
        <v>0</v>
      </c>
      <c r="V112" s="249" t="n">
        <v>0</v>
      </c>
      <c r="W112" s="249" t="n">
        <v>0</v>
      </c>
      <c r="X112" s="249" t="n">
        <v>0</v>
      </c>
      <c r="Y112" s="249" t="n">
        <v>0</v>
      </c>
      <c r="Z112" s="249" t="n">
        <v>0</v>
      </c>
      <c r="AA112" s="249" t="n">
        <v>0</v>
      </c>
      <c r="AB112" s="249" t="n">
        <v>0</v>
      </c>
      <c r="AC112" s="249" t="n">
        <v>0</v>
      </c>
      <c r="AD112" s="249" t="n">
        <v>0</v>
      </c>
      <c r="AE112" s="249" t="n">
        <v>0</v>
      </c>
      <c r="AF112" s="249" t="n">
        <v>0</v>
      </c>
      <c r="AG112" s="249" t="n">
        <v>0</v>
      </c>
    </row>
    <row r="113" customFormat="false" ht="16.5" hidden="true" customHeight="false" outlineLevel="0" collapsed="false">
      <c r="A113" s="252" t="s">
        <v>290</v>
      </c>
      <c r="B113" s="214" t="n">
        <f aca="false">VLOOKUP(A113,'TH theo khach hang'!$A$4:$C$309,2,FALSE())</f>
        <v>0</v>
      </c>
      <c r="C113" s="245" t="str">
        <f aca="false">IF(VLOOKUP(A113,'TH theo khach hang'!$A$4:$C$309,3,FALSE())=0, "", "x")</f>
        <v/>
      </c>
      <c r="D113" s="246" t="n">
        <f aca="false">F113-H113</f>
        <v>0</v>
      </c>
      <c r="E113" s="247" t="n">
        <f aca="false">G113-I113</f>
        <v>0</v>
      </c>
      <c r="F113" s="248" t="n">
        <f aca="false">VLOOKUP(A113,'TH theo khach hang'!$A$4:$G$309,4,FALSE())</f>
        <v>0</v>
      </c>
      <c r="G113" s="249" t="n">
        <f aca="false">VLOOKUP(A113,'TH theo khach hang'!$A$4:$G$309,5,FALSE())</f>
        <v>0</v>
      </c>
      <c r="H113" s="248" t="n">
        <f aca="false">J113+L113+N113+P113+R113+T113+V113+X113+Z113+AB113+AD113+AF113</f>
        <v>0</v>
      </c>
      <c r="I113" s="250" t="n">
        <f aca="false">K113+M113+O113+Q113+S113+U113+W113+Y113+AA113+AC113+AE113+AG113</f>
        <v>0</v>
      </c>
      <c r="J113" s="249" t="n">
        <v>0</v>
      </c>
      <c r="K113" s="249" t="n">
        <v>0</v>
      </c>
      <c r="L113" s="249" t="n">
        <v>0</v>
      </c>
      <c r="M113" s="249" t="n">
        <v>0</v>
      </c>
      <c r="N113" s="249" t="n">
        <v>0</v>
      </c>
      <c r="O113" s="249" t="n">
        <v>0</v>
      </c>
      <c r="P113" s="249" t="n">
        <v>0</v>
      </c>
      <c r="Q113" s="249" t="n">
        <v>0</v>
      </c>
      <c r="R113" s="249" t="n">
        <v>0</v>
      </c>
      <c r="S113" s="249" t="n">
        <v>0</v>
      </c>
      <c r="T113" s="249" t="n">
        <v>0</v>
      </c>
      <c r="U113" s="249" t="n">
        <v>0</v>
      </c>
      <c r="V113" s="249" t="n">
        <v>0</v>
      </c>
      <c r="W113" s="249" t="n">
        <v>0</v>
      </c>
      <c r="X113" s="249" t="n">
        <v>0</v>
      </c>
      <c r="Y113" s="249" t="n">
        <v>0</v>
      </c>
      <c r="Z113" s="249" t="n">
        <v>0</v>
      </c>
      <c r="AA113" s="249" t="n">
        <v>0</v>
      </c>
      <c r="AB113" s="249" t="n">
        <v>0</v>
      </c>
      <c r="AC113" s="249" t="n">
        <v>0</v>
      </c>
      <c r="AD113" s="249" t="n">
        <v>0</v>
      </c>
      <c r="AE113" s="249" t="n">
        <v>0</v>
      </c>
      <c r="AF113" s="249" t="n">
        <v>0</v>
      </c>
      <c r="AG113" s="249" t="n">
        <v>0</v>
      </c>
    </row>
    <row r="114" customFormat="false" ht="16.5" hidden="true" customHeight="false" outlineLevel="0" collapsed="false">
      <c r="A114" s="252" t="s">
        <v>291</v>
      </c>
      <c r="B114" s="214" t="n">
        <f aca="false">VLOOKUP(A114,'TH theo khach hang'!$A$4:$C$309,2,FALSE())</f>
        <v>0</v>
      </c>
      <c r="C114" s="245" t="str">
        <f aca="false">IF(VLOOKUP(A114,'TH theo khach hang'!$A$4:$C$309,3,FALSE())=0, "", "x")</f>
        <v/>
      </c>
      <c r="D114" s="246" t="n">
        <f aca="false">F114-H114</f>
        <v>0</v>
      </c>
      <c r="E114" s="247" t="n">
        <f aca="false">G114-I114</f>
        <v>0</v>
      </c>
      <c r="F114" s="248" t="n">
        <f aca="false">VLOOKUP(A114,'TH theo khach hang'!$A$4:$G$309,4,FALSE())</f>
        <v>0</v>
      </c>
      <c r="G114" s="249" t="n">
        <f aca="false">VLOOKUP(A114,'TH theo khach hang'!$A$4:$G$309,5,FALSE())</f>
        <v>0</v>
      </c>
      <c r="H114" s="248" t="n">
        <f aca="false">J114+L114+N114+P114+R114+T114+V114+X114+Z114+AB114+AD114+AF114</f>
        <v>0</v>
      </c>
      <c r="I114" s="250" t="n">
        <f aca="false">K114+M114+O114+Q114+S114+U114+W114+Y114+AA114+AC114+AE114+AG114</f>
        <v>0</v>
      </c>
      <c r="J114" s="249" t="n">
        <v>0</v>
      </c>
      <c r="K114" s="249" t="n">
        <v>0</v>
      </c>
      <c r="L114" s="249" t="n">
        <v>0</v>
      </c>
      <c r="M114" s="249" t="n">
        <v>0</v>
      </c>
      <c r="N114" s="249" t="n">
        <v>0</v>
      </c>
      <c r="O114" s="249" t="n">
        <v>0</v>
      </c>
      <c r="P114" s="249" t="n">
        <v>0</v>
      </c>
      <c r="Q114" s="249" t="n">
        <v>0</v>
      </c>
      <c r="R114" s="249" t="n">
        <v>0</v>
      </c>
      <c r="S114" s="249" t="n">
        <v>0</v>
      </c>
      <c r="T114" s="249" t="n">
        <v>0</v>
      </c>
      <c r="U114" s="249" t="n">
        <v>0</v>
      </c>
      <c r="V114" s="249" t="n">
        <v>0</v>
      </c>
      <c r="W114" s="249" t="n">
        <v>0</v>
      </c>
      <c r="X114" s="249" t="n">
        <v>0</v>
      </c>
      <c r="Y114" s="249" t="n">
        <v>0</v>
      </c>
      <c r="Z114" s="249" t="n">
        <v>0</v>
      </c>
      <c r="AA114" s="249" t="n">
        <v>0</v>
      </c>
      <c r="AB114" s="249" t="n">
        <v>0</v>
      </c>
      <c r="AC114" s="249" t="n">
        <v>0</v>
      </c>
      <c r="AD114" s="249" t="n">
        <v>0</v>
      </c>
      <c r="AE114" s="249" t="n">
        <v>0</v>
      </c>
      <c r="AF114" s="249" t="n">
        <v>0</v>
      </c>
      <c r="AG114" s="249" t="n">
        <v>0</v>
      </c>
      <c r="AH114" s="251"/>
    </row>
    <row r="115" customFormat="false" ht="16.5" hidden="true" customHeight="false" outlineLevel="0" collapsed="false">
      <c r="A115" s="252" t="s">
        <v>292</v>
      </c>
      <c r="B115" s="214" t="n">
        <f aca="false">VLOOKUP(A115,'TH theo khach hang'!$A$4:$C$309,2,FALSE())</f>
        <v>0</v>
      </c>
      <c r="C115" s="245" t="str">
        <f aca="false">IF(VLOOKUP(A115,'TH theo khach hang'!$A$4:$C$309,3,FALSE())=0, "", "x")</f>
        <v/>
      </c>
      <c r="D115" s="246" t="n">
        <f aca="false">F115-H115</f>
        <v>0</v>
      </c>
      <c r="E115" s="247" t="n">
        <f aca="false">G115-I115</f>
        <v>0</v>
      </c>
      <c r="F115" s="248" t="n">
        <f aca="false">VLOOKUP(A115,'TH theo khach hang'!$A$4:$G$309,4,FALSE())</f>
        <v>0</v>
      </c>
      <c r="G115" s="249" t="n">
        <f aca="false">VLOOKUP(A115,'TH theo khach hang'!$A$4:$G$309,5,FALSE())</f>
        <v>0</v>
      </c>
      <c r="H115" s="248" t="n">
        <f aca="false">J115+L115+N115+P115+R115+T115+V115+X115+Z115+AB115+AD115+AF115</f>
        <v>0</v>
      </c>
      <c r="I115" s="250" t="n">
        <f aca="false">K115+M115+O115+Q115+S115+U115+W115+Y115+AA115+AC115+AE115+AG115</f>
        <v>0</v>
      </c>
      <c r="J115" s="249" t="n">
        <v>0</v>
      </c>
      <c r="K115" s="249" t="n">
        <v>0</v>
      </c>
      <c r="L115" s="249" t="n">
        <v>0</v>
      </c>
      <c r="M115" s="249" t="n">
        <v>0</v>
      </c>
      <c r="N115" s="249" t="n">
        <v>0</v>
      </c>
      <c r="O115" s="249" t="n">
        <v>0</v>
      </c>
      <c r="P115" s="249" t="n">
        <v>0</v>
      </c>
      <c r="Q115" s="249" t="n">
        <v>0</v>
      </c>
      <c r="R115" s="249" t="n">
        <v>0</v>
      </c>
      <c r="S115" s="249" t="n">
        <v>0</v>
      </c>
      <c r="T115" s="249" t="n">
        <v>0</v>
      </c>
      <c r="U115" s="249" t="n">
        <v>0</v>
      </c>
      <c r="V115" s="249" t="n">
        <v>0</v>
      </c>
      <c r="W115" s="249" t="n">
        <v>0</v>
      </c>
      <c r="X115" s="249" t="n">
        <v>0</v>
      </c>
      <c r="Y115" s="249" t="n">
        <v>0</v>
      </c>
      <c r="Z115" s="249" t="n">
        <v>0</v>
      </c>
      <c r="AA115" s="249" t="n">
        <v>0</v>
      </c>
      <c r="AB115" s="249" t="n">
        <v>0</v>
      </c>
      <c r="AC115" s="249" t="n">
        <v>0</v>
      </c>
      <c r="AD115" s="249" t="n">
        <v>0</v>
      </c>
      <c r="AE115" s="249" t="n">
        <v>0</v>
      </c>
      <c r="AF115" s="249" t="n">
        <v>0</v>
      </c>
      <c r="AG115" s="249" t="n">
        <v>0</v>
      </c>
    </row>
    <row r="116" customFormat="false" ht="16.5" hidden="true" customHeight="false" outlineLevel="0" collapsed="false">
      <c r="A116" s="252" t="s">
        <v>293</v>
      </c>
      <c r="B116" s="214" t="n">
        <f aca="false">VLOOKUP(A116,'TH theo khach hang'!$A$4:$C$309,2,FALSE())</f>
        <v>0</v>
      </c>
      <c r="C116" s="245" t="str">
        <f aca="false">IF(VLOOKUP(A116,'TH theo khach hang'!$A$4:$C$309,3,FALSE())=0, "", "x")</f>
        <v/>
      </c>
      <c r="D116" s="246" t="n">
        <f aca="false">F116-H116</f>
        <v>0</v>
      </c>
      <c r="E116" s="247" t="n">
        <f aca="false">G116-I116</f>
        <v>0</v>
      </c>
      <c r="F116" s="248" t="n">
        <f aca="false">VLOOKUP(A116,'TH theo khach hang'!$A$4:$G$309,4,FALSE())</f>
        <v>0</v>
      </c>
      <c r="G116" s="249" t="n">
        <f aca="false">VLOOKUP(A116,'TH theo khach hang'!$A$4:$G$309,5,FALSE())</f>
        <v>0</v>
      </c>
      <c r="H116" s="248" t="n">
        <f aca="false">J116+L116+N116+P116+R116+T116+V116+X116+Z116+AB116+AD116+AF116</f>
        <v>0</v>
      </c>
      <c r="I116" s="250" t="n">
        <f aca="false">K116+M116+O116+Q116+S116+U116+W116+Y116+AA116+AC116+AE116+AG116</f>
        <v>0</v>
      </c>
      <c r="J116" s="249" t="n">
        <v>0</v>
      </c>
      <c r="K116" s="249" t="n">
        <v>0</v>
      </c>
      <c r="L116" s="249" t="n">
        <v>0</v>
      </c>
      <c r="M116" s="249" t="n">
        <v>0</v>
      </c>
      <c r="N116" s="249" t="n">
        <v>0</v>
      </c>
      <c r="O116" s="249" t="n">
        <v>0</v>
      </c>
      <c r="P116" s="249" t="n">
        <v>0</v>
      </c>
      <c r="Q116" s="249" t="n">
        <v>0</v>
      </c>
      <c r="R116" s="249" t="n">
        <v>0</v>
      </c>
      <c r="S116" s="249" t="n">
        <v>0</v>
      </c>
      <c r="T116" s="249" t="n">
        <v>0</v>
      </c>
      <c r="U116" s="249" t="n">
        <v>0</v>
      </c>
      <c r="V116" s="249" t="n">
        <v>0</v>
      </c>
      <c r="W116" s="249" t="n">
        <v>0</v>
      </c>
      <c r="X116" s="249" t="n">
        <v>0</v>
      </c>
      <c r="Y116" s="249" t="n">
        <v>0</v>
      </c>
      <c r="Z116" s="249" t="n">
        <v>0</v>
      </c>
      <c r="AA116" s="249" t="n">
        <v>0</v>
      </c>
      <c r="AB116" s="249" t="n">
        <v>0</v>
      </c>
      <c r="AC116" s="249" t="n">
        <v>0</v>
      </c>
      <c r="AD116" s="249" t="n">
        <v>0</v>
      </c>
      <c r="AE116" s="249" t="n">
        <v>0</v>
      </c>
      <c r="AF116" s="249" t="n">
        <v>0</v>
      </c>
      <c r="AG116" s="249" t="n">
        <v>0</v>
      </c>
    </row>
    <row r="117" customFormat="false" ht="16.5" hidden="true" customHeight="false" outlineLevel="0" collapsed="false">
      <c r="A117" s="252" t="s">
        <v>294</v>
      </c>
      <c r="B117" s="214" t="n">
        <f aca="false">VLOOKUP(A117,'TH theo khach hang'!$A$4:$C$309,2,FALSE())</f>
        <v>0</v>
      </c>
      <c r="C117" s="245" t="str">
        <f aca="false">IF(VLOOKUP(A117,'TH theo khach hang'!$A$4:$C$309,3,FALSE())=0, "", "x")</f>
        <v/>
      </c>
      <c r="D117" s="246" t="n">
        <f aca="false">F117-H117</f>
        <v>0</v>
      </c>
      <c r="E117" s="247" t="n">
        <f aca="false">G117-I117</f>
        <v>0</v>
      </c>
      <c r="F117" s="248" t="n">
        <f aca="false">VLOOKUP(A117,'TH theo khach hang'!$A$4:$G$309,4,FALSE())</f>
        <v>0</v>
      </c>
      <c r="G117" s="249" t="n">
        <f aca="false">VLOOKUP(A117,'TH theo khach hang'!$A$4:$G$309,5,FALSE())</f>
        <v>0</v>
      </c>
      <c r="H117" s="248" t="n">
        <f aca="false">J117+L117+N117+P117+R117+T117+V117+X117+Z117+AB117+AD117+AF117</f>
        <v>0</v>
      </c>
      <c r="I117" s="250" t="n">
        <f aca="false">K117+M117+O117+Q117+S117+U117+W117+Y117+AA117+AC117+AE117+AG117</f>
        <v>0</v>
      </c>
      <c r="J117" s="249" t="n">
        <v>0</v>
      </c>
      <c r="K117" s="249" t="n">
        <v>0</v>
      </c>
      <c r="L117" s="249" t="n">
        <v>0</v>
      </c>
      <c r="M117" s="249" t="n">
        <v>0</v>
      </c>
      <c r="N117" s="249" t="n">
        <v>0</v>
      </c>
      <c r="O117" s="249" t="n">
        <v>0</v>
      </c>
      <c r="P117" s="249" t="n">
        <v>0</v>
      </c>
      <c r="Q117" s="249" t="n">
        <v>0</v>
      </c>
      <c r="R117" s="249" t="n">
        <v>0</v>
      </c>
      <c r="S117" s="249" t="n">
        <v>0</v>
      </c>
      <c r="T117" s="249" t="n">
        <v>0</v>
      </c>
      <c r="U117" s="249" t="n">
        <v>0</v>
      </c>
      <c r="V117" s="249" t="n">
        <v>0</v>
      </c>
      <c r="W117" s="249" t="n">
        <v>0</v>
      </c>
      <c r="X117" s="249" t="n">
        <v>0</v>
      </c>
      <c r="Y117" s="249" t="n">
        <v>0</v>
      </c>
      <c r="Z117" s="249" t="n">
        <v>0</v>
      </c>
      <c r="AA117" s="249" t="n">
        <v>0</v>
      </c>
      <c r="AB117" s="249" t="n">
        <v>0</v>
      </c>
      <c r="AC117" s="249" t="n">
        <v>0</v>
      </c>
      <c r="AD117" s="249" t="n">
        <v>0</v>
      </c>
      <c r="AE117" s="249" t="n">
        <v>0</v>
      </c>
      <c r="AF117" s="249" t="n">
        <v>0</v>
      </c>
      <c r="AG117" s="249" t="n">
        <v>0</v>
      </c>
      <c r="AH117" s="251"/>
    </row>
    <row r="118" customFormat="false" ht="16.5" hidden="true" customHeight="false" outlineLevel="0" collapsed="false">
      <c r="A118" s="252" t="s">
        <v>295</v>
      </c>
      <c r="B118" s="214" t="n">
        <f aca="false">VLOOKUP(A118,'TH theo khach hang'!$A$4:$C$309,2,FALSE())</f>
        <v>0</v>
      </c>
      <c r="C118" s="245" t="str">
        <f aca="false">IF(VLOOKUP(A118,'TH theo khach hang'!$A$4:$C$309,3,FALSE())=0, "", "x")</f>
        <v/>
      </c>
      <c r="D118" s="246" t="n">
        <f aca="false">F118-H118</f>
        <v>0</v>
      </c>
      <c r="E118" s="247" t="n">
        <f aca="false">G118-I118</f>
        <v>0</v>
      </c>
      <c r="F118" s="248" t="n">
        <f aca="false">VLOOKUP(A118,'TH theo khach hang'!$A$4:$G$309,4,FALSE())</f>
        <v>0</v>
      </c>
      <c r="G118" s="249" t="n">
        <f aca="false">VLOOKUP(A118,'TH theo khach hang'!$A$4:$G$309,5,FALSE())</f>
        <v>0</v>
      </c>
      <c r="H118" s="248" t="n">
        <f aca="false">J118+L118+N118+P118+R118+T118+V118+X118+Z118+AB118+AD118+AF118</f>
        <v>0</v>
      </c>
      <c r="I118" s="250" t="n">
        <f aca="false">K118+M118+O118+Q118+S118+U118+W118+Y118+AA118+AC118+AE118+AG118</f>
        <v>0</v>
      </c>
      <c r="J118" s="249" t="n">
        <v>0</v>
      </c>
      <c r="K118" s="249" t="n">
        <v>0</v>
      </c>
      <c r="L118" s="249" t="n">
        <v>0</v>
      </c>
      <c r="M118" s="249" t="n">
        <v>0</v>
      </c>
      <c r="N118" s="249" t="n">
        <v>0</v>
      </c>
      <c r="O118" s="249" t="n">
        <v>0</v>
      </c>
      <c r="P118" s="249" t="n">
        <v>0</v>
      </c>
      <c r="Q118" s="249" t="n">
        <v>0</v>
      </c>
      <c r="R118" s="249" t="n">
        <v>0</v>
      </c>
      <c r="S118" s="249" t="n">
        <v>0</v>
      </c>
      <c r="T118" s="249" t="n">
        <v>0</v>
      </c>
      <c r="U118" s="249" t="n">
        <v>0</v>
      </c>
      <c r="V118" s="249" t="n">
        <v>0</v>
      </c>
      <c r="W118" s="249" t="n">
        <v>0</v>
      </c>
      <c r="X118" s="249" t="n">
        <v>0</v>
      </c>
      <c r="Y118" s="249" t="n">
        <v>0</v>
      </c>
      <c r="Z118" s="249" t="n">
        <v>0</v>
      </c>
      <c r="AA118" s="249" t="n">
        <v>0</v>
      </c>
      <c r="AB118" s="249" t="n">
        <v>0</v>
      </c>
      <c r="AC118" s="249" t="n">
        <v>0</v>
      </c>
      <c r="AD118" s="249" t="n">
        <v>0</v>
      </c>
      <c r="AE118" s="249" t="n">
        <v>0</v>
      </c>
      <c r="AF118" s="249" t="n">
        <v>0</v>
      </c>
      <c r="AG118" s="249" t="n">
        <v>0</v>
      </c>
    </row>
    <row r="119" customFormat="false" ht="16.5" hidden="true" customHeight="false" outlineLevel="0" collapsed="false">
      <c r="A119" s="252" t="s">
        <v>296</v>
      </c>
      <c r="B119" s="214" t="n">
        <f aca="false">VLOOKUP(A119,'TH theo khach hang'!$A$4:$C$309,2,FALSE())</f>
        <v>0</v>
      </c>
      <c r="C119" s="245" t="str">
        <f aca="false">IF(VLOOKUP(A119,'TH theo khach hang'!$A$4:$C$309,3,FALSE())=0, "", "x")</f>
        <v/>
      </c>
      <c r="D119" s="246" t="n">
        <f aca="false">F119-H119</f>
        <v>0</v>
      </c>
      <c r="E119" s="247" t="n">
        <f aca="false">G119-I119</f>
        <v>0</v>
      </c>
      <c r="F119" s="248" t="n">
        <f aca="false">VLOOKUP(A119,'TH theo khach hang'!$A$4:$G$309,4,FALSE())</f>
        <v>0</v>
      </c>
      <c r="G119" s="249" t="n">
        <f aca="false">VLOOKUP(A119,'TH theo khach hang'!$A$4:$G$309,5,FALSE())</f>
        <v>0</v>
      </c>
      <c r="H119" s="248" t="n">
        <f aca="false">J119+L119+N119+P119+R119+T119+V119+X119+Z119+AB119+AD119+AF119</f>
        <v>0</v>
      </c>
      <c r="I119" s="250" t="n">
        <f aca="false">K119+M119+O119+Q119+S119+U119+W119+Y119+AA119+AC119+AE119+AG119</f>
        <v>0</v>
      </c>
      <c r="J119" s="249" t="n">
        <v>0</v>
      </c>
      <c r="K119" s="249" t="n">
        <v>0</v>
      </c>
      <c r="L119" s="249" t="n">
        <v>0</v>
      </c>
      <c r="M119" s="249" t="n">
        <v>0</v>
      </c>
      <c r="N119" s="249" t="n">
        <v>0</v>
      </c>
      <c r="O119" s="249" t="n">
        <v>0</v>
      </c>
      <c r="P119" s="249" t="n">
        <v>0</v>
      </c>
      <c r="Q119" s="249" t="n">
        <v>0</v>
      </c>
      <c r="R119" s="249" t="n">
        <v>0</v>
      </c>
      <c r="S119" s="249" t="n">
        <v>0</v>
      </c>
      <c r="T119" s="249" t="n">
        <v>0</v>
      </c>
      <c r="U119" s="249" t="n">
        <v>0</v>
      </c>
      <c r="V119" s="249" t="n">
        <v>0</v>
      </c>
      <c r="W119" s="249" t="n">
        <v>0</v>
      </c>
      <c r="X119" s="249" t="n">
        <v>0</v>
      </c>
      <c r="Y119" s="249" t="n">
        <v>0</v>
      </c>
      <c r="Z119" s="249" t="n">
        <v>0</v>
      </c>
      <c r="AA119" s="249" t="n">
        <v>0</v>
      </c>
      <c r="AB119" s="249" t="n">
        <v>0</v>
      </c>
      <c r="AC119" s="249" t="n">
        <v>0</v>
      </c>
      <c r="AD119" s="249" t="n">
        <v>0</v>
      </c>
      <c r="AE119" s="249" t="n">
        <v>0</v>
      </c>
      <c r="AF119" s="249" t="n">
        <v>0</v>
      </c>
      <c r="AG119" s="249" t="n">
        <v>0</v>
      </c>
    </row>
    <row r="120" customFormat="false" ht="16.5" hidden="true" customHeight="false" outlineLevel="0" collapsed="false">
      <c r="A120" s="252" t="s">
        <v>297</v>
      </c>
      <c r="B120" s="214" t="n">
        <f aca="false">VLOOKUP(A120,'TH theo khach hang'!$A$4:$C$309,2,FALSE())</f>
        <v>0</v>
      </c>
      <c r="C120" s="245" t="str">
        <f aca="false">IF(VLOOKUP(A120,'TH theo khach hang'!$A$4:$C$309,3,FALSE())=0, "", "x")</f>
        <v/>
      </c>
      <c r="D120" s="246" t="n">
        <f aca="false">F120-H120</f>
        <v>0</v>
      </c>
      <c r="E120" s="247" t="n">
        <f aca="false">G120-I120</f>
        <v>0</v>
      </c>
      <c r="F120" s="248" t="n">
        <f aca="false">VLOOKUP(A120,'TH theo khach hang'!$A$4:$G$309,4,FALSE())</f>
        <v>0</v>
      </c>
      <c r="G120" s="249" t="n">
        <f aca="false">VLOOKUP(A120,'TH theo khach hang'!$A$4:$G$309,5,FALSE())</f>
        <v>0</v>
      </c>
      <c r="H120" s="248" t="n">
        <f aca="false">J120+L120+N120+P120+R120+T120+V120+X120+Z120+AB120+AD120+AF120</f>
        <v>0</v>
      </c>
      <c r="I120" s="250" t="n">
        <f aca="false">K120+M120+O120+Q120+S120+U120+W120+Y120+AA120+AC120+AE120+AG120</f>
        <v>0</v>
      </c>
      <c r="J120" s="249" t="n">
        <v>0</v>
      </c>
      <c r="K120" s="249" t="n">
        <v>0</v>
      </c>
      <c r="L120" s="249" t="n">
        <v>0</v>
      </c>
      <c r="M120" s="249" t="n">
        <v>0</v>
      </c>
      <c r="N120" s="249" t="n">
        <v>0</v>
      </c>
      <c r="O120" s="249" t="n">
        <v>0</v>
      </c>
      <c r="P120" s="249" t="n">
        <v>0</v>
      </c>
      <c r="Q120" s="249" t="n">
        <v>0</v>
      </c>
      <c r="R120" s="249" t="n">
        <v>0</v>
      </c>
      <c r="S120" s="249" t="n">
        <v>0</v>
      </c>
      <c r="T120" s="249" t="n">
        <v>0</v>
      </c>
      <c r="U120" s="249" t="n">
        <v>0</v>
      </c>
      <c r="V120" s="249" t="n">
        <v>0</v>
      </c>
      <c r="W120" s="249" t="n">
        <v>0</v>
      </c>
      <c r="X120" s="249" t="n">
        <v>0</v>
      </c>
      <c r="Y120" s="249" t="n">
        <v>0</v>
      </c>
      <c r="Z120" s="249" t="n">
        <v>0</v>
      </c>
      <c r="AA120" s="249" t="n">
        <v>0</v>
      </c>
      <c r="AB120" s="249" t="n">
        <v>0</v>
      </c>
      <c r="AC120" s="249" t="n">
        <v>0</v>
      </c>
      <c r="AD120" s="249" t="n">
        <v>0</v>
      </c>
      <c r="AE120" s="249" t="n">
        <v>0</v>
      </c>
      <c r="AF120" s="249" t="n">
        <v>0</v>
      </c>
      <c r="AG120" s="249" t="n">
        <v>0</v>
      </c>
    </row>
    <row r="121" customFormat="false" ht="16.5" hidden="true" customHeight="false" outlineLevel="0" collapsed="false">
      <c r="A121" s="252" t="s">
        <v>298</v>
      </c>
      <c r="B121" s="214" t="n">
        <f aca="false">VLOOKUP(A121,'TH theo khach hang'!$A$4:$C$309,2,FALSE())</f>
        <v>0</v>
      </c>
      <c r="C121" s="245" t="str">
        <f aca="false">IF(VLOOKUP(A121,'TH theo khach hang'!$A$4:$C$309,3,FALSE())=0, "", "x")</f>
        <v/>
      </c>
      <c r="D121" s="246" t="n">
        <f aca="false">F121-H121</f>
        <v>0</v>
      </c>
      <c r="E121" s="247" t="n">
        <f aca="false">G121-I121</f>
        <v>0</v>
      </c>
      <c r="F121" s="248" t="n">
        <f aca="false">VLOOKUP(A121,'TH theo khach hang'!$A$4:$G$309,4,FALSE())</f>
        <v>0</v>
      </c>
      <c r="G121" s="249" t="n">
        <f aca="false">VLOOKUP(A121,'TH theo khach hang'!$A$4:$G$309,5,FALSE())</f>
        <v>0</v>
      </c>
      <c r="H121" s="248" t="n">
        <f aca="false">J121+L121+N121+P121+R121+T121+V121+X121+Z121+AB121+AD121+AF121</f>
        <v>0</v>
      </c>
      <c r="I121" s="250" t="n">
        <f aca="false">K121+M121+O121+Q121+S121+U121+W121+Y121+AA121+AC121+AE121+AG121</f>
        <v>0</v>
      </c>
      <c r="J121" s="249" t="n">
        <v>0</v>
      </c>
      <c r="K121" s="249" t="n">
        <v>0</v>
      </c>
      <c r="L121" s="249" t="n">
        <v>0</v>
      </c>
      <c r="M121" s="249" t="n">
        <v>0</v>
      </c>
      <c r="N121" s="249" t="n">
        <v>0</v>
      </c>
      <c r="O121" s="249" t="n">
        <v>0</v>
      </c>
      <c r="P121" s="249" t="n">
        <v>0</v>
      </c>
      <c r="Q121" s="249" t="n">
        <v>0</v>
      </c>
      <c r="R121" s="249" t="n">
        <v>0</v>
      </c>
      <c r="S121" s="249" t="n">
        <v>0</v>
      </c>
      <c r="T121" s="249" t="n">
        <v>0</v>
      </c>
      <c r="U121" s="249" t="n">
        <v>0</v>
      </c>
      <c r="V121" s="249" t="n">
        <v>0</v>
      </c>
      <c r="W121" s="249" t="n">
        <v>0</v>
      </c>
      <c r="X121" s="249" t="n">
        <v>0</v>
      </c>
      <c r="Y121" s="249" t="n">
        <v>0</v>
      </c>
      <c r="Z121" s="249" t="n">
        <v>0</v>
      </c>
      <c r="AA121" s="249" t="n">
        <v>0</v>
      </c>
      <c r="AB121" s="249" t="n">
        <v>0</v>
      </c>
      <c r="AC121" s="249" t="n">
        <v>0</v>
      </c>
      <c r="AD121" s="249" t="n">
        <v>0</v>
      </c>
      <c r="AE121" s="249" t="n">
        <v>0</v>
      </c>
      <c r="AF121" s="249" t="n">
        <v>0</v>
      </c>
      <c r="AG121" s="249" t="n">
        <v>0</v>
      </c>
    </row>
    <row r="122" customFormat="false" ht="16.5" hidden="true" customHeight="false" outlineLevel="0" collapsed="false">
      <c r="A122" s="252" t="s">
        <v>299</v>
      </c>
      <c r="B122" s="214" t="n">
        <f aca="false">VLOOKUP(A122,'TH theo khach hang'!$A$4:$C$309,2,FALSE())</f>
        <v>0</v>
      </c>
      <c r="C122" s="245" t="str">
        <f aca="false">IF(VLOOKUP(A122,'TH theo khach hang'!$A$4:$C$309,3,FALSE())=0, "", "x")</f>
        <v/>
      </c>
      <c r="D122" s="246" t="n">
        <f aca="false">F122-H122</f>
        <v>0</v>
      </c>
      <c r="E122" s="247" t="n">
        <f aca="false">G122-I122</f>
        <v>0</v>
      </c>
      <c r="F122" s="248" t="n">
        <f aca="false">VLOOKUP(A122,'TH theo khach hang'!$A$4:$G$309,4,FALSE())</f>
        <v>0</v>
      </c>
      <c r="G122" s="249" t="n">
        <f aca="false">VLOOKUP(A122,'TH theo khach hang'!$A$4:$G$309,5,FALSE())</f>
        <v>0</v>
      </c>
      <c r="H122" s="248" t="n">
        <f aca="false">J122+L122+N122+P122+R122+T122+V122+X122+Z122+AB122+AD122+AF122</f>
        <v>0</v>
      </c>
      <c r="I122" s="250" t="n">
        <f aca="false">K122+M122+O122+Q122+S122+U122+W122+Y122+AA122+AC122+AE122+AG122</f>
        <v>0</v>
      </c>
      <c r="J122" s="249" t="n">
        <v>0</v>
      </c>
      <c r="K122" s="249" t="n">
        <v>0</v>
      </c>
      <c r="L122" s="249" t="n">
        <v>0</v>
      </c>
      <c r="M122" s="249" t="n">
        <v>0</v>
      </c>
      <c r="N122" s="249" t="n">
        <v>0</v>
      </c>
      <c r="O122" s="249" t="n">
        <v>0</v>
      </c>
      <c r="P122" s="249" t="n">
        <v>0</v>
      </c>
      <c r="Q122" s="249" t="n">
        <v>0</v>
      </c>
      <c r="R122" s="249" t="n">
        <v>0</v>
      </c>
      <c r="S122" s="249" t="n">
        <v>0</v>
      </c>
      <c r="T122" s="249" t="n">
        <v>0</v>
      </c>
      <c r="U122" s="249" t="n">
        <v>0</v>
      </c>
      <c r="V122" s="249" t="n">
        <v>0</v>
      </c>
      <c r="W122" s="249" t="n">
        <v>0</v>
      </c>
      <c r="X122" s="249" t="n">
        <v>0</v>
      </c>
      <c r="Y122" s="249" t="n">
        <v>0</v>
      </c>
      <c r="Z122" s="249" t="n">
        <v>0</v>
      </c>
      <c r="AA122" s="249" t="n">
        <v>0</v>
      </c>
      <c r="AB122" s="249" t="n">
        <v>0</v>
      </c>
      <c r="AC122" s="249" t="n">
        <v>0</v>
      </c>
      <c r="AD122" s="249" t="n">
        <v>0</v>
      </c>
      <c r="AE122" s="249" t="n">
        <v>0</v>
      </c>
      <c r="AF122" s="249" t="n">
        <v>0</v>
      </c>
      <c r="AG122" s="249" t="n">
        <v>0</v>
      </c>
    </row>
    <row r="123" customFormat="false" ht="16.5" hidden="true" customHeight="false" outlineLevel="0" collapsed="false">
      <c r="A123" s="252" t="s">
        <v>300</v>
      </c>
      <c r="B123" s="214" t="n">
        <f aca="false">VLOOKUP(A123,'TH theo khach hang'!$A$4:$C$309,2,FALSE())</f>
        <v>0</v>
      </c>
      <c r="C123" s="245" t="str">
        <f aca="false">IF(VLOOKUP(A123,'TH theo khach hang'!$A$4:$C$309,3,FALSE())=0, "", "x")</f>
        <v/>
      </c>
      <c r="D123" s="246" t="n">
        <f aca="false">F123-H123</f>
        <v>0</v>
      </c>
      <c r="E123" s="247" t="n">
        <f aca="false">G123-I123</f>
        <v>0</v>
      </c>
      <c r="F123" s="248" t="n">
        <f aca="false">VLOOKUP(A123,'TH theo khach hang'!$A$4:$G$309,4,FALSE())</f>
        <v>0</v>
      </c>
      <c r="G123" s="249" t="n">
        <f aca="false">VLOOKUP(A123,'TH theo khach hang'!$A$4:$G$309,5,FALSE())</f>
        <v>0</v>
      </c>
      <c r="H123" s="248" t="n">
        <f aca="false">J123+L123+N123+P123+R123+T123+V123+X123+Z123+AB123+AD123+AF123</f>
        <v>0</v>
      </c>
      <c r="I123" s="250" t="n">
        <f aca="false">K123+M123+O123+Q123+S123+U123+W123+Y123+AA123+AC123+AE123+AG123</f>
        <v>0</v>
      </c>
      <c r="J123" s="249" t="n">
        <v>0</v>
      </c>
      <c r="K123" s="249" t="n">
        <v>0</v>
      </c>
      <c r="L123" s="249" t="n">
        <v>0</v>
      </c>
      <c r="M123" s="249" t="n">
        <v>0</v>
      </c>
      <c r="N123" s="249" t="n">
        <v>0</v>
      </c>
      <c r="O123" s="249" t="n">
        <v>0</v>
      </c>
      <c r="P123" s="249" t="n">
        <v>0</v>
      </c>
      <c r="Q123" s="249" t="n">
        <v>0</v>
      </c>
      <c r="R123" s="249" t="n">
        <v>0</v>
      </c>
      <c r="S123" s="249" t="n">
        <v>0</v>
      </c>
      <c r="T123" s="249" t="n">
        <v>0</v>
      </c>
      <c r="U123" s="249" t="n">
        <v>0</v>
      </c>
      <c r="V123" s="249" t="n">
        <v>0</v>
      </c>
      <c r="W123" s="249" t="n">
        <v>0</v>
      </c>
      <c r="X123" s="249" t="n">
        <v>0</v>
      </c>
      <c r="Y123" s="249" t="n">
        <v>0</v>
      </c>
      <c r="Z123" s="249" t="n">
        <v>0</v>
      </c>
      <c r="AA123" s="249" t="n">
        <v>0</v>
      </c>
      <c r="AB123" s="249" t="n">
        <v>0</v>
      </c>
      <c r="AC123" s="249" t="n">
        <v>0</v>
      </c>
      <c r="AD123" s="249" t="n">
        <v>0</v>
      </c>
      <c r="AE123" s="249" t="n">
        <v>0</v>
      </c>
      <c r="AF123" s="249" t="n">
        <v>0</v>
      </c>
      <c r="AG123" s="249" t="n">
        <v>0</v>
      </c>
      <c r="AH123" s="251"/>
    </row>
    <row r="124" customFormat="false" ht="16.5" hidden="true" customHeight="false" outlineLevel="0" collapsed="false">
      <c r="A124" s="252" t="s">
        <v>301</v>
      </c>
      <c r="B124" s="214" t="n">
        <f aca="false">VLOOKUP(A124,'TH theo khach hang'!$A$4:$C$309,2,FALSE())</f>
        <v>0</v>
      </c>
      <c r="C124" s="245" t="str">
        <f aca="false">IF(VLOOKUP(A124,'TH theo khach hang'!$A$4:$C$309,3,FALSE())=0, "", "x")</f>
        <v/>
      </c>
      <c r="D124" s="246" t="n">
        <f aca="false">F124-H124</f>
        <v>0</v>
      </c>
      <c r="E124" s="247" t="n">
        <f aca="false">G124-I124</f>
        <v>0</v>
      </c>
      <c r="F124" s="248" t="n">
        <f aca="false">VLOOKUP(A124,'TH theo khach hang'!$A$4:$G$309,4,FALSE())</f>
        <v>0</v>
      </c>
      <c r="G124" s="249" t="n">
        <f aca="false">VLOOKUP(A124,'TH theo khach hang'!$A$4:$G$309,5,FALSE())</f>
        <v>0</v>
      </c>
      <c r="H124" s="248" t="n">
        <f aca="false">J124+L124+N124+P124+R124+T124+V124+X124+Z124+AB124+AD124+AF124</f>
        <v>0</v>
      </c>
      <c r="I124" s="250" t="n">
        <f aca="false">K124+M124+O124+Q124+S124+U124+W124+Y124+AA124+AC124+AE124+AG124</f>
        <v>0</v>
      </c>
      <c r="J124" s="249" t="n">
        <v>0</v>
      </c>
      <c r="K124" s="249" t="n">
        <v>0</v>
      </c>
      <c r="L124" s="249" t="n">
        <v>0</v>
      </c>
      <c r="M124" s="249" t="n">
        <v>0</v>
      </c>
      <c r="N124" s="249" t="n">
        <v>0</v>
      </c>
      <c r="O124" s="249" t="n">
        <v>0</v>
      </c>
      <c r="P124" s="249" t="n">
        <v>0</v>
      </c>
      <c r="Q124" s="249" t="n">
        <v>0</v>
      </c>
      <c r="R124" s="249" t="n">
        <v>0</v>
      </c>
      <c r="S124" s="249" t="n">
        <v>0</v>
      </c>
      <c r="T124" s="249" t="n">
        <v>0</v>
      </c>
      <c r="U124" s="249" t="n">
        <v>0</v>
      </c>
      <c r="V124" s="249" t="n">
        <v>0</v>
      </c>
      <c r="W124" s="249" t="n">
        <v>0</v>
      </c>
      <c r="X124" s="249" t="n">
        <v>0</v>
      </c>
      <c r="Y124" s="249" t="n">
        <v>0</v>
      </c>
      <c r="Z124" s="249" t="n">
        <v>0</v>
      </c>
      <c r="AA124" s="249" t="n">
        <v>0</v>
      </c>
      <c r="AB124" s="249" t="n">
        <v>0</v>
      </c>
      <c r="AC124" s="249" t="n">
        <v>0</v>
      </c>
      <c r="AD124" s="249" t="n">
        <v>0</v>
      </c>
      <c r="AE124" s="249" t="n">
        <v>0</v>
      </c>
      <c r="AF124" s="249" t="n">
        <v>0</v>
      </c>
      <c r="AG124" s="249" t="n">
        <v>0</v>
      </c>
    </row>
    <row r="125" customFormat="false" ht="16.5" hidden="true" customHeight="false" outlineLevel="0" collapsed="false">
      <c r="A125" s="252" t="s">
        <v>302</v>
      </c>
      <c r="B125" s="214" t="n">
        <f aca="false">VLOOKUP(A125,'TH theo khach hang'!$A$4:$C$309,2,FALSE())</f>
        <v>0</v>
      </c>
      <c r="C125" s="245" t="str">
        <f aca="false">IF(VLOOKUP(A125,'TH theo khach hang'!$A$4:$C$309,3,FALSE())=0, "", "x")</f>
        <v/>
      </c>
      <c r="D125" s="246" t="n">
        <f aca="false">F125-H125</f>
        <v>0</v>
      </c>
      <c r="E125" s="247" t="n">
        <f aca="false">G125-I125</f>
        <v>0</v>
      </c>
      <c r="F125" s="248" t="n">
        <f aca="false">VLOOKUP(A125,'TH theo khach hang'!$A$4:$G$309,4,FALSE())</f>
        <v>0</v>
      </c>
      <c r="G125" s="249" t="n">
        <f aca="false">VLOOKUP(A125,'TH theo khach hang'!$A$4:$G$309,5,FALSE())</f>
        <v>0</v>
      </c>
      <c r="H125" s="248" t="n">
        <f aca="false">J125+L125+N125+P125+R125+T125+V125+X125+Z125+AB125+AD125+AF125</f>
        <v>0</v>
      </c>
      <c r="I125" s="250" t="n">
        <f aca="false">K125+M125+O125+Q125+S125+U125+W125+Y125+AA125+AC125+AE125+AG125</f>
        <v>0</v>
      </c>
      <c r="J125" s="249" t="n">
        <v>0</v>
      </c>
      <c r="K125" s="249" t="n">
        <v>0</v>
      </c>
      <c r="L125" s="249" t="n">
        <v>0</v>
      </c>
      <c r="M125" s="249" t="n">
        <v>0</v>
      </c>
      <c r="N125" s="249" t="n">
        <v>0</v>
      </c>
      <c r="O125" s="249" t="n">
        <v>0</v>
      </c>
      <c r="P125" s="249" t="n">
        <v>0</v>
      </c>
      <c r="Q125" s="249" t="n">
        <v>0</v>
      </c>
      <c r="R125" s="249" t="n">
        <v>0</v>
      </c>
      <c r="S125" s="249" t="n">
        <v>0</v>
      </c>
      <c r="T125" s="249" t="n">
        <v>0</v>
      </c>
      <c r="U125" s="249" t="n">
        <v>0</v>
      </c>
      <c r="V125" s="249" t="n">
        <v>0</v>
      </c>
      <c r="W125" s="249" t="n">
        <v>0</v>
      </c>
      <c r="X125" s="249" t="n">
        <v>0</v>
      </c>
      <c r="Y125" s="249" t="n">
        <v>0</v>
      </c>
      <c r="Z125" s="249" t="n">
        <v>0</v>
      </c>
      <c r="AA125" s="249" t="n">
        <v>0</v>
      </c>
      <c r="AB125" s="249" t="n">
        <v>0</v>
      </c>
      <c r="AC125" s="249" t="n">
        <v>0</v>
      </c>
      <c r="AD125" s="249" t="n">
        <v>0</v>
      </c>
      <c r="AE125" s="249" t="n">
        <v>0</v>
      </c>
      <c r="AF125" s="249" t="n">
        <v>0</v>
      </c>
      <c r="AG125" s="249" t="n">
        <v>0</v>
      </c>
    </row>
    <row r="126" customFormat="false" ht="16.5" hidden="true" customHeight="false" outlineLevel="0" collapsed="false">
      <c r="A126" s="252" t="s">
        <v>303</v>
      </c>
      <c r="B126" s="214" t="n">
        <f aca="false">VLOOKUP(A126,'TH theo khach hang'!$A$4:$C$309,2,FALSE())</f>
        <v>0</v>
      </c>
      <c r="C126" s="245" t="str">
        <f aca="false">IF(VLOOKUP(A126,'TH theo khach hang'!$A$4:$C$309,3,FALSE())=0, "", "x")</f>
        <v/>
      </c>
      <c r="D126" s="246" t="n">
        <f aca="false">F126-H126</f>
        <v>0</v>
      </c>
      <c r="E126" s="247" t="n">
        <f aca="false">G126-I126</f>
        <v>0</v>
      </c>
      <c r="F126" s="248" t="n">
        <f aca="false">VLOOKUP(A126,'TH theo khach hang'!$A$4:$G$309,4,FALSE())</f>
        <v>0</v>
      </c>
      <c r="G126" s="249" t="n">
        <f aca="false">VLOOKUP(A126,'TH theo khach hang'!$A$4:$G$309,5,FALSE())</f>
        <v>0</v>
      </c>
      <c r="H126" s="248" t="n">
        <f aca="false">J126+L126+N126+P126+R126+T126+V126+X126+Z126+AB126+AD126+AF126</f>
        <v>0</v>
      </c>
      <c r="I126" s="250" t="n">
        <f aca="false">K126+M126+O126+Q126+S126+U126+W126+Y126+AA126+AC126+AE126+AG126</f>
        <v>0</v>
      </c>
      <c r="J126" s="249" t="n">
        <v>0</v>
      </c>
      <c r="K126" s="249" t="n">
        <v>0</v>
      </c>
      <c r="L126" s="249" t="n">
        <v>0</v>
      </c>
      <c r="M126" s="249" t="n">
        <v>0</v>
      </c>
      <c r="N126" s="249" t="n">
        <v>0</v>
      </c>
      <c r="O126" s="249" t="n">
        <v>0</v>
      </c>
      <c r="P126" s="249" t="n">
        <v>0</v>
      </c>
      <c r="Q126" s="249" t="n">
        <v>0</v>
      </c>
      <c r="R126" s="249" t="n">
        <v>0</v>
      </c>
      <c r="S126" s="249" t="n">
        <v>0</v>
      </c>
      <c r="T126" s="249" t="n">
        <v>0</v>
      </c>
      <c r="U126" s="249" t="n">
        <v>0</v>
      </c>
      <c r="V126" s="249" t="n">
        <v>0</v>
      </c>
      <c r="W126" s="249" t="n">
        <v>0</v>
      </c>
      <c r="X126" s="249" t="n">
        <v>0</v>
      </c>
      <c r="Y126" s="249" t="n">
        <v>0</v>
      </c>
      <c r="Z126" s="249" t="n">
        <v>0</v>
      </c>
      <c r="AA126" s="249" t="n">
        <v>0</v>
      </c>
      <c r="AB126" s="249" t="n">
        <v>0</v>
      </c>
      <c r="AC126" s="249" t="n">
        <v>0</v>
      </c>
      <c r="AD126" s="249" t="n">
        <v>0</v>
      </c>
      <c r="AE126" s="249" t="n">
        <v>0</v>
      </c>
      <c r="AF126" s="249" t="n">
        <v>0</v>
      </c>
      <c r="AG126" s="249" t="n">
        <v>0</v>
      </c>
      <c r="AH126" s="251"/>
    </row>
    <row r="127" customFormat="false" ht="16.5" hidden="true" customHeight="false" outlineLevel="0" collapsed="false">
      <c r="A127" s="252" t="s">
        <v>304</v>
      </c>
      <c r="B127" s="214" t="n">
        <f aca="false">VLOOKUP(A127,'TH theo khach hang'!$A$4:$C$309,2,FALSE())</f>
        <v>0</v>
      </c>
      <c r="C127" s="245" t="str">
        <f aca="false">IF(VLOOKUP(A127,'TH theo khach hang'!$A$4:$C$309,3,FALSE())=0, "", "x")</f>
        <v/>
      </c>
      <c r="D127" s="246" t="n">
        <f aca="false">F127-H127</f>
        <v>0</v>
      </c>
      <c r="E127" s="247" t="n">
        <f aca="false">G127-I127</f>
        <v>0</v>
      </c>
      <c r="F127" s="248" t="n">
        <f aca="false">VLOOKUP(A127,'TH theo khach hang'!$A$4:$G$309,4,FALSE())</f>
        <v>0</v>
      </c>
      <c r="G127" s="249" t="n">
        <f aca="false">VLOOKUP(A127,'TH theo khach hang'!$A$4:$G$309,5,FALSE())</f>
        <v>0</v>
      </c>
      <c r="H127" s="248" t="n">
        <f aca="false">J127+L127+N127+P127+R127+T127+V127+X127+Z127+AB127+AD127+AF127</f>
        <v>0</v>
      </c>
      <c r="I127" s="250" t="n">
        <f aca="false">K127+M127+O127+Q127+S127+U127+W127+Y127+AA127+AC127+AE127+AG127</f>
        <v>0</v>
      </c>
      <c r="J127" s="249" t="n">
        <v>0</v>
      </c>
      <c r="K127" s="249" t="n">
        <v>0</v>
      </c>
      <c r="L127" s="249" t="n">
        <v>0</v>
      </c>
      <c r="M127" s="249" t="n">
        <v>0</v>
      </c>
      <c r="N127" s="249" t="n">
        <v>0</v>
      </c>
      <c r="O127" s="249" t="n">
        <v>0</v>
      </c>
      <c r="P127" s="249" t="n">
        <v>0</v>
      </c>
      <c r="Q127" s="249" t="n">
        <v>0</v>
      </c>
      <c r="R127" s="249" t="n">
        <v>0</v>
      </c>
      <c r="S127" s="249" t="n">
        <v>0</v>
      </c>
      <c r="T127" s="249" t="n">
        <v>0</v>
      </c>
      <c r="U127" s="249" t="n">
        <v>0</v>
      </c>
      <c r="V127" s="249" t="n">
        <v>0</v>
      </c>
      <c r="W127" s="249" t="n">
        <v>0</v>
      </c>
      <c r="X127" s="249" t="n">
        <v>0</v>
      </c>
      <c r="Y127" s="249" t="n">
        <v>0</v>
      </c>
      <c r="Z127" s="249" t="n">
        <v>0</v>
      </c>
      <c r="AA127" s="249" t="n">
        <v>0</v>
      </c>
      <c r="AB127" s="249" t="n">
        <v>0</v>
      </c>
      <c r="AC127" s="249" t="n">
        <v>0</v>
      </c>
      <c r="AD127" s="249" t="n">
        <v>0</v>
      </c>
      <c r="AE127" s="249" t="n">
        <v>0</v>
      </c>
      <c r="AF127" s="249" t="n">
        <v>0</v>
      </c>
      <c r="AG127" s="249" t="n">
        <v>0</v>
      </c>
    </row>
    <row r="128" customFormat="false" ht="16.5" hidden="true" customHeight="false" outlineLevel="0" collapsed="false">
      <c r="A128" s="252" t="s">
        <v>305</v>
      </c>
      <c r="B128" s="214" t="n">
        <f aca="false">VLOOKUP(A128,'TH theo khach hang'!$A$4:$C$309,2,FALSE())</f>
        <v>0</v>
      </c>
      <c r="C128" s="245" t="str">
        <f aca="false">IF(VLOOKUP(A128,'TH theo khach hang'!$A$4:$C$309,3,FALSE())=0, "", "x")</f>
        <v/>
      </c>
      <c r="D128" s="246" t="n">
        <f aca="false">F128-H128</f>
        <v>0</v>
      </c>
      <c r="E128" s="247" t="n">
        <f aca="false">G128-I128</f>
        <v>0</v>
      </c>
      <c r="F128" s="248" t="n">
        <f aca="false">VLOOKUP(A128,'TH theo khach hang'!$A$4:$G$309,4,FALSE())</f>
        <v>0</v>
      </c>
      <c r="G128" s="249" t="n">
        <f aca="false">VLOOKUP(A128,'TH theo khach hang'!$A$4:$G$309,5,FALSE())</f>
        <v>0</v>
      </c>
      <c r="H128" s="248" t="n">
        <f aca="false">J128+L128+N128+P128+R128+T128+V128+X128+Z128+AB128+AD128+AF128</f>
        <v>0</v>
      </c>
      <c r="I128" s="250" t="n">
        <f aca="false">K128+M128+O128+Q128+S128+U128+W128+Y128+AA128+AC128+AE128+AG128</f>
        <v>0</v>
      </c>
      <c r="J128" s="249" t="n">
        <v>0</v>
      </c>
      <c r="K128" s="249" t="n">
        <v>0</v>
      </c>
      <c r="L128" s="249" t="n">
        <v>0</v>
      </c>
      <c r="M128" s="249" t="n">
        <v>0</v>
      </c>
      <c r="N128" s="249" t="n">
        <v>0</v>
      </c>
      <c r="O128" s="249" t="n">
        <v>0</v>
      </c>
      <c r="P128" s="249" t="n">
        <v>0</v>
      </c>
      <c r="Q128" s="249" t="n">
        <v>0</v>
      </c>
      <c r="R128" s="249" t="n">
        <v>0</v>
      </c>
      <c r="S128" s="249" t="n">
        <v>0</v>
      </c>
      <c r="T128" s="249" t="n">
        <v>0</v>
      </c>
      <c r="U128" s="249" t="n">
        <v>0</v>
      </c>
      <c r="V128" s="249" t="n">
        <v>0</v>
      </c>
      <c r="W128" s="249" t="n">
        <v>0</v>
      </c>
      <c r="X128" s="249" t="n">
        <v>0</v>
      </c>
      <c r="Y128" s="249" t="n">
        <v>0</v>
      </c>
      <c r="Z128" s="249" t="n">
        <v>0</v>
      </c>
      <c r="AA128" s="249" t="n">
        <v>0</v>
      </c>
      <c r="AB128" s="249" t="n">
        <v>0</v>
      </c>
      <c r="AC128" s="249" t="n">
        <v>0</v>
      </c>
      <c r="AD128" s="249" t="n">
        <v>0</v>
      </c>
      <c r="AE128" s="249" t="n">
        <v>0</v>
      </c>
      <c r="AF128" s="249" t="n">
        <v>0</v>
      </c>
      <c r="AG128" s="249" t="n">
        <v>0</v>
      </c>
    </row>
    <row r="129" customFormat="false" ht="16.5" hidden="true" customHeight="false" outlineLevel="0" collapsed="false">
      <c r="A129" s="252" t="s">
        <v>306</v>
      </c>
      <c r="B129" s="214" t="n">
        <f aca="false">VLOOKUP(A129,'TH theo khach hang'!$A$4:$C$309,2,FALSE())</f>
        <v>0</v>
      </c>
      <c r="C129" s="245" t="str">
        <f aca="false">IF(VLOOKUP(A129,'TH theo khach hang'!$A$4:$C$309,3,FALSE())=0, "", "x")</f>
        <v/>
      </c>
      <c r="D129" s="246" t="n">
        <f aca="false">F129-H129</f>
        <v>0</v>
      </c>
      <c r="E129" s="247" t="n">
        <f aca="false">G129-I129</f>
        <v>0</v>
      </c>
      <c r="F129" s="248" t="n">
        <f aca="false">VLOOKUP(A129,'TH theo khach hang'!$A$4:$G$309,4,FALSE())</f>
        <v>0</v>
      </c>
      <c r="G129" s="249" t="n">
        <f aca="false">VLOOKUP(A129,'TH theo khach hang'!$A$4:$G$309,5,FALSE())</f>
        <v>0</v>
      </c>
      <c r="H129" s="248" t="n">
        <f aca="false">J129+L129+N129+P129+R129+T129+V129+X129+Z129+AB129+AD129+AF129</f>
        <v>0</v>
      </c>
      <c r="I129" s="250" t="n">
        <f aca="false">K129+M129+O129+Q129+S129+U129+W129+Y129+AA129+AC129+AE129+AG129</f>
        <v>0</v>
      </c>
      <c r="J129" s="249" t="n">
        <v>0</v>
      </c>
      <c r="K129" s="249" t="n">
        <v>0</v>
      </c>
      <c r="L129" s="249" t="n">
        <v>0</v>
      </c>
      <c r="M129" s="249" t="n">
        <v>0</v>
      </c>
      <c r="N129" s="249" t="n">
        <v>0</v>
      </c>
      <c r="O129" s="249" t="n">
        <v>0</v>
      </c>
      <c r="P129" s="249" t="n">
        <v>0</v>
      </c>
      <c r="Q129" s="249" t="n">
        <v>0</v>
      </c>
      <c r="R129" s="249" t="n">
        <v>0</v>
      </c>
      <c r="S129" s="249" t="n">
        <v>0</v>
      </c>
      <c r="T129" s="249" t="n">
        <v>0</v>
      </c>
      <c r="U129" s="249" t="n">
        <v>0</v>
      </c>
      <c r="V129" s="249" t="n">
        <v>0</v>
      </c>
      <c r="W129" s="249" t="n">
        <v>0</v>
      </c>
      <c r="X129" s="249" t="n">
        <v>0</v>
      </c>
      <c r="Y129" s="249" t="n">
        <v>0</v>
      </c>
      <c r="Z129" s="249" t="n">
        <v>0</v>
      </c>
      <c r="AA129" s="249" t="n">
        <v>0</v>
      </c>
      <c r="AB129" s="249" t="n">
        <v>0</v>
      </c>
      <c r="AC129" s="249" t="n">
        <v>0</v>
      </c>
      <c r="AD129" s="249" t="n">
        <v>0</v>
      </c>
      <c r="AE129" s="249" t="n">
        <v>0</v>
      </c>
      <c r="AF129" s="249" t="n">
        <v>0</v>
      </c>
      <c r="AG129" s="249" t="n">
        <v>0</v>
      </c>
      <c r="AH129" s="251"/>
    </row>
    <row r="130" customFormat="false" ht="16.5" hidden="true" customHeight="false" outlineLevel="0" collapsed="false">
      <c r="A130" s="252" t="s">
        <v>307</v>
      </c>
      <c r="B130" s="214" t="n">
        <f aca="false">VLOOKUP(A130,'TH theo khach hang'!$A$4:$C$309,2,FALSE())</f>
        <v>0</v>
      </c>
      <c r="C130" s="245" t="str">
        <f aca="false">IF(VLOOKUP(A130,'TH theo khach hang'!$A$4:$C$309,3,FALSE())=0, "", "x")</f>
        <v/>
      </c>
      <c r="D130" s="246" t="n">
        <f aca="false">F130-H130</f>
        <v>0</v>
      </c>
      <c r="E130" s="247" t="n">
        <f aca="false">G130-I130</f>
        <v>0</v>
      </c>
      <c r="F130" s="248" t="n">
        <f aca="false">VLOOKUP(A130,'TH theo khach hang'!$A$4:$G$309,4,FALSE())</f>
        <v>0</v>
      </c>
      <c r="G130" s="249" t="n">
        <f aca="false">VLOOKUP(A130,'TH theo khach hang'!$A$4:$G$309,5,FALSE())</f>
        <v>0</v>
      </c>
      <c r="H130" s="248" t="n">
        <f aca="false">J130+L130+N130+P130+R130+T130+V130+X130+Z130+AB130+AD130+AF130</f>
        <v>0</v>
      </c>
      <c r="I130" s="250" t="n">
        <f aca="false">K130+M130+O130+Q130+S130+U130+W130+Y130+AA130+AC130+AE130+AG130</f>
        <v>0</v>
      </c>
      <c r="J130" s="249" t="n">
        <v>0</v>
      </c>
      <c r="K130" s="249" t="n">
        <v>0</v>
      </c>
      <c r="L130" s="249" t="n">
        <v>0</v>
      </c>
      <c r="M130" s="249" t="n">
        <v>0</v>
      </c>
      <c r="N130" s="249" t="n">
        <v>0</v>
      </c>
      <c r="O130" s="249" t="n">
        <v>0</v>
      </c>
      <c r="P130" s="249" t="n">
        <v>0</v>
      </c>
      <c r="Q130" s="249" t="n">
        <v>0</v>
      </c>
      <c r="R130" s="249" t="n">
        <v>0</v>
      </c>
      <c r="S130" s="249" t="n">
        <v>0</v>
      </c>
      <c r="T130" s="249" t="n">
        <v>0</v>
      </c>
      <c r="U130" s="249" t="n">
        <v>0</v>
      </c>
      <c r="V130" s="249" t="n">
        <v>0</v>
      </c>
      <c r="W130" s="249" t="n">
        <v>0</v>
      </c>
      <c r="X130" s="249" t="n">
        <v>0</v>
      </c>
      <c r="Y130" s="249" t="n">
        <v>0</v>
      </c>
      <c r="Z130" s="249" t="n">
        <v>0</v>
      </c>
      <c r="AA130" s="249" t="n">
        <v>0</v>
      </c>
      <c r="AB130" s="249" t="n">
        <v>0</v>
      </c>
      <c r="AC130" s="249" t="n">
        <v>0</v>
      </c>
      <c r="AD130" s="249" t="n">
        <v>0</v>
      </c>
      <c r="AE130" s="249" t="n">
        <v>0</v>
      </c>
      <c r="AF130" s="249" t="n">
        <v>0</v>
      </c>
      <c r="AG130" s="249" t="n">
        <v>0</v>
      </c>
    </row>
    <row r="131" customFormat="false" ht="16.5" hidden="true" customHeight="false" outlineLevel="0" collapsed="false">
      <c r="A131" s="252" t="s">
        <v>308</v>
      </c>
      <c r="B131" s="214" t="n">
        <f aca="false">VLOOKUP(A131,'TH theo khach hang'!$A$4:$C$309,2,FALSE())</f>
        <v>0</v>
      </c>
      <c r="C131" s="245" t="str">
        <f aca="false">IF(VLOOKUP(A131,'TH theo khach hang'!$A$4:$C$309,3,FALSE())=0, "", "x")</f>
        <v/>
      </c>
      <c r="D131" s="246" t="n">
        <f aca="false">F131-H131</f>
        <v>0</v>
      </c>
      <c r="E131" s="247" t="n">
        <f aca="false">G131-I131</f>
        <v>0</v>
      </c>
      <c r="F131" s="248" t="n">
        <f aca="false">VLOOKUP(A131,'TH theo khach hang'!$A$4:$G$309,4,FALSE())</f>
        <v>0</v>
      </c>
      <c r="G131" s="249" t="n">
        <f aca="false">VLOOKUP(A131,'TH theo khach hang'!$A$4:$G$309,5,FALSE())</f>
        <v>0</v>
      </c>
      <c r="H131" s="248" t="n">
        <f aca="false">J131+L131+N131+P131+R131+T131+V131+X131+Z131+AB131+AD131+AF131</f>
        <v>0</v>
      </c>
      <c r="I131" s="250" t="n">
        <f aca="false">K131+M131+O131+Q131+S131+U131+W131+Y131+AA131+AC131+AE131+AG131</f>
        <v>0</v>
      </c>
      <c r="J131" s="249" t="n">
        <v>0</v>
      </c>
      <c r="K131" s="249" t="n">
        <v>0</v>
      </c>
      <c r="L131" s="249" t="n">
        <v>0</v>
      </c>
      <c r="M131" s="249" t="n">
        <v>0</v>
      </c>
      <c r="N131" s="249" t="n">
        <v>0</v>
      </c>
      <c r="O131" s="249" t="n">
        <v>0</v>
      </c>
      <c r="P131" s="249" t="n">
        <v>0</v>
      </c>
      <c r="Q131" s="249" t="n">
        <v>0</v>
      </c>
      <c r="R131" s="249" t="n">
        <v>0</v>
      </c>
      <c r="S131" s="249" t="n">
        <v>0</v>
      </c>
      <c r="T131" s="249" t="n">
        <v>0</v>
      </c>
      <c r="U131" s="249" t="n">
        <v>0</v>
      </c>
      <c r="V131" s="249" t="n">
        <v>0</v>
      </c>
      <c r="W131" s="249" t="n">
        <v>0</v>
      </c>
      <c r="X131" s="249" t="n">
        <v>0</v>
      </c>
      <c r="Y131" s="249" t="n">
        <v>0</v>
      </c>
      <c r="Z131" s="249" t="n">
        <v>0</v>
      </c>
      <c r="AA131" s="249" t="n">
        <v>0</v>
      </c>
      <c r="AB131" s="249" t="n">
        <v>0</v>
      </c>
      <c r="AC131" s="249" t="n">
        <v>0</v>
      </c>
      <c r="AD131" s="249" t="n">
        <v>0</v>
      </c>
      <c r="AE131" s="249" t="n">
        <v>0</v>
      </c>
      <c r="AF131" s="249" t="n">
        <v>0</v>
      </c>
      <c r="AG131" s="249" t="n">
        <v>0</v>
      </c>
    </row>
    <row r="132" customFormat="false" ht="16.5" hidden="true" customHeight="false" outlineLevel="0" collapsed="false">
      <c r="A132" s="252" t="s">
        <v>309</v>
      </c>
      <c r="B132" s="214" t="n">
        <f aca="false">VLOOKUP(A132,'TH theo khach hang'!$A$4:$C$309,2,FALSE())</f>
        <v>0</v>
      </c>
      <c r="C132" s="245" t="str">
        <f aca="false">IF(VLOOKUP(A132,'TH theo khach hang'!$A$4:$C$309,3,FALSE())=0, "", "x")</f>
        <v/>
      </c>
      <c r="D132" s="246" t="n">
        <f aca="false">F132-H132</f>
        <v>0</v>
      </c>
      <c r="E132" s="247" t="n">
        <f aca="false">G132-I132</f>
        <v>0</v>
      </c>
      <c r="F132" s="248" t="n">
        <f aca="false">VLOOKUP(A132,'TH theo khach hang'!$A$4:$G$309,4,FALSE())</f>
        <v>0</v>
      </c>
      <c r="G132" s="249" t="n">
        <f aca="false">VLOOKUP(A132,'TH theo khach hang'!$A$4:$G$309,5,FALSE())</f>
        <v>0</v>
      </c>
      <c r="H132" s="248" t="n">
        <f aca="false">J132+L132+N132+P132+R132+T132+V132+X132+Z132+AB132+AD132+AF132</f>
        <v>0</v>
      </c>
      <c r="I132" s="250" t="n">
        <f aca="false">K132+M132+O132+Q132+S132+U132+W132+Y132+AA132+AC132+AE132+AG132</f>
        <v>0</v>
      </c>
      <c r="J132" s="249" t="n">
        <v>0</v>
      </c>
      <c r="K132" s="249" t="n">
        <v>0</v>
      </c>
      <c r="L132" s="249" t="n">
        <v>0</v>
      </c>
      <c r="M132" s="249" t="n">
        <v>0</v>
      </c>
      <c r="N132" s="249" t="n">
        <v>0</v>
      </c>
      <c r="O132" s="249" t="n">
        <v>0</v>
      </c>
      <c r="P132" s="249" t="n">
        <v>0</v>
      </c>
      <c r="Q132" s="249" t="n">
        <v>0</v>
      </c>
      <c r="R132" s="249" t="n">
        <v>0</v>
      </c>
      <c r="S132" s="249" t="n">
        <v>0</v>
      </c>
      <c r="T132" s="249" t="n">
        <v>0</v>
      </c>
      <c r="U132" s="249" t="n">
        <v>0</v>
      </c>
      <c r="V132" s="249" t="n">
        <v>0</v>
      </c>
      <c r="W132" s="249" t="n">
        <v>0</v>
      </c>
      <c r="X132" s="249" t="n">
        <v>0</v>
      </c>
      <c r="Y132" s="249" t="n">
        <v>0</v>
      </c>
      <c r="Z132" s="249" t="n">
        <v>0</v>
      </c>
      <c r="AA132" s="249" t="n">
        <v>0</v>
      </c>
      <c r="AB132" s="249" t="n">
        <v>0</v>
      </c>
      <c r="AC132" s="249" t="n">
        <v>0</v>
      </c>
      <c r="AD132" s="249" t="n">
        <v>0</v>
      </c>
      <c r="AE132" s="249" t="n">
        <v>0</v>
      </c>
      <c r="AF132" s="249" t="n">
        <v>0</v>
      </c>
      <c r="AG132" s="249" t="n">
        <v>0</v>
      </c>
    </row>
    <row r="133" customFormat="false" ht="16.5" hidden="true" customHeight="false" outlineLevel="0" collapsed="false">
      <c r="A133" s="252" t="s">
        <v>310</v>
      </c>
      <c r="B133" s="214" t="n">
        <f aca="false">VLOOKUP(A133,'TH theo khach hang'!$A$4:$C$309,2,FALSE())</f>
        <v>0</v>
      </c>
      <c r="C133" s="245" t="str">
        <f aca="false">IF(VLOOKUP(A133,'TH theo khach hang'!$A$4:$C$309,3,FALSE())=0, "", "x")</f>
        <v/>
      </c>
      <c r="D133" s="246" t="n">
        <f aca="false">F133-H133</f>
        <v>0</v>
      </c>
      <c r="E133" s="247" t="n">
        <f aca="false">G133-I133</f>
        <v>0</v>
      </c>
      <c r="F133" s="248" t="n">
        <f aca="false">VLOOKUP(A133,'TH theo khach hang'!$A$4:$G$309,4,FALSE())</f>
        <v>0</v>
      </c>
      <c r="G133" s="249" t="n">
        <f aca="false">VLOOKUP(A133,'TH theo khach hang'!$A$4:$G$309,5,FALSE())</f>
        <v>0</v>
      </c>
      <c r="H133" s="248" t="n">
        <f aca="false">J133+L133+N133+P133+R133+T133+V133+X133+Z133+AB133+AD133+AF133</f>
        <v>0</v>
      </c>
      <c r="I133" s="250" t="n">
        <f aca="false">K133+M133+O133+Q133+S133+U133+W133+Y133+AA133+AC133+AE133+AG133</f>
        <v>0</v>
      </c>
      <c r="J133" s="249" t="n">
        <v>0</v>
      </c>
      <c r="K133" s="249" t="n">
        <v>0</v>
      </c>
      <c r="L133" s="249" t="n">
        <v>0</v>
      </c>
      <c r="M133" s="249" t="n">
        <v>0</v>
      </c>
      <c r="N133" s="249" t="n">
        <v>0</v>
      </c>
      <c r="O133" s="249" t="n">
        <v>0</v>
      </c>
      <c r="P133" s="249" t="n">
        <v>0</v>
      </c>
      <c r="Q133" s="249" t="n">
        <v>0</v>
      </c>
      <c r="R133" s="249" t="n">
        <v>0</v>
      </c>
      <c r="S133" s="249" t="n">
        <v>0</v>
      </c>
      <c r="T133" s="249" t="n">
        <v>0</v>
      </c>
      <c r="U133" s="249" t="n">
        <v>0</v>
      </c>
      <c r="V133" s="249" t="n">
        <v>0</v>
      </c>
      <c r="W133" s="249" t="n">
        <v>0</v>
      </c>
      <c r="X133" s="249" t="n">
        <v>0</v>
      </c>
      <c r="Y133" s="249" t="n">
        <v>0</v>
      </c>
      <c r="Z133" s="249" t="n">
        <v>0</v>
      </c>
      <c r="AA133" s="249" t="n">
        <v>0</v>
      </c>
      <c r="AB133" s="249" t="n">
        <v>0</v>
      </c>
      <c r="AC133" s="249" t="n">
        <v>0</v>
      </c>
      <c r="AD133" s="249" t="n">
        <v>0</v>
      </c>
      <c r="AE133" s="249" t="n">
        <v>0</v>
      </c>
      <c r="AF133" s="249" t="n">
        <v>0</v>
      </c>
      <c r="AG133" s="249" t="n">
        <v>0</v>
      </c>
    </row>
    <row r="134" customFormat="false" ht="16.5" hidden="true" customHeight="false" outlineLevel="0" collapsed="false">
      <c r="A134" s="252" t="s">
        <v>311</v>
      </c>
      <c r="B134" s="214" t="n">
        <f aca="false">VLOOKUP(A134,'TH theo khach hang'!$A$4:$C$309,2,FALSE())</f>
        <v>0</v>
      </c>
      <c r="C134" s="245" t="str">
        <f aca="false">IF(VLOOKUP(A134,'TH theo khach hang'!$A$4:$C$309,3,FALSE())=0, "", "x")</f>
        <v/>
      </c>
      <c r="D134" s="246" t="n">
        <f aca="false">F134-H134</f>
        <v>0</v>
      </c>
      <c r="E134" s="247" t="n">
        <f aca="false">G134-I134</f>
        <v>0</v>
      </c>
      <c r="F134" s="248" t="n">
        <f aca="false">VLOOKUP(A134,'TH theo khach hang'!$A$4:$G$309,4,FALSE())</f>
        <v>0</v>
      </c>
      <c r="G134" s="249" t="n">
        <f aca="false">VLOOKUP(A134,'TH theo khach hang'!$A$4:$G$309,5,FALSE())</f>
        <v>0</v>
      </c>
      <c r="H134" s="248" t="n">
        <f aca="false">J134+L134+N134+P134+R134+T134+V134+X134+Z134+AB134+AD134+AF134</f>
        <v>0</v>
      </c>
      <c r="I134" s="250" t="n">
        <f aca="false">K134+M134+O134+Q134+S134+U134+W134+Y134+AA134+AC134+AE134+AG134</f>
        <v>0</v>
      </c>
      <c r="J134" s="249" t="n">
        <v>0</v>
      </c>
      <c r="K134" s="249" t="n">
        <v>0</v>
      </c>
      <c r="L134" s="249" t="n">
        <v>0</v>
      </c>
      <c r="M134" s="249" t="n">
        <v>0</v>
      </c>
      <c r="N134" s="249" t="n">
        <v>0</v>
      </c>
      <c r="O134" s="249" t="n">
        <v>0</v>
      </c>
      <c r="P134" s="249" t="n">
        <v>0</v>
      </c>
      <c r="Q134" s="249" t="n">
        <v>0</v>
      </c>
      <c r="R134" s="249" t="n">
        <v>0</v>
      </c>
      <c r="S134" s="249" t="n">
        <v>0</v>
      </c>
      <c r="T134" s="249" t="n">
        <v>0</v>
      </c>
      <c r="U134" s="249" t="n">
        <v>0</v>
      </c>
      <c r="V134" s="249" t="n">
        <v>0</v>
      </c>
      <c r="W134" s="249" t="n">
        <v>0</v>
      </c>
      <c r="X134" s="249" t="n">
        <v>0</v>
      </c>
      <c r="Y134" s="249" t="n">
        <v>0</v>
      </c>
      <c r="Z134" s="249" t="n">
        <v>0</v>
      </c>
      <c r="AA134" s="249" t="n">
        <v>0</v>
      </c>
      <c r="AB134" s="249" t="n">
        <v>0</v>
      </c>
      <c r="AC134" s="249" t="n">
        <v>0</v>
      </c>
      <c r="AD134" s="249" t="n">
        <v>0</v>
      </c>
      <c r="AE134" s="249" t="n">
        <v>0</v>
      </c>
      <c r="AF134" s="249" t="n">
        <v>0</v>
      </c>
      <c r="AG134" s="249" t="n">
        <v>0</v>
      </c>
    </row>
    <row r="135" customFormat="false" ht="16.5" hidden="true" customHeight="false" outlineLevel="0" collapsed="false">
      <c r="A135" s="252" t="s">
        <v>312</v>
      </c>
      <c r="B135" s="214" t="n">
        <f aca="false">VLOOKUP(A135,'TH theo khach hang'!$A$4:$C$309,2,FALSE())</f>
        <v>0</v>
      </c>
      <c r="C135" s="245" t="str">
        <f aca="false">IF(VLOOKUP(A135,'TH theo khach hang'!$A$4:$C$309,3,FALSE())=0, "", "x")</f>
        <v/>
      </c>
      <c r="D135" s="246" t="n">
        <f aca="false">F135-H135</f>
        <v>0</v>
      </c>
      <c r="E135" s="247" t="n">
        <f aca="false">G135-I135</f>
        <v>0</v>
      </c>
      <c r="F135" s="248" t="n">
        <f aca="false">VLOOKUP(A135,'TH theo khach hang'!$A$4:$G$309,4,FALSE())</f>
        <v>0</v>
      </c>
      <c r="G135" s="249" t="n">
        <f aca="false">VLOOKUP(A135,'TH theo khach hang'!$A$4:$G$309,5,FALSE())</f>
        <v>0</v>
      </c>
      <c r="H135" s="248" t="n">
        <f aca="false">J135+L135+N135+P135+R135+T135+V135+X135+Z135+AB135+AD135+AF135</f>
        <v>0</v>
      </c>
      <c r="I135" s="250" t="n">
        <f aca="false">K135+M135+O135+Q135+S135+U135+W135+Y135+AA135+AC135+AE135+AG135</f>
        <v>0</v>
      </c>
      <c r="J135" s="249" t="n">
        <v>0</v>
      </c>
      <c r="K135" s="249" t="n">
        <v>0</v>
      </c>
      <c r="L135" s="249" t="n">
        <v>0</v>
      </c>
      <c r="M135" s="249" t="n">
        <v>0</v>
      </c>
      <c r="N135" s="249" t="n">
        <v>0</v>
      </c>
      <c r="O135" s="249" t="n">
        <v>0</v>
      </c>
      <c r="P135" s="249" t="n">
        <v>0</v>
      </c>
      <c r="Q135" s="249" t="n">
        <v>0</v>
      </c>
      <c r="R135" s="249" t="n">
        <v>0</v>
      </c>
      <c r="S135" s="249" t="n">
        <v>0</v>
      </c>
      <c r="T135" s="249" t="n">
        <v>0</v>
      </c>
      <c r="U135" s="249" t="n">
        <v>0</v>
      </c>
      <c r="V135" s="249" t="n">
        <v>0</v>
      </c>
      <c r="W135" s="249" t="n">
        <v>0</v>
      </c>
      <c r="X135" s="249" t="n">
        <v>0</v>
      </c>
      <c r="Y135" s="249" t="n">
        <v>0</v>
      </c>
      <c r="Z135" s="249" t="n">
        <v>0</v>
      </c>
      <c r="AA135" s="249" t="n">
        <v>0</v>
      </c>
      <c r="AB135" s="249" t="n">
        <v>0</v>
      </c>
      <c r="AC135" s="249" t="n">
        <v>0</v>
      </c>
      <c r="AD135" s="249" t="n">
        <v>0</v>
      </c>
      <c r="AE135" s="249" t="n">
        <v>0</v>
      </c>
      <c r="AF135" s="249" t="n">
        <v>0</v>
      </c>
      <c r="AG135" s="249" t="n">
        <v>0</v>
      </c>
      <c r="AH135" s="251"/>
    </row>
    <row r="136" customFormat="false" ht="16.5" hidden="true" customHeight="false" outlineLevel="0" collapsed="false">
      <c r="A136" s="252" t="s">
        <v>313</v>
      </c>
      <c r="B136" s="214" t="n">
        <f aca="false">VLOOKUP(A136,'TH theo khach hang'!$A$4:$C$309,2,FALSE())</f>
        <v>0</v>
      </c>
      <c r="C136" s="245" t="str">
        <f aca="false">IF(VLOOKUP(A136,'TH theo khach hang'!$A$4:$C$309,3,FALSE())=0, "", "x")</f>
        <v/>
      </c>
      <c r="D136" s="246" t="n">
        <f aca="false">F136-H136</f>
        <v>0</v>
      </c>
      <c r="E136" s="247" t="n">
        <f aca="false">G136-I136</f>
        <v>0</v>
      </c>
      <c r="F136" s="248" t="n">
        <f aca="false">VLOOKUP(A136,'TH theo khach hang'!$A$4:$G$309,4,FALSE())</f>
        <v>0</v>
      </c>
      <c r="G136" s="249" t="n">
        <f aca="false">VLOOKUP(A136,'TH theo khach hang'!$A$4:$G$309,5,FALSE())</f>
        <v>0</v>
      </c>
      <c r="H136" s="248" t="n">
        <f aca="false">J136+L136+N136+P136+R136+T136+V136+X136+Z136+AB136+AD136+AF136</f>
        <v>0</v>
      </c>
      <c r="I136" s="250" t="n">
        <f aca="false">K136+M136+O136+Q136+S136+U136+W136+Y136+AA136+AC136+AE136+AG136</f>
        <v>0</v>
      </c>
      <c r="J136" s="249" t="n">
        <v>0</v>
      </c>
      <c r="K136" s="249" t="n">
        <v>0</v>
      </c>
      <c r="L136" s="249" t="n">
        <v>0</v>
      </c>
      <c r="M136" s="249" t="n">
        <v>0</v>
      </c>
      <c r="N136" s="249" t="n">
        <v>0</v>
      </c>
      <c r="O136" s="249" t="n">
        <v>0</v>
      </c>
      <c r="P136" s="249" t="n">
        <v>0</v>
      </c>
      <c r="Q136" s="249" t="n">
        <v>0</v>
      </c>
      <c r="R136" s="249" t="n">
        <v>0</v>
      </c>
      <c r="S136" s="249" t="n">
        <v>0</v>
      </c>
      <c r="T136" s="249" t="n">
        <v>0</v>
      </c>
      <c r="U136" s="249" t="n">
        <v>0</v>
      </c>
      <c r="V136" s="249" t="n">
        <v>0</v>
      </c>
      <c r="W136" s="249" t="n">
        <v>0</v>
      </c>
      <c r="X136" s="249" t="n">
        <v>0</v>
      </c>
      <c r="Y136" s="249" t="n">
        <v>0</v>
      </c>
      <c r="Z136" s="249" t="n">
        <v>0</v>
      </c>
      <c r="AA136" s="249" t="n">
        <v>0</v>
      </c>
      <c r="AB136" s="249" t="n">
        <v>0</v>
      </c>
      <c r="AC136" s="249" t="n">
        <v>0</v>
      </c>
      <c r="AD136" s="249" t="n">
        <v>0</v>
      </c>
      <c r="AE136" s="249" t="n">
        <v>0</v>
      </c>
      <c r="AF136" s="249" t="n">
        <v>0</v>
      </c>
      <c r="AG136" s="249" t="n">
        <v>0</v>
      </c>
    </row>
    <row r="137" customFormat="false" ht="16.5" hidden="true" customHeight="false" outlineLevel="0" collapsed="false">
      <c r="A137" s="252" t="s">
        <v>314</v>
      </c>
      <c r="B137" s="214" t="n">
        <f aca="false">VLOOKUP(A137,'TH theo khach hang'!$A$4:$C$309,2,FALSE())</f>
        <v>0</v>
      </c>
      <c r="C137" s="245" t="str">
        <f aca="false">IF(VLOOKUP(A137,'TH theo khach hang'!$A$4:$C$309,3,FALSE())=0, "", "x")</f>
        <v/>
      </c>
      <c r="D137" s="246" t="n">
        <f aca="false">F137-H137</f>
        <v>0</v>
      </c>
      <c r="E137" s="247" t="n">
        <f aca="false">G137-I137</f>
        <v>0</v>
      </c>
      <c r="F137" s="248" t="n">
        <f aca="false">VLOOKUP(A137,'TH theo khach hang'!$A$4:$G$309,4,FALSE())</f>
        <v>0</v>
      </c>
      <c r="G137" s="249" t="n">
        <f aca="false">VLOOKUP(A137,'TH theo khach hang'!$A$4:$G$309,5,FALSE())</f>
        <v>0</v>
      </c>
      <c r="H137" s="248" t="n">
        <f aca="false">J137+L137+N137+P137+R137+T137+V137+X137+Z137+AB137+AD137+AF137</f>
        <v>0</v>
      </c>
      <c r="I137" s="250" t="n">
        <f aca="false">K137+M137+O137+Q137+S137+U137+W137+Y137+AA137+AC137+AE137+AG137</f>
        <v>0</v>
      </c>
      <c r="J137" s="249" t="n">
        <v>0</v>
      </c>
      <c r="K137" s="249" t="n">
        <v>0</v>
      </c>
      <c r="L137" s="249" t="n">
        <v>0</v>
      </c>
      <c r="M137" s="249" t="n">
        <v>0</v>
      </c>
      <c r="N137" s="249" t="n">
        <v>0</v>
      </c>
      <c r="O137" s="249" t="n">
        <v>0</v>
      </c>
      <c r="P137" s="249" t="n">
        <v>0</v>
      </c>
      <c r="Q137" s="249" t="n">
        <v>0</v>
      </c>
      <c r="R137" s="249" t="n">
        <v>0</v>
      </c>
      <c r="S137" s="249" t="n">
        <v>0</v>
      </c>
      <c r="T137" s="249" t="n">
        <v>0</v>
      </c>
      <c r="U137" s="249" t="n">
        <v>0</v>
      </c>
      <c r="V137" s="249" t="n">
        <v>0</v>
      </c>
      <c r="W137" s="249" t="n">
        <v>0</v>
      </c>
      <c r="X137" s="249" t="n">
        <v>0</v>
      </c>
      <c r="Y137" s="249" t="n">
        <v>0</v>
      </c>
      <c r="Z137" s="249" t="n">
        <v>0</v>
      </c>
      <c r="AA137" s="249" t="n">
        <v>0</v>
      </c>
      <c r="AB137" s="249" t="n">
        <v>0</v>
      </c>
      <c r="AC137" s="249" t="n">
        <v>0</v>
      </c>
      <c r="AD137" s="249" t="n">
        <v>0</v>
      </c>
      <c r="AE137" s="249" t="n">
        <v>0</v>
      </c>
      <c r="AF137" s="249" t="n">
        <v>0</v>
      </c>
      <c r="AG137" s="249" t="n">
        <v>0</v>
      </c>
    </row>
    <row r="138" customFormat="false" ht="16.5" hidden="true" customHeight="false" outlineLevel="0" collapsed="false">
      <c r="A138" s="252" t="s">
        <v>315</v>
      </c>
      <c r="B138" s="214" t="n">
        <f aca="false">VLOOKUP(A138,'TH theo khach hang'!$A$4:$C$309,2,FALSE())</f>
        <v>0</v>
      </c>
      <c r="C138" s="245" t="str">
        <f aca="false">IF(VLOOKUP(A138,'TH theo khach hang'!$A$4:$C$309,3,FALSE())=0, "", "x")</f>
        <v/>
      </c>
      <c r="D138" s="246" t="n">
        <f aca="false">F138-H138</f>
        <v>0</v>
      </c>
      <c r="E138" s="247" t="n">
        <f aca="false">G138-I138</f>
        <v>0</v>
      </c>
      <c r="F138" s="248" t="n">
        <f aca="false">VLOOKUP(A138,'TH theo khach hang'!$A$4:$G$309,4,FALSE())</f>
        <v>0</v>
      </c>
      <c r="G138" s="249" t="n">
        <f aca="false">VLOOKUP(A138,'TH theo khach hang'!$A$4:$G$309,5,FALSE())</f>
        <v>0</v>
      </c>
      <c r="H138" s="248" t="n">
        <f aca="false">J138+L138+N138+P138+R138+T138+V138+X138+Z138+AB138+AD138+AF138</f>
        <v>0</v>
      </c>
      <c r="I138" s="250" t="n">
        <f aca="false">K138+M138+O138+Q138+S138+U138+W138+Y138+AA138+AC138+AE138+AG138</f>
        <v>0</v>
      </c>
      <c r="J138" s="249" t="n">
        <v>0</v>
      </c>
      <c r="K138" s="249" t="n">
        <v>0</v>
      </c>
      <c r="L138" s="249" t="n">
        <v>0</v>
      </c>
      <c r="M138" s="249" t="n">
        <v>0</v>
      </c>
      <c r="N138" s="249" t="n">
        <v>0</v>
      </c>
      <c r="O138" s="249" t="n">
        <v>0</v>
      </c>
      <c r="P138" s="249" t="n">
        <v>0</v>
      </c>
      <c r="Q138" s="249" t="n">
        <v>0</v>
      </c>
      <c r="R138" s="249" t="n">
        <v>0</v>
      </c>
      <c r="S138" s="249" t="n">
        <v>0</v>
      </c>
      <c r="T138" s="249" t="n">
        <v>0</v>
      </c>
      <c r="U138" s="249" t="n">
        <v>0</v>
      </c>
      <c r="V138" s="249" t="n">
        <v>0</v>
      </c>
      <c r="W138" s="249" t="n">
        <v>0</v>
      </c>
      <c r="X138" s="249" t="n">
        <v>0</v>
      </c>
      <c r="Y138" s="249" t="n">
        <v>0</v>
      </c>
      <c r="Z138" s="249" t="n">
        <v>0</v>
      </c>
      <c r="AA138" s="249" t="n">
        <v>0</v>
      </c>
      <c r="AB138" s="249" t="n">
        <v>0</v>
      </c>
      <c r="AC138" s="249" t="n">
        <v>0</v>
      </c>
      <c r="AD138" s="249" t="n">
        <v>0</v>
      </c>
      <c r="AE138" s="249" t="n">
        <v>0</v>
      </c>
      <c r="AF138" s="249" t="n">
        <v>0</v>
      </c>
      <c r="AG138" s="249" t="n">
        <v>0</v>
      </c>
      <c r="AH138" s="251"/>
    </row>
    <row r="139" customFormat="false" ht="16.5" hidden="true" customHeight="false" outlineLevel="0" collapsed="false">
      <c r="A139" s="252" t="s">
        <v>316</v>
      </c>
      <c r="B139" s="214" t="n">
        <f aca="false">VLOOKUP(A139,'TH theo khach hang'!$A$4:$C$309,2,FALSE())</f>
        <v>0</v>
      </c>
      <c r="C139" s="245" t="str">
        <f aca="false">IF(VLOOKUP(A139,'TH theo khach hang'!$A$4:$C$309,3,FALSE())=0, "", "x")</f>
        <v/>
      </c>
      <c r="D139" s="246" t="n">
        <f aca="false">F139-H139</f>
        <v>0</v>
      </c>
      <c r="E139" s="247" t="n">
        <f aca="false">G139-I139</f>
        <v>0</v>
      </c>
      <c r="F139" s="248" t="n">
        <f aca="false">VLOOKUP(A139,'TH theo khach hang'!$A$4:$G$309,4,FALSE())</f>
        <v>0</v>
      </c>
      <c r="G139" s="249" t="n">
        <f aca="false">VLOOKUP(A139,'TH theo khach hang'!$A$4:$G$309,5,FALSE())</f>
        <v>0</v>
      </c>
      <c r="H139" s="248" t="n">
        <f aca="false">J139+L139+N139+P139+R139+T139+V139+X139+Z139+AB139+AD139+AF139</f>
        <v>0</v>
      </c>
      <c r="I139" s="250" t="n">
        <f aca="false">K139+M139+O139+Q139+S139+U139+W139+Y139+AA139+AC139+AE139+AG139</f>
        <v>0</v>
      </c>
      <c r="J139" s="249" t="n">
        <v>0</v>
      </c>
      <c r="K139" s="249" t="n">
        <v>0</v>
      </c>
      <c r="L139" s="249" t="n">
        <v>0</v>
      </c>
      <c r="M139" s="249" t="n">
        <v>0</v>
      </c>
      <c r="N139" s="249" t="n">
        <v>0</v>
      </c>
      <c r="O139" s="249" t="n">
        <v>0</v>
      </c>
      <c r="P139" s="249" t="n">
        <v>0</v>
      </c>
      <c r="Q139" s="249" t="n">
        <v>0</v>
      </c>
      <c r="R139" s="249" t="n">
        <v>0</v>
      </c>
      <c r="S139" s="249" t="n">
        <v>0</v>
      </c>
      <c r="T139" s="249" t="n">
        <v>0</v>
      </c>
      <c r="U139" s="249" t="n">
        <v>0</v>
      </c>
      <c r="V139" s="249" t="n">
        <v>0</v>
      </c>
      <c r="W139" s="249" t="n">
        <v>0</v>
      </c>
      <c r="X139" s="249" t="n">
        <v>0</v>
      </c>
      <c r="Y139" s="249" t="n">
        <v>0</v>
      </c>
      <c r="Z139" s="249" t="n">
        <v>0</v>
      </c>
      <c r="AA139" s="249" t="n">
        <v>0</v>
      </c>
      <c r="AB139" s="249" t="n">
        <v>0</v>
      </c>
      <c r="AC139" s="249" t="n">
        <v>0</v>
      </c>
      <c r="AD139" s="249" t="n">
        <v>0</v>
      </c>
      <c r="AE139" s="249" t="n">
        <v>0</v>
      </c>
      <c r="AF139" s="249" t="n">
        <v>0</v>
      </c>
      <c r="AG139" s="249" t="n">
        <v>0</v>
      </c>
    </row>
    <row r="140" customFormat="false" ht="16.5" hidden="true" customHeight="false" outlineLevel="0" collapsed="false">
      <c r="A140" s="252" t="s">
        <v>317</v>
      </c>
      <c r="B140" s="214" t="n">
        <f aca="false">VLOOKUP(A140,'TH theo khach hang'!$A$4:$C$309,2,FALSE())</f>
        <v>0</v>
      </c>
      <c r="C140" s="245" t="str">
        <f aca="false">IF(VLOOKUP(A140,'TH theo khach hang'!$A$4:$C$309,3,FALSE())=0, "", "x")</f>
        <v/>
      </c>
      <c r="D140" s="246" t="n">
        <f aca="false">F140-H140</f>
        <v>0</v>
      </c>
      <c r="E140" s="247" t="n">
        <f aca="false">G140-I140</f>
        <v>0</v>
      </c>
      <c r="F140" s="248" t="n">
        <f aca="false">VLOOKUP(A140,'TH theo khach hang'!$A$4:$G$309,4,FALSE())</f>
        <v>0</v>
      </c>
      <c r="G140" s="249" t="n">
        <f aca="false">VLOOKUP(A140,'TH theo khach hang'!$A$4:$G$309,5,FALSE())</f>
        <v>0</v>
      </c>
      <c r="H140" s="248" t="n">
        <f aca="false">J140+L140+N140+P140+R140+T140+V140+X140+Z140+AB140+AD140+AF140</f>
        <v>0</v>
      </c>
      <c r="I140" s="250" t="n">
        <f aca="false">K140+M140+O140+Q140+S140+U140+W140+Y140+AA140+AC140+AE140+AG140</f>
        <v>0</v>
      </c>
      <c r="J140" s="249" t="n">
        <v>0</v>
      </c>
      <c r="K140" s="249" t="n">
        <v>0</v>
      </c>
      <c r="L140" s="249" t="n">
        <v>0</v>
      </c>
      <c r="M140" s="249" t="n">
        <v>0</v>
      </c>
      <c r="N140" s="249" t="n">
        <v>0</v>
      </c>
      <c r="O140" s="249" t="n">
        <v>0</v>
      </c>
      <c r="P140" s="249" t="n">
        <v>0</v>
      </c>
      <c r="Q140" s="249" t="n">
        <v>0</v>
      </c>
      <c r="R140" s="249" t="n">
        <v>0</v>
      </c>
      <c r="S140" s="249" t="n">
        <v>0</v>
      </c>
      <c r="T140" s="249" t="n">
        <v>0</v>
      </c>
      <c r="U140" s="249" t="n">
        <v>0</v>
      </c>
      <c r="V140" s="249" t="n">
        <v>0</v>
      </c>
      <c r="W140" s="249" t="n">
        <v>0</v>
      </c>
      <c r="X140" s="249" t="n">
        <v>0</v>
      </c>
      <c r="Y140" s="249" t="n">
        <v>0</v>
      </c>
      <c r="Z140" s="249" t="n">
        <v>0</v>
      </c>
      <c r="AA140" s="249" t="n">
        <v>0</v>
      </c>
      <c r="AB140" s="249" t="n">
        <v>0</v>
      </c>
      <c r="AC140" s="249" t="n">
        <v>0</v>
      </c>
      <c r="AD140" s="249" t="n">
        <v>0</v>
      </c>
      <c r="AE140" s="249" t="n">
        <v>0</v>
      </c>
      <c r="AF140" s="249" t="n">
        <v>0</v>
      </c>
      <c r="AG140" s="249" t="n">
        <v>0</v>
      </c>
    </row>
    <row r="141" customFormat="false" ht="16.5" hidden="true" customHeight="false" outlineLevel="0" collapsed="false">
      <c r="A141" s="252" t="s">
        <v>318</v>
      </c>
      <c r="B141" s="214" t="n">
        <f aca="false">VLOOKUP(A141,'TH theo khach hang'!$A$4:$C$309,2,FALSE())</f>
        <v>0</v>
      </c>
      <c r="C141" s="245" t="str">
        <f aca="false">IF(VLOOKUP(A141,'TH theo khach hang'!$A$4:$C$309,3,FALSE())=0, "", "x")</f>
        <v/>
      </c>
      <c r="D141" s="246" t="n">
        <f aca="false">F141-H141</f>
        <v>0</v>
      </c>
      <c r="E141" s="247" t="n">
        <f aca="false">G141-I141</f>
        <v>0</v>
      </c>
      <c r="F141" s="248" t="n">
        <f aca="false">VLOOKUP(A141,'TH theo khach hang'!$A$4:$G$309,4,FALSE())</f>
        <v>0</v>
      </c>
      <c r="G141" s="249" t="n">
        <f aca="false">VLOOKUP(A141,'TH theo khach hang'!$A$4:$G$309,5,FALSE())</f>
        <v>0</v>
      </c>
      <c r="H141" s="248" t="n">
        <f aca="false">J141+L141+N141+P141+R141+T141+V141+X141+Z141+AB141+AD141+AF141</f>
        <v>0</v>
      </c>
      <c r="I141" s="250" t="n">
        <f aca="false">K141+M141+O141+Q141+S141+U141+W141+Y141+AA141+AC141+AE141+AG141</f>
        <v>0</v>
      </c>
      <c r="J141" s="249" t="n">
        <v>0</v>
      </c>
      <c r="K141" s="249" t="n">
        <v>0</v>
      </c>
      <c r="L141" s="249" t="n">
        <v>0</v>
      </c>
      <c r="M141" s="249" t="n">
        <v>0</v>
      </c>
      <c r="N141" s="249" t="n">
        <v>0</v>
      </c>
      <c r="O141" s="249" t="n">
        <v>0</v>
      </c>
      <c r="P141" s="249" t="n">
        <v>0</v>
      </c>
      <c r="Q141" s="249" t="n">
        <v>0</v>
      </c>
      <c r="R141" s="249" t="n">
        <v>0</v>
      </c>
      <c r="S141" s="249" t="n">
        <v>0</v>
      </c>
      <c r="T141" s="249" t="n">
        <v>0</v>
      </c>
      <c r="U141" s="249" t="n">
        <v>0</v>
      </c>
      <c r="V141" s="249" t="n">
        <v>0</v>
      </c>
      <c r="W141" s="249" t="n">
        <v>0</v>
      </c>
      <c r="X141" s="249" t="n">
        <v>0</v>
      </c>
      <c r="Y141" s="249" t="n">
        <v>0</v>
      </c>
      <c r="Z141" s="249" t="n">
        <v>0</v>
      </c>
      <c r="AA141" s="249" t="n">
        <v>0</v>
      </c>
      <c r="AB141" s="249" t="n">
        <v>0</v>
      </c>
      <c r="AC141" s="249" t="n">
        <v>0</v>
      </c>
      <c r="AD141" s="249" t="n">
        <v>0</v>
      </c>
      <c r="AE141" s="249" t="n">
        <v>0</v>
      </c>
      <c r="AF141" s="249" t="n">
        <v>0</v>
      </c>
      <c r="AG141" s="249" t="n">
        <v>0</v>
      </c>
      <c r="AH141" s="251"/>
    </row>
    <row r="142" customFormat="false" ht="16.5" hidden="true" customHeight="false" outlineLevel="0" collapsed="false">
      <c r="A142" s="252" t="s">
        <v>319</v>
      </c>
      <c r="B142" s="214" t="n">
        <f aca="false">VLOOKUP(A142,'TH theo khach hang'!$A$4:$C$309,2,FALSE())</f>
        <v>0</v>
      </c>
      <c r="C142" s="245" t="str">
        <f aca="false">IF(VLOOKUP(A142,'TH theo khach hang'!$A$4:$C$309,3,FALSE())=0, "", "x")</f>
        <v/>
      </c>
      <c r="D142" s="246" t="n">
        <f aca="false">F142-H142</f>
        <v>0</v>
      </c>
      <c r="E142" s="247" t="n">
        <f aca="false">G142-I142</f>
        <v>0</v>
      </c>
      <c r="F142" s="248" t="n">
        <f aca="false">VLOOKUP(A142,'TH theo khach hang'!$A$4:$G$309,4,FALSE())</f>
        <v>0</v>
      </c>
      <c r="G142" s="249" t="n">
        <f aca="false">VLOOKUP(A142,'TH theo khach hang'!$A$4:$G$309,5,FALSE())</f>
        <v>0</v>
      </c>
      <c r="H142" s="248" t="n">
        <f aca="false">J142+L142+N142+P142+R142+T142+V142+X142+Z142+AB142+AD142+AF142</f>
        <v>0</v>
      </c>
      <c r="I142" s="250" t="n">
        <f aca="false">K142+M142+O142+Q142+S142+U142+W142+Y142+AA142+AC142+AE142+AG142</f>
        <v>0</v>
      </c>
      <c r="J142" s="249" t="n">
        <v>0</v>
      </c>
      <c r="K142" s="249" t="n">
        <v>0</v>
      </c>
      <c r="L142" s="249" t="n">
        <v>0</v>
      </c>
      <c r="M142" s="249" t="n">
        <v>0</v>
      </c>
      <c r="N142" s="249" t="n">
        <v>0</v>
      </c>
      <c r="O142" s="249" t="n">
        <v>0</v>
      </c>
      <c r="P142" s="249" t="n">
        <v>0</v>
      </c>
      <c r="Q142" s="249" t="n">
        <v>0</v>
      </c>
      <c r="R142" s="249" t="n">
        <v>0</v>
      </c>
      <c r="S142" s="249" t="n">
        <v>0</v>
      </c>
      <c r="T142" s="249" t="n">
        <v>0</v>
      </c>
      <c r="U142" s="249" t="n">
        <v>0</v>
      </c>
      <c r="V142" s="249" t="n">
        <v>0</v>
      </c>
      <c r="W142" s="249" t="n">
        <v>0</v>
      </c>
      <c r="X142" s="249" t="n">
        <v>0</v>
      </c>
      <c r="Y142" s="249" t="n">
        <v>0</v>
      </c>
      <c r="Z142" s="249" t="n">
        <v>0</v>
      </c>
      <c r="AA142" s="249" t="n">
        <v>0</v>
      </c>
      <c r="AB142" s="249" t="n">
        <v>0</v>
      </c>
      <c r="AC142" s="249" t="n">
        <v>0</v>
      </c>
      <c r="AD142" s="249" t="n">
        <v>0</v>
      </c>
      <c r="AE142" s="249" t="n">
        <v>0</v>
      </c>
      <c r="AF142" s="249" t="n">
        <v>0</v>
      </c>
      <c r="AG142" s="249" t="n">
        <v>0</v>
      </c>
    </row>
    <row r="143" customFormat="false" ht="16.5" hidden="true" customHeight="false" outlineLevel="0" collapsed="false">
      <c r="A143" s="252" t="s">
        <v>320</v>
      </c>
      <c r="B143" s="214" t="n">
        <f aca="false">VLOOKUP(A143,'TH theo khach hang'!$A$4:$C$309,2,FALSE())</f>
        <v>0</v>
      </c>
      <c r="C143" s="245" t="str">
        <f aca="false">IF(VLOOKUP(A143,'TH theo khach hang'!$A$4:$C$309,3,FALSE())=0, "", "x")</f>
        <v/>
      </c>
      <c r="D143" s="246" t="n">
        <f aca="false">F143-H143</f>
        <v>0</v>
      </c>
      <c r="E143" s="247" t="n">
        <f aca="false">G143-I143</f>
        <v>0</v>
      </c>
      <c r="F143" s="248" t="n">
        <f aca="false">VLOOKUP(A143,'TH theo khach hang'!$A$4:$G$309,4,FALSE())</f>
        <v>0</v>
      </c>
      <c r="G143" s="249" t="n">
        <f aca="false">VLOOKUP(A143,'TH theo khach hang'!$A$4:$G$309,5,FALSE())</f>
        <v>0</v>
      </c>
      <c r="H143" s="248" t="n">
        <f aca="false">J143+L143+N143+P143+R143+T143+V143+X143+Z143+AB143+AD143+AF143</f>
        <v>0</v>
      </c>
      <c r="I143" s="250" t="n">
        <f aca="false">K143+M143+O143+Q143+S143+U143+W143+Y143+AA143+AC143+AE143+AG143</f>
        <v>0</v>
      </c>
      <c r="J143" s="249" t="n">
        <v>0</v>
      </c>
      <c r="K143" s="249" t="n">
        <v>0</v>
      </c>
      <c r="L143" s="249" t="n">
        <v>0</v>
      </c>
      <c r="M143" s="249" t="n">
        <v>0</v>
      </c>
      <c r="N143" s="249" t="n">
        <v>0</v>
      </c>
      <c r="O143" s="249" t="n">
        <v>0</v>
      </c>
      <c r="P143" s="249" t="n">
        <v>0</v>
      </c>
      <c r="Q143" s="249" t="n">
        <v>0</v>
      </c>
      <c r="R143" s="249" t="n">
        <v>0</v>
      </c>
      <c r="S143" s="249" t="n">
        <v>0</v>
      </c>
      <c r="T143" s="249" t="n">
        <v>0</v>
      </c>
      <c r="U143" s="249" t="n">
        <v>0</v>
      </c>
      <c r="V143" s="249" t="n">
        <v>0</v>
      </c>
      <c r="W143" s="249" t="n">
        <v>0</v>
      </c>
      <c r="X143" s="249" t="n">
        <v>0</v>
      </c>
      <c r="Y143" s="249" t="n">
        <v>0</v>
      </c>
      <c r="Z143" s="249" t="n">
        <v>0</v>
      </c>
      <c r="AA143" s="249" t="n">
        <v>0</v>
      </c>
      <c r="AB143" s="249" t="n">
        <v>0</v>
      </c>
      <c r="AC143" s="249" t="n">
        <v>0</v>
      </c>
      <c r="AD143" s="249" t="n">
        <v>0</v>
      </c>
      <c r="AE143" s="249" t="n">
        <v>0</v>
      </c>
      <c r="AF143" s="249" t="n">
        <v>0</v>
      </c>
      <c r="AG143" s="249" t="n">
        <v>0</v>
      </c>
    </row>
    <row r="144" customFormat="false" ht="16.5" hidden="true" customHeight="false" outlineLevel="0" collapsed="false">
      <c r="A144" s="252" t="s">
        <v>321</v>
      </c>
      <c r="B144" s="214" t="n">
        <f aca="false">VLOOKUP(A144,'TH theo khach hang'!$A$4:$C$309,2,FALSE())</f>
        <v>0</v>
      </c>
      <c r="C144" s="245" t="str">
        <f aca="false">IF(VLOOKUP(A144,'TH theo khach hang'!$A$4:$C$309,3,FALSE())=0, "", "x")</f>
        <v/>
      </c>
      <c r="D144" s="246" t="n">
        <f aca="false">F144-H144</f>
        <v>0</v>
      </c>
      <c r="E144" s="247" t="n">
        <f aca="false">G144-I144</f>
        <v>0</v>
      </c>
      <c r="F144" s="248" t="n">
        <f aca="false">VLOOKUP(A144,'TH theo khach hang'!$A$4:$G$309,4,FALSE())</f>
        <v>0</v>
      </c>
      <c r="G144" s="249" t="n">
        <f aca="false">VLOOKUP(A144,'TH theo khach hang'!$A$4:$G$309,5,FALSE())</f>
        <v>0</v>
      </c>
      <c r="H144" s="248" t="n">
        <f aca="false">J144+L144+N144+P144+R144+T144+V144+X144+Z144+AB144+AD144+AF144</f>
        <v>0</v>
      </c>
      <c r="I144" s="250" t="n">
        <f aca="false">K144+M144+O144+Q144+S144+U144+W144+Y144+AA144+AC144+AE144+AG144</f>
        <v>0</v>
      </c>
      <c r="J144" s="249" t="n">
        <v>0</v>
      </c>
      <c r="K144" s="249" t="n">
        <v>0</v>
      </c>
      <c r="L144" s="249" t="n">
        <v>0</v>
      </c>
      <c r="M144" s="249" t="n">
        <v>0</v>
      </c>
      <c r="N144" s="249" t="n">
        <v>0</v>
      </c>
      <c r="O144" s="249" t="n">
        <v>0</v>
      </c>
      <c r="P144" s="249" t="n">
        <v>0</v>
      </c>
      <c r="Q144" s="249" t="n">
        <v>0</v>
      </c>
      <c r="R144" s="249" t="n">
        <v>0</v>
      </c>
      <c r="S144" s="249" t="n">
        <v>0</v>
      </c>
      <c r="T144" s="249" t="n">
        <v>0</v>
      </c>
      <c r="U144" s="249" t="n">
        <v>0</v>
      </c>
      <c r="V144" s="249" t="n">
        <v>0</v>
      </c>
      <c r="W144" s="249" t="n">
        <v>0</v>
      </c>
      <c r="X144" s="249" t="n">
        <v>0</v>
      </c>
      <c r="Y144" s="249" t="n">
        <v>0</v>
      </c>
      <c r="Z144" s="249" t="n">
        <v>0</v>
      </c>
      <c r="AA144" s="249" t="n">
        <v>0</v>
      </c>
      <c r="AB144" s="249" t="n">
        <v>0</v>
      </c>
      <c r="AC144" s="249" t="n">
        <v>0</v>
      </c>
      <c r="AD144" s="249" t="n">
        <v>0</v>
      </c>
      <c r="AE144" s="249" t="n">
        <v>0</v>
      </c>
      <c r="AF144" s="249" t="n">
        <v>0</v>
      </c>
      <c r="AG144" s="249" t="n">
        <v>0</v>
      </c>
    </row>
    <row r="145" customFormat="false" ht="16.5" hidden="true" customHeight="false" outlineLevel="0" collapsed="false">
      <c r="A145" s="252" t="s">
        <v>322</v>
      </c>
      <c r="B145" s="214" t="n">
        <f aca="false">VLOOKUP(A145,'TH theo khach hang'!$A$4:$C$309,2,FALSE())</f>
        <v>0</v>
      </c>
      <c r="C145" s="245" t="str">
        <f aca="false">IF(VLOOKUP(A145,'TH theo khach hang'!$A$4:$C$309,3,FALSE())=0, "", "x")</f>
        <v/>
      </c>
      <c r="D145" s="246" t="n">
        <f aca="false">F145-H145</f>
        <v>0</v>
      </c>
      <c r="E145" s="247" t="n">
        <f aca="false">G145-I145</f>
        <v>0</v>
      </c>
      <c r="F145" s="248" t="n">
        <f aca="false">VLOOKUP(A145,'TH theo khach hang'!$A$4:$G$309,4,FALSE())</f>
        <v>0</v>
      </c>
      <c r="G145" s="249" t="n">
        <f aca="false">VLOOKUP(A145,'TH theo khach hang'!$A$4:$G$309,5,FALSE())</f>
        <v>0</v>
      </c>
      <c r="H145" s="248" t="n">
        <f aca="false">J145+L145+N145+P145+R145+T145+V145+X145+Z145+AB145+AD145+AF145</f>
        <v>0</v>
      </c>
      <c r="I145" s="250" t="n">
        <f aca="false">K145+M145+O145+Q145+S145+U145+W145+Y145+AA145+AC145+AE145+AG145</f>
        <v>0</v>
      </c>
      <c r="J145" s="249" t="n">
        <v>0</v>
      </c>
      <c r="K145" s="249" t="n">
        <v>0</v>
      </c>
      <c r="L145" s="249" t="n">
        <v>0</v>
      </c>
      <c r="M145" s="249" t="n">
        <v>0</v>
      </c>
      <c r="N145" s="249" t="n">
        <v>0</v>
      </c>
      <c r="O145" s="249" t="n">
        <v>0</v>
      </c>
      <c r="P145" s="249" t="n">
        <v>0</v>
      </c>
      <c r="Q145" s="249" t="n">
        <v>0</v>
      </c>
      <c r="R145" s="249" t="n">
        <v>0</v>
      </c>
      <c r="S145" s="249" t="n">
        <v>0</v>
      </c>
      <c r="T145" s="249" t="n">
        <v>0</v>
      </c>
      <c r="U145" s="249" t="n">
        <v>0</v>
      </c>
      <c r="V145" s="249" t="n">
        <v>0</v>
      </c>
      <c r="W145" s="249" t="n">
        <v>0</v>
      </c>
      <c r="X145" s="249" t="n">
        <v>0</v>
      </c>
      <c r="Y145" s="249" t="n">
        <v>0</v>
      </c>
      <c r="Z145" s="249" t="n">
        <v>0</v>
      </c>
      <c r="AA145" s="249" t="n">
        <v>0</v>
      </c>
      <c r="AB145" s="249" t="n">
        <v>0</v>
      </c>
      <c r="AC145" s="249" t="n">
        <v>0</v>
      </c>
      <c r="AD145" s="249" t="n">
        <v>0</v>
      </c>
      <c r="AE145" s="249" t="n">
        <v>0</v>
      </c>
      <c r="AF145" s="249" t="n">
        <v>0</v>
      </c>
      <c r="AG145" s="249" t="n">
        <v>0</v>
      </c>
    </row>
    <row r="146" customFormat="false" ht="16.5" hidden="true" customHeight="false" outlineLevel="0" collapsed="false">
      <c r="A146" s="252" t="s">
        <v>323</v>
      </c>
      <c r="B146" s="214" t="n">
        <f aca="false">VLOOKUP(A146,'TH theo khach hang'!$A$4:$C$309,2,FALSE())</f>
        <v>0</v>
      </c>
      <c r="C146" s="245" t="str">
        <f aca="false">IF(VLOOKUP(A146,'TH theo khach hang'!$A$4:$C$309,3,FALSE())=0, "", "x")</f>
        <v/>
      </c>
      <c r="D146" s="246" t="n">
        <f aca="false">F146-H146</f>
        <v>0</v>
      </c>
      <c r="E146" s="247" t="n">
        <f aca="false">G146-I146</f>
        <v>0</v>
      </c>
      <c r="F146" s="248" t="n">
        <f aca="false">VLOOKUP(A146,'TH theo khach hang'!$A$4:$G$309,4,FALSE())</f>
        <v>0</v>
      </c>
      <c r="G146" s="249" t="n">
        <f aca="false">VLOOKUP(A146,'TH theo khach hang'!$A$4:$G$309,5,FALSE())</f>
        <v>0</v>
      </c>
      <c r="H146" s="248" t="n">
        <f aca="false">J146+L146+N146+P146+R146+T146+V146+X146+Z146+AB146+AD146+AF146</f>
        <v>0</v>
      </c>
      <c r="I146" s="250" t="n">
        <f aca="false">K146+M146+O146+Q146+S146+U146+W146+Y146+AA146+AC146+AE146+AG146</f>
        <v>0</v>
      </c>
      <c r="J146" s="249" t="n">
        <v>0</v>
      </c>
      <c r="K146" s="249" t="n">
        <v>0</v>
      </c>
      <c r="L146" s="249" t="n">
        <v>0</v>
      </c>
      <c r="M146" s="249" t="n">
        <v>0</v>
      </c>
      <c r="N146" s="249" t="n">
        <v>0</v>
      </c>
      <c r="O146" s="249" t="n">
        <v>0</v>
      </c>
      <c r="P146" s="249" t="n">
        <v>0</v>
      </c>
      <c r="Q146" s="249" t="n">
        <v>0</v>
      </c>
      <c r="R146" s="249" t="n">
        <v>0</v>
      </c>
      <c r="S146" s="249" t="n">
        <v>0</v>
      </c>
      <c r="T146" s="249" t="n">
        <v>0</v>
      </c>
      <c r="U146" s="249" t="n">
        <v>0</v>
      </c>
      <c r="V146" s="249" t="n">
        <v>0</v>
      </c>
      <c r="W146" s="249" t="n">
        <v>0</v>
      </c>
      <c r="X146" s="249" t="n">
        <v>0</v>
      </c>
      <c r="Y146" s="249" t="n">
        <v>0</v>
      </c>
      <c r="Z146" s="249" t="n">
        <v>0</v>
      </c>
      <c r="AA146" s="249" t="n">
        <v>0</v>
      </c>
      <c r="AB146" s="249" t="n">
        <v>0</v>
      </c>
      <c r="AC146" s="249" t="n">
        <v>0</v>
      </c>
      <c r="AD146" s="249" t="n">
        <v>0</v>
      </c>
      <c r="AE146" s="249" t="n">
        <v>0</v>
      </c>
      <c r="AF146" s="249" t="n">
        <v>0</v>
      </c>
      <c r="AG146" s="249" t="n">
        <v>0</v>
      </c>
    </row>
    <row r="147" customFormat="false" ht="16.5" hidden="true" customHeight="false" outlineLevel="0" collapsed="false">
      <c r="A147" s="252" t="s">
        <v>324</v>
      </c>
      <c r="B147" s="214" t="n">
        <f aca="false">VLOOKUP(A147,'TH theo khach hang'!$A$4:$C$309,2,FALSE())</f>
        <v>0</v>
      </c>
      <c r="C147" s="245" t="str">
        <f aca="false">IF(VLOOKUP(A147,'TH theo khach hang'!$A$4:$C$309,3,FALSE())=0, "", "x")</f>
        <v/>
      </c>
      <c r="D147" s="246" t="n">
        <f aca="false">F147-H147</f>
        <v>0</v>
      </c>
      <c r="E147" s="247" t="n">
        <f aca="false">G147-I147</f>
        <v>0</v>
      </c>
      <c r="F147" s="248" t="n">
        <f aca="false">VLOOKUP(A147,'TH theo khach hang'!$A$4:$G$309,4,FALSE())</f>
        <v>0</v>
      </c>
      <c r="G147" s="249" t="n">
        <f aca="false">VLOOKUP(A147,'TH theo khach hang'!$A$4:$G$309,5,FALSE())</f>
        <v>0</v>
      </c>
      <c r="H147" s="248" t="n">
        <f aca="false">J147+L147+N147+P147+R147+T147+V147+X147+Z147+AB147+AD147+AF147</f>
        <v>0</v>
      </c>
      <c r="I147" s="250" t="n">
        <f aca="false">K147+M147+O147+Q147+S147+U147+W147+Y147+AA147+AC147+AE147+AG147</f>
        <v>0</v>
      </c>
      <c r="J147" s="249" t="n">
        <v>0</v>
      </c>
      <c r="K147" s="249" t="n">
        <v>0</v>
      </c>
      <c r="L147" s="249" t="n">
        <v>0</v>
      </c>
      <c r="M147" s="249" t="n">
        <v>0</v>
      </c>
      <c r="N147" s="249" t="n">
        <v>0</v>
      </c>
      <c r="O147" s="249" t="n">
        <v>0</v>
      </c>
      <c r="P147" s="249" t="n">
        <v>0</v>
      </c>
      <c r="Q147" s="249" t="n">
        <v>0</v>
      </c>
      <c r="R147" s="249" t="n">
        <v>0</v>
      </c>
      <c r="S147" s="249" t="n">
        <v>0</v>
      </c>
      <c r="T147" s="249" t="n">
        <v>0</v>
      </c>
      <c r="U147" s="249" t="n">
        <v>0</v>
      </c>
      <c r="V147" s="249" t="n">
        <v>0</v>
      </c>
      <c r="W147" s="249" t="n">
        <v>0</v>
      </c>
      <c r="X147" s="249" t="n">
        <v>0</v>
      </c>
      <c r="Y147" s="249" t="n">
        <v>0</v>
      </c>
      <c r="Z147" s="249" t="n">
        <v>0</v>
      </c>
      <c r="AA147" s="249" t="n">
        <v>0</v>
      </c>
      <c r="AB147" s="249" t="n">
        <v>0</v>
      </c>
      <c r="AC147" s="249" t="n">
        <v>0</v>
      </c>
      <c r="AD147" s="249" t="n">
        <v>0</v>
      </c>
      <c r="AE147" s="249" t="n">
        <v>0</v>
      </c>
      <c r="AF147" s="249" t="n">
        <v>0</v>
      </c>
      <c r="AG147" s="249" t="n">
        <v>0</v>
      </c>
    </row>
    <row r="148" customFormat="false" ht="16.5" hidden="true" customHeight="false" outlineLevel="0" collapsed="false">
      <c r="A148" s="252" t="s">
        <v>325</v>
      </c>
      <c r="B148" s="214" t="n">
        <f aca="false">VLOOKUP(A148,'TH theo khach hang'!$A$4:$C$309,2,FALSE())</f>
        <v>0</v>
      </c>
      <c r="C148" s="245" t="str">
        <f aca="false">IF(VLOOKUP(A148,'TH theo khach hang'!$A$4:$C$309,3,FALSE())=0, "", "x")</f>
        <v/>
      </c>
      <c r="D148" s="246" t="n">
        <f aca="false">F148-H148</f>
        <v>0</v>
      </c>
      <c r="E148" s="247" t="n">
        <f aca="false">G148-I148</f>
        <v>0</v>
      </c>
      <c r="F148" s="248" t="n">
        <f aca="false">VLOOKUP(A148,'TH theo khach hang'!$A$4:$G$309,4,FALSE())</f>
        <v>0</v>
      </c>
      <c r="G148" s="249" t="n">
        <f aca="false">VLOOKUP(A148,'TH theo khach hang'!$A$4:$G$309,5,FALSE())</f>
        <v>0</v>
      </c>
      <c r="H148" s="248" t="n">
        <f aca="false">J148+L148+N148+P148+R148+T148+V148+X148+Z148+AB148+AD148+AF148</f>
        <v>0</v>
      </c>
      <c r="I148" s="250" t="n">
        <f aca="false">K148+M148+O148+Q148+S148+U148+W148+Y148+AA148+AC148+AE148+AG148</f>
        <v>0</v>
      </c>
      <c r="J148" s="249" t="n">
        <v>0</v>
      </c>
      <c r="K148" s="249" t="n">
        <v>0</v>
      </c>
      <c r="L148" s="249" t="n">
        <v>0</v>
      </c>
      <c r="M148" s="249" t="n">
        <v>0</v>
      </c>
      <c r="N148" s="249" t="n">
        <v>0</v>
      </c>
      <c r="O148" s="249" t="n">
        <v>0</v>
      </c>
      <c r="P148" s="249" t="n">
        <v>0</v>
      </c>
      <c r="Q148" s="249" t="n">
        <v>0</v>
      </c>
      <c r="R148" s="249" t="n">
        <v>0</v>
      </c>
      <c r="S148" s="249" t="n">
        <v>0</v>
      </c>
      <c r="T148" s="249" t="n">
        <v>0</v>
      </c>
      <c r="U148" s="249" t="n">
        <v>0</v>
      </c>
      <c r="V148" s="249" t="n">
        <v>0</v>
      </c>
      <c r="W148" s="249" t="n">
        <v>0</v>
      </c>
      <c r="X148" s="249" t="n">
        <v>0</v>
      </c>
      <c r="Y148" s="249" t="n">
        <v>0</v>
      </c>
      <c r="Z148" s="249" t="n">
        <v>0</v>
      </c>
      <c r="AA148" s="249" t="n">
        <v>0</v>
      </c>
      <c r="AB148" s="249" t="n">
        <v>0</v>
      </c>
      <c r="AC148" s="249" t="n">
        <v>0</v>
      </c>
      <c r="AD148" s="249" t="n">
        <v>0</v>
      </c>
      <c r="AE148" s="249" t="n">
        <v>0</v>
      </c>
      <c r="AF148" s="249" t="n">
        <v>0</v>
      </c>
      <c r="AG148" s="249" t="n">
        <v>0</v>
      </c>
    </row>
    <row r="149" customFormat="false" ht="16.5" hidden="true" customHeight="false" outlineLevel="0" collapsed="false">
      <c r="A149" s="252" t="s">
        <v>326</v>
      </c>
      <c r="B149" s="214" t="n">
        <f aca="false">VLOOKUP(A149,'TH theo khach hang'!$A$4:$C$309,2,FALSE())</f>
        <v>0</v>
      </c>
      <c r="C149" s="245" t="str">
        <f aca="false">IF(VLOOKUP(A149,'TH theo khach hang'!$A$4:$C$309,3,FALSE())=0, "", "x")</f>
        <v/>
      </c>
      <c r="D149" s="246" t="n">
        <f aca="false">F149-H149</f>
        <v>0</v>
      </c>
      <c r="E149" s="247" t="n">
        <f aca="false">G149-I149</f>
        <v>0</v>
      </c>
      <c r="F149" s="248" t="n">
        <f aca="false">VLOOKUP(A149,'TH theo khach hang'!$A$4:$G$309,4,FALSE())</f>
        <v>0</v>
      </c>
      <c r="G149" s="249" t="n">
        <f aca="false">VLOOKUP(A149,'TH theo khach hang'!$A$4:$G$309,5,FALSE())</f>
        <v>0</v>
      </c>
      <c r="H149" s="248" t="n">
        <f aca="false">J149+L149+N149+P149+R149+T149+V149+X149+Z149+AB149+AD149+AF149</f>
        <v>0</v>
      </c>
      <c r="I149" s="250" t="n">
        <f aca="false">K149+M149+O149+Q149+S149+U149+W149+Y149+AA149+AC149+AE149+AG149</f>
        <v>0</v>
      </c>
      <c r="J149" s="249" t="n">
        <v>0</v>
      </c>
      <c r="K149" s="249" t="n">
        <v>0</v>
      </c>
      <c r="L149" s="249" t="n">
        <v>0</v>
      </c>
      <c r="M149" s="249" t="n">
        <v>0</v>
      </c>
      <c r="N149" s="249" t="n">
        <v>0</v>
      </c>
      <c r="O149" s="249" t="n">
        <v>0</v>
      </c>
      <c r="P149" s="249" t="n">
        <v>0</v>
      </c>
      <c r="Q149" s="249" t="n">
        <v>0</v>
      </c>
      <c r="R149" s="249" t="n">
        <v>0</v>
      </c>
      <c r="S149" s="249" t="n">
        <v>0</v>
      </c>
      <c r="T149" s="249" t="n">
        <v>0</v>
      </c>
      <c r="U149" s="249" t="n">
        <v>0</v>
      </c>
      <c r="V149" s="249" t="n">
        <v>0</v>
      </c>
      <c r="W149" s="249" t="n">
        <v>0</v>
      </c>
      <c r="X149" s="249" t="n">
        <v>0</v>
      </c>
      <c r="Y149" s="249" t="n">
        <v>0</v>
      </c>
      <c r="Z149" s="249" t="n">
        <v>0</v>
      </c>
      <c r="AA149" s="249" t="n">
        <v>0</v>
      </c>
      <c r="AB149" s="249" t="n">
        <v>0</v>
      </c>
      <c r="AC149" s="249" t="n">
        <v>0</v>
      </c>
      <c r="AD149" s="249" t="n">
        <v>0</v>
      </c>
      <c r="AE149" s="249" t="n">
        <v>0</v>
      </c>
      <c r="AF149" s="249" t="n">
        <v>0</v>
      </c>
      <c r="AG149" s="249" t="n">
        <v>0</v>
      </c>
    </row>
    <row r="150" customFormat="false" ht="16.5" hidden="true" customHeight="false" outlineLevel="0" collapsed="false">
      <c r="A150" s="252" t="s">
        <v>327</v>
      </c>
      <c r="B150" s="214" t="n">
        <f aca="false">VLOOKUP(A150,'TH theo khach hang'!$A$4:$C$309,2,FALSE())</f>
        <v>0</v>
      </c>
      <c r="C150" s="245" t="str">
        <f aca="false">IF(VLOOKUP(A150,'TH theo khach hang'!$A$4:$C$309,3,FALSE())=0, "", "x")</f>
        <v/>
      </c>
      <c r="D150" s="246" t="n">
        <f aca="false">F150-H150</f>
        <v>0</v>
      </c>
      <c r="E150" s="247" t="n">
        <f aca="false">G150-I150</f>
        <v>0</v>
      </c>
      <c r="F150" s="248" t="n">
        <f aca="false">VLOOKUP(A150,'TH theo khach hang'!$A$4:$G$309,4,FALSE())</f>
        <v>0</v>
      </c>
      <c r="G150" s="249" t="n">
        <f aca="false">VLOOKUP(A150,'TH theo khach hang'!$A$4:$G$309,5,FALSE())</f>
        <v>0</v>
      </c>
      <c r="H150" s="248" t="n">
        <f aca="false">J150+L150+N150+P150+R150+T150+V150+X150+Z150+AB150+AD150+AF150</f>
        <v>0</v>
      </c>
      <c r="I150" s="250" t="n">
        <f aca="false">K150+M150+O150+Q150+S150+U150+W150+Y150+AA150+AC150+AE150+AG150</f>
        <v>0</v>
      </c>
      <c r="J150" s="249" t="n">
        <v>0</v>
      </c>
      <c r="K150" s="249" t="n">
        <v>0</v>
      </c>
      <c r="L150" s="249" t="n">
        <v>0</v>
      </c>
      <c r="M150" s="249" t="n">
        <v>0</v>
      </c>
      <c r="N150" s="249" t="n">
        <v>0</v>
      </c>
      <c r="O150" s="249" t="n">
        <v>0</v>
      </c>
      <c r="P150" s="249" t="n">
        <v>0</v>
      </c>
      <c r="Q150" s="249" t="n">
        <v>0</v>
      </c>
      <c r="R150" s="249" t="n">
        <v>0</v>
      </c>
      <c r="S150" s="249" t="n">
        <v>0</v>
      </c>
      <c r="T150" s="249" t="n">
        <v>0</v>
      </c>
      <c r="U150" s="249" t="n">
        <v>0</v>
      </c>
      <c r="V150" s="249" t="n">
        <v>0</v>
      </c>
      <c r="W150" s="249" t="n">
        <v>0</v>
      </c>
      <c r="X150" s="249" t="n">
        <v>0</v>
      </c>
      <c r="Y150" s="249" t="n">
        <v>0</v>
      </c>
      <c r="Z150" s="249" t="n">
        <v>0</v>
      </c>
      <c r="AA150" s="249" t="n">
        <v>0</v>
      </c>
      <c r="AB150" s="249" t="n">
        <v>0</v>
      </c>
      <c r="AC150" s="249" t="n">
        <v>0</v>
      </c>
      <c r="AD150" s="249" t="n">
        <v>0</v>
      </c>
      <c r="AE150" s="249" t="n">
        <v>0</v>
      </c>
      <c r="AF150" s="249" t="n">
        <v>0</v>
      </c>
      <c r="AG150" s="249" t="n">
        <v>0</v>
      </c>
    </row>
    <row r="151" customFormat="false" ht="16.5" hidden="true" customHeight="false" outlineLevel="0" collapsed="false">
      <c r="A151" s="252" t="s">
        <v>328</v>
      </c>
      <c r="B151" s="253" t="n">
        <f aca="false">VLOOKUP(A151,'TH theo khach hang'!$A$4:$C$309,2,FALSE())</f>
        <v>0</v>
      </c>
      <c r="C151" s="245" t="str">
        <f aca="false">IF(VLOOKUP(A151,'TH theo khach hang'!$A$4:$C$309,3,FALSE())=0, "", "x")</f>
        <v/>
      </c>
      <c r="D151" s="246" t="n">
        <f aca="false">F151-H151</f>
        <v>0</v>
      </c>
      <c r="E151" s="247" t="n">
        <f aca="false">G151-I151</f>
        <v>0</v>
      </c>
      <c r="F151" s="248" t="n">
        <f aca="false">VLOOKUP(A151,'TH theo khach hang'!$A$4:$G$309,4,FALSE())</f>
        <v>0</v>
      </c>
      <c r="G151" s="249" t="n">
        <f aca="false">VLOOKUP(A151,'TH theo khach hang'!$A$4:$G$309,5,FALSE())</f>
        <v>0</v>
      </c>
      <c r="H151" s="248" t="n">
        <f aca="false">J151+L151+N151+P151+R151+T151+V151+X151+Z151+AB151+AD151+AF151</f>
        <v>0</v>
      </c>
      <c r="I151" s="250" t="n">
        <f aca="false">K151+M151+O151+Q151+S151+U151+W151+Y151+AA151+AC151+AE151+AG151</f>
        <v>0</v>
      </c>
      <c r="J151" s="249" t="n">
        <v>0</v>
      </c>
      <c r="K151" s="249" t="n">
        <v>0</v>
      </c>
      <c r="L151" s="249" t="n">
        <v>0</v>
      </c>
      <c r="M151" s="249" t="n">
        <v>0</v>
      </c>
      <c r="N151" s="249" t="n">
        <v>0</v>
      </c>
      <c r="O151" s="249" t="n">
        <v>0</v>
      </c>
      <c r="P151" s="249" t="n">
        <v>0</v>
      </c>
      <c r="Q151" s="249" t="n">
        <v>0</v>
      </c>
      <c r="R151" s="249" t="n">
        <v>0</v>
      </c>
      <c r="S151" s="249" t="n">
        <v>0</v>
      </c>
      <c r="T151" s="249" t="n">
        <v>0</v>
      </c>
      <c r="U151" s="249" t="n">
        <v>0</v>
      </c>
      <c r="V151" s="249" t="n">
        <v>0</v>
      </c>
      <c r="W151" s="249" t="n">
        <v>0</v>
      </c>
      <c r="X151" s="249" t="n">
        <v>0</v>
      </c>
      <c r="Y151" s="249" t="n">
        <v>0</v>
      </c>
      <c r="Z151" s="249" t="n">
        <v>0</v>
      </c>
      <c r="AA151" s="249" t="n">
        <v>0</v>
      </c>
      <c r="AB151" s="249" t="n">
        <v>0</v>
      </c>
      <c r="AC151" s="249" t="n">
        <v>0</v>
      </c>
      <c r="AD151" s="249" t="n">
        <v>0</v>
      </c>
      <c r="AE151" s="249" t="n">
        <v>0</v>
      </c>
      <c r="AF151" s="249" t="n">
        <v>0</v>
      </c>
      <c r="AG151" s="249" t="n">
        <v>0</v>
      </c>
    </row>
    <row r="152" customFormat="false" ht="16.5" hidden="true" customHeight="false" outlineLevel="0" collapsed="false">
      <c r="A152" s="252" t="s">
        <v>329</v>
      </c>
      <c r="B152" s="214" t="n">
        <f aca="false">VLOOKUP(A152,'TH theo khach hang'!$A$4:$C$309,2,FALSE())</f>
        <v>0</v>
      </c>
      <c r="C152" s="245" t="str">
        <f aca="false">IF(VLOOKUP(A152,'TH theo khach hang'!$A$4:$C$309,3,FALSE())=0, "", "x")</f>
        <v/>
      </c>
      <c r="D152" s="246" t="n">
        <f aca="false">F152-H152</f>
        <v>0</v>
      </c>
      <c r="E152" s="247" t="n">
        <f aca="false">G152-I152</f>
        <v>0</v>
      </c>
      <c r="F152" s="248" t="n">
        <f aca="false">VLOOKUP(A152,'TH theo khach hang'!$A$4:$G$309,4,FALSE())</f>
        <v>0</v>
      </c>
      <c r="G152" s="249" t="n">
        <f aca="false">VLOOKUP(A152,'TH theo khach hang'!$A$4:$G$309,5,FALSE())</f>
        <v>0</v>
      </c>
      <c r="H152" s="248" t="n">
        <f aca="false">J152+L152+N152+P152+R152+T152+V152+X152+Z152+AB152+AD152+AF152</f>
        <v>0</v>
      </c>
      <c r="I152" s="250" t="n">
        <f aca="false">K152+M152+O152+Q152+S152+U152+W152+Y152+AA152+AC152+AE152+AG152</f>
        <v>0</v>
      </c>
      <c r="J152" s="249" t="n">
        <v>0</v>
      </c>
      <c r="K152" s="249" t="n">
        <v>0</v>
      </c>
      <c r="L152" s="249" t="n">
        <v>0</v>
      </c>
      <c r="M152" s="249" t="n">
        <v>0</v>
      </c>
      <c r="N152" s="249" t="n">
        <v>0</v>
      </c>
      <c r="O152" s="249" t="n">
        <v>0</v>
      </c>
      <c r="P152" s="249" t="n">
        <v>0</v>
      </c>
      <c r="Q152" s="249" t="n">
        <v>0</v>
      </c>
      <c r="R152" s="249" t="n">
        <v>0</v>
      </c>
      <c r="S152" s="249" t="n">
        <v>0</v>
      </c>
      <c r="T152" s="249" t="n">
        <v>0</v>
      </c>
      <c r="U152" s="249" t="n">
        <v>0</v>
      </c>
      <c r="V152" s="249" t="n">
        <v>0</v>
      </c>
      <c r="W152" s="249" t="n">
        <v>0</v>
      </c>
      <c r="X152" s="249" t="n">
        <v>0</v>
      </c>
      <c r="Y152" s="249" t="n">
        <v>0</v>
      </c>
      <c r="Z152" s="249" t="n">
        <v>0</v>
      </c>
      <c r="AA152" s="249" t="n">
        <v>0</v>
      </c>
      <c r="AB152" s="249" t="n">
        <v>0</v>
      </c>
      <c r="AC152" s="249" t="n">
        <v>0</v>
      </c>
      <c r="AD152" s="249" t="n">
        <v>0</v>
      </c>
      <c r="AE152" s="249" t="n">
        <v>0</v>
      </c>
      <c r="AF152" s="249" t="n">
        <v>0</v>
      </c>
      <c r="AG152" s="249" t="n">
        <v>0</v>
      </c>
    </row>
    <row r="153" customFormat="false" ht="16.5" hidden="true" customHeight="false" outlineLevel="0" collapsed="false">
      <c r="A153" s="252" t="s">
        <v>330</v>
      </c>
      <c r="B153" s="214" t="n">
        <f aca="false">VLOOKUP(A153,'TH theo khach hang'!$A$4:$C$309,2,FALSE())</f>
        <v>0</v>
      </c>
      <c r="C153" s="245" t="str">
        <f aca="false">IF(VLOOKUP(A153,'TH theo khach hang'!$A$4:$C$309,3,FALSE())=0, "", "x")</f>
        <v/>
      </c>
      <c r="D153" s="246" t="n">
        <f aca="false">F153-H153</f>
        <v>0</v>
      </c>
      <c r="E153" s="247" t="n">
        <f aca="false">G153-I153</f>
        <v>0</v>
      </c>
      <c r="F153" s="248" t="n">
        <f aca="false">VLOOKUP(A153,'TH theo khach hang'!$A$4:$G$309,4,FALSE())</f>
        <v>0</v>
      </c>
      <c r="G153" s="249" t="n">
        <f aca="false">VLOOKUP(A153,'TH theo khach hang'!$A$4:$G$309,5,FALSE())</f>
        <v>0</v>
      </c>
      <c r="H153" s="248" t="n">
        <f aca="false">J153+L153+N153+P153+R153+T153+V153+X153+Z153+AB153+AD153+AF153</f>
        <v>0</v>
      </c>
      <c r="I153" s="250" t="n">
        <f aca="false">K153+M153+O153+Q153+S153+U153+W153+Y153+AA153+AC153+AE153+AG153</f>
        <v>0</v>
      </c>
      <c r="J153" s="249" t="n">
        <v>0</v>
      </c>
      <c r="K153" s="249" t="n">
        <v>0</v>
      </c>
      <c r="L153" s="249" t="n">
        <v>0</v>
      </c>
      <c r="M153" s="249" t="n">
        <v>0</v>
      </c>
      <c r="N153" s="249" t="n">
        <v>0</v>
      </c>
      <c r="O153" s="249" t="n">
        <v>0</v>
      </c>
      <c r="P153" s="249" t="n">
        <v>0</v>
      </c>
      <c r="Q153" s="249" t="n">
        <v>0</v>
      </c>
      <c r="R153" s="249" t="n">
        <v>0</v>
      </c>
      <c r="S153" s="249" t="n">
        <v>0</v>
      </c>
      <c r="T153" s="249" t="n">
        <v>0</v>
      </c>
      <c r="U153" s="249" t="n">
        <v>0</v>
      </c>
      <c r="V153" s="249" t="n">
        <v>0</v>
      </c>
      <c r="W153" s="249" t="n">
        <v>0</v>
      </c>
      <c r="X153" s="249" t="n">
        <v>0</v>
      </c>
      <c r="Y153" s="249" t="n">
        <v>0</v>
      </c>
      <c r="Z153" s="249" t="n">
        <v>0</v>
      </c>
      <c r="AA153" s="249" t="n">
        <v>0</v>
      </c>
      <c r="AB153" s="249" t="n">
        <v>0</v>
      </c>
      <c r="AC153" s="249" t="n">
        <v>0</v>
      </c>
      <c r="AD153" s="249" t="n">
        <v>0</v>
      </c>
      <c r="AE153" s="249" t="n">
        <v>0</v>
      </c>
      <c r="AF153" s="249" t="n">
        <v>0</v>
      </c>
      <c r="AG153" s="249" t="n">
        <v>0</v>
      </c>
    </row>
    <row r="154" customFormat="false" ht="16.5" hidden="true" customHeight="false" outlineLevel="0" collapsed="false">
      <c r="A154" s="252" t="s">
        <v>331</v>
      </c>
      <c r="B154" s="214" t="n">
        <f aca="false">VLOOKUP(A154,'TH theo khach hang'!$A$4:$C$309,2,FALSE())</f>
        <v>0</v>
      </c>
      <c r="C154" s="245" t="str">
        <f aca="false">IF(VLOOKUP(A154,'TH theo khach hang'!$A$4:$C$309,3,FALSE())=0, "", "x")</f>
        <v/>
      </c>
      <c r="D154" s="246" t="n">
        <f aca="false">F154-H154</f>
        <v>0</v>
      </c>
      <c r="E154" s="247" t="n">
        <f aca="false">G154-I154</f>
        <v>0</v>
      </c>
      <c r="F154" s="248" t="n">
        <f aca="false">VLOOKUP(A154,'TH theo khach hang'!$A$4:$G$309,4,FALSE())</f>
        <v>0</v>
      </c>
      <c r="G154" s="249" t="n">
        <f aca="false">VLOOKUP(A154,'TH theo khach hang'!$A$4:$G$309,5,FALSE())</f>
        <v>0</v>
      </c>
      <c r="H154" s="248" t="n">
        <f aca="false">J154+L154+N154+P154+R154+T154+V154+X154+Z154+AB154+AD154+AF154</f>
        <v>0</v>
      </c>
      <c r="I154" s="250" t="n">
        <f aca="false">K154+M154+O154+Q154+S154+U154+W154+Y154+AA154+AC154+AE154+AG154</f>
        <v>0</v>
      </c>
      <c r="J154" s="249" t="n">
        <v>0</v>
      </c>
      <c r="K154" s="249" t="n">
        <v>0</v>
      </c>
      <c r="L154" s="249" t="n">
        <v>0</v>
      </c>
      <c r="M154" s="249" t="n">
        <v>0</v>
      </c>
      <c r="N154" s="249" t="n">
        <v>0</v>
      </c>
      <c r="O154" s="249" t="n">
        <v>0</v>
      </c>
      <c r="P154" s="249" t="n">
        <v>0</v>
      </c>
      <c r="Q154" s="249" t="n">
        <v>0</v>
      </c>
      <c r="R154" s="249" t="n">
        <v>0</v>
      </c>
      <c r="S154" s="249" t="n">
        <v>0</v>
      </c>
      <c r="T154" s="249" t="n">
        <v>0</v>
      </c>
      <c r="U154" s="249" t="n">
        <v>0</v>
      </c>
      <c r="V154" s="249" t="n">
        <v>0</v>
      </c>
      <c r="W154" s="249" t="n">
        <v>0</v>
      </c>
      <c r="X154" s="249" t="n">
        <v>0</v>
      </c>
      <c r="Y154" s="249" t="n">
        <v>0</v>
      </c>
      <c r="Z154" s="249" t="n">
        <v>0</v>
      </c>
      <c r="AA154" s="249" t="n">
        <v>0</v>
      </c>
      <c r="AB154" s="249" t="n">
        <v>0</v>
      </c>
      <c r="AC154" s="249" t="n">
        <v>0</v>
      </c>
      <c r="AD154" s="249" t="n">
        <v>0</v>
      </c>
      <c r="AE154" s="249" t="n">
        <v>0</v>
      </c>
      <c r="AF154" s="249" t="n">
        <v>0</v>
      </c>
      <c r="AG154" s="249" t="n">
        <v>0</v>
      </c>
    </row>
    <row r="155" customFormat="false" ht="16.5" hidden="true" customHeight="false" outlineLevel="0" collapsed="false">
      <c r="A155" s="252" t="s">
        <v>332</v>
      </c>
      <c r="B155" s="214" t="n">
        <f aca="false">VLOOKUP(A155,'TH theo khach hang'!$A$4:$C$309,2,FALSE())</f>
        <v>0</v>
      </c>
      <c r="C155" s="245" t="str">
        <f aca="false">IF(VLOOKUP(A155,'TH theo khach hang'!$A$4:$C$309,3,FALSE())=0, "", "x")</f>
        <v/>
      </c>
      <c r="D155" s="246" t="n">
        <f aca="false">F155-H155</f>
        <v>0</v>
      </c>
      <c r="E155" s="247" t="n">
        <f aca="false">G155-I155</f>
        <v>0</v>
      </c>
      <c r="F155" s="248" t="n">
        <f aca="false">VLOOKUP(A155,'TH theo khach hang'!$A$4:$G$309,4,FALSE())</f>
        <v>0</v>
      </c>
      <c r="G155" s="249" t="n">
        <f aca="false">VLOOKUP(A155,'TH theo khach hang'!$A$4:$G$309,5,FALSE())</f>
        <v>0</v>
      </c>
      <c r="H155" s="248" t="n">
        <f aca="false">J155+L155+N155+P155+R155+T155+V155+X155+Z155+AB155+AD155+AF155</f>
        <v>0</v>
      </c>
      <c r="I155" s="250" t="n">
        <f aca="false">K155+M155+O155+Q155+S155+U155+W155+Y155+AA155+AC155+AE155+AG155</f>
        <v>0</v>
      </c>
      <c r="J155" s="249" t="n">
        <v>0</v>
      </c>
      <c r="K155" s="249" t="n">
        <v>0</v>
      </c>
      <c r="L155" s="249" t="n">
        <v>0</v>
      </c>
      <c r="M155" s="249" t="n">
        <v>0</v>
      </c>
      <c r="N155" s="249" t="n">
        <v>0</v>
      </c>
      <c r="O155" s="249" t="n">
        <v>0</v>
      </c>
      <c r="P155" s="249" t="n">
        <v>0</v>
      </c>
      <c r="Q155" s="249" t="n">
        <v>0</v>
      </c>
      <c r="R155" s="249" t="n">
        <v>0</v>
      </c>
      <c r="S155" s="249" t="n">
        <v>0</v>
      </c>
      <c r="T155" s="249" t="n">
        <v>0</v>
      </c>
      <c r="U155" s="249" t="n">
        <v>0</v>
      </c>
      <c r="V155" s="249" t="n">
        <v>0</v>
      </c>
      <c r="W155" s="249" t="n">
        <v>0</v>
      </c>
      <c r="X155" s="249" t="n">
        <v>0</v>
      </c>
      <c r="Y155" s="249" t="n">
        <v>0</v>
      </c>
      <c r="Z155" s="249" t="n">
        <v>0</v>
      </c>
      <c r="AA155" s="249" t="n">
        <v>0</v>
      </c>
      <c r="AB155" s="249" t="n">
        <v>0</v>
      </c>
      <c r="AC155" s="249" t="n">
        <v>0</v>
      </c>
      <c r="AD155" s="249" t="n">
        <v>0</v>
      </c>
      <c r="AE155" s="249" t="n">
        <v>0</v>
      </c>
      <c r="AF155" s="249" t="n">
        <v>0</v>
      </c>
      <c r="AG155" s="249" t="n">
        <v>0</v>
      </c>
    </row>
    <row r="156" customFormat="false" ht="16.5" hidden="true" customHeight="false" outlineLevel="0" collapsed="false">
      <c r="A156" s="252" t="s">
        <v>333</v>
      </c>
      <c r="B156" s="214" t="n">
        <f aca="false">VLOOKUP(A156,'TH theo khach hang'!$A$4:$C$309,2,FALSE())</f>
        <v>0</v>
      </c>
      <c r="C156" s="245" t="str">
        <f aca="false">IF(VLOOKUP(A156,'TH theo khach hang'!$A$4:$C$309,3,FALSE())=0, "", "x")</f>
        <v/>
      </c>
      <c r="D156" s="246" t="n">
        <f aca="false">F156-H156</f>
        <v>0</v>
      </c>
      <c r="E156" s="247" t="n">
        <f aca="false">G156-I156</f>
        <v>0</v>
      </c>
      <c r="F156" s="248" t="n">
        <f aca="false">VLOOKUP(A156,'TH theo khach hang'!$A$4:$G$309,4,FALSE())</f>
        <v>0</v>
      </c>
      <c r="G156" s="249" t="n">
        <f aca="false">VLOOKUP(A156,'TH theo khach hang'!$A$4:$G$309,5,FALSE())</f>
        <v>0</v>
      </c>
      <c r="H156" s="248" t="n">
        <f aca="false">J156+L156+N156+P156+R156+T156+V156+X156+Z156+AB156+AD156+AF156</f>
        <v>0</v>
      </c>
      <c r="I156" s="250" t="n">
        <f aca="false">K156+M156+O156+Q156+S156+U156+W156+Y156+AA156+AC156+AE156+AG156</f>
        <v>0</v>
      </c>
      <c r="J156" s="249" t="n">
        <v>0</v>
      </c>
      <c r="K156" s="249" t="n">
        <v>0</v>
      </c>
      <c r="L156" s="249" t="n">
        <v>0</v>
      </c>
      <c r="M156" s="249" t="n">
        <v>0</v>
      </c>
      <c r="N156" s="249" t="n">
        <v>0</v>
      </c>
      <c r="O156" s="249" t="n">
        <v>0</v>
      </c>
      <c r="P156" s="249" t="n">
        <v>0</v>
      </c>
      <c r="Q156" s="249" t="n">
        <v>0</v>
      </c>
      <c r="R156" s="249" t="n">
        <v>0</v>
      </c>
      <c r="S156" s="249" t="n">
        <v>0</v>
      </c>
      <c r="T156" s="249" t="n">
        <v>0</v>
      </c>
      <c r="U156" s="249" t="n">
        <v>0</v>
      </c>
      <c r="V156" s="249" t="n">
        <v>0</v>
      </c>
      <c r="W156" s="249" t="n">
        <v>0</v>
      </c>
      <c r="X156" s="249" t="n">
        <v>0</v>
      </c>
      <c r="Y156" s="249" t="n">
        <v>0</v>
      </c>
      <c r="Z156" s="249" t="n">
        <v>0</v>
      </c>
      <c r="AA156" s="249" t="n">
        <v>0</v>
      </c>
      <c r="AB156" s="249" t="n">
        <v>0</v>
      </c>
      <c r="AC156" s="249" t="n">
        <v>0</v>
      </c>
      <c r="AD156" s="249" t="n">
        <v>0</v>
      </c>
      <c r="AE156" s="249" t="n">
        <v>0</v>
      </c>
      <c r="AF156" s="249" t="n">
        <v>0</v>
      </c>
      <c r="AG156" s="249" t="n">
        <v>0</v>
      </c>
    </row>
    <row r="157" customFormat="false" ht="16.5" hidden="true" customHeight="false" outlineLevel="0" collapsed="false">
      <c r="A157" s="252" t="s">
        <v>334</v>
      </c>
      <c r="B157" s="214" t="n">
        <f aca="false">VLOOKUP(A157,'TH theo khach hang'!$A$4:$C$309,2,FALSE())</f>
        <v>0</v>
      </c>
      <c r="C157" s="245" t="str">
        <f aca="false">IF(VLOOKUP(A157,'TH theo khach hang'!$A$4:$C$309,3,FALSE())=0, "", "x")</f>
        <v/>
      </c>
      <c r="D157" s="246" t="n">
        <f aca="false">F157-H157</f>
        <v>0</v>
      </c>
      <c r="E157" s="247" t="n">
        <f aca="false">G157-I157</f>
        <v>0</v>
      </c>
      <c r="F157" s="248" t="n">
        <f aca="false">VLOOKUP(A157,'TH theo khach hang'!$A$4:$G$309,4,FALSE())</f>
        <v>0</v>
      </c>
      <c r="G157" s="249" t="n">
        <f aca="false">VLOOKUP(A157,'TH theo khach hang'!$A$4:$G$309,5,FALSE())</f>
        <v>0</v>
      </c>
      <c r="H157" s="248" t="n">
        <f aca="false">J157+L157+N157+P157+R157+T157+V157+X157+Z157+AB157+AD157+AF157</f>
        <v>0</v>
      </c>
      <c r="I157" s="250" t="n">
        <f aca="false">K157+M157+O157+Q157+S157+U157+W157+Y157+AA157+AC157+AE157+AG157</f>
        <v>0</v>
      </c>
      <c r="J157" s="249" t="n">
        <v>0</v>
      </c>
      <c r="K157" s="249" t="n">
        <v>0</v>
      </c>
      <c r="L157" s="249" t="n">
        <v>0</v>
      </c>
      <c r="M157" s="249" t="n">
        <v>0</v>
      </c>
      <c r="N157" s="249" t="n">
        <v>0</v>
      </c>
      <c r="O157" s="249" t="n">
        <v>0</v>
      </c>
      <c r="P157" s="249" t="n">
        <v>0</v>
      </c>
      <c r="Q157" s="249" t="n">
        <v>0</v>
      </c>
      <c r="R157" s="249" t="n">
        <v>0</v>
      </c>
      <c r="S157" s="249" t="n">
        <v>0</v>
      </c>
      <c r="T157" s="249" t="n">
        <v>0</v>
      </c>
      <c r="U157" s="249" t="n">
        <v>0</v>
      </c>
      <c r="V157" s="249" t="n">
        <v>0</v>
      </c>
      <c r="W157" s="249" t="n">
        <v>0</v>
      </c>
      <c r="X157" s="249" t="n">
        <v>0</v>
      </c>
      <c r="Y157" s="249" t="n">
        <v>0</v>
      </c>
      <c r="Z157" s="249" t="n">
        <v>0</v>
      </c>
      <c r="AA157" s="249" t="n">
        <v>0</v>
      </c>
      <c r="AB157" s="249" t="n">
        <v>0</v>
      </c>
      <c r="AC157" s="249" t="n">
        <v>0</v>
      </c>
      <c r="AD157" s="249" t="n">
        <v>0</v>
      </c>
      <c r="AE157" s="249" t="n">
        <v>0</v>
      </c>
      <c r="AF157" s="249" t="n">
        <v>0</v>
      </c>
      <c r="AG157" s="249" t="n">
        <v>0</v>
      </c>
      <c r="AH157" s="251"/>
    </row>
    <row r="158" customFormat="false" ht="16.5" hidden="true" customHeight="false" outlineLevel="0" collapsed="false">
      <c r="A158" s="252" t="s">
        <v>335</v>
      </c>
      <c r="B158" s="214" t="n">
        <f aca="false">VLOOKUP(A158,'TH theo khach hang'!$A$4:$C$309,2,FALSE())</f>
        <v>0</v>
      </c>
      <c r="C158" s="245" t="str">
        <f aca="false">IF(VLOOKUP(A158,'TH theo khach hang'!$A$4:$C$309,3,FALSE())=0, "", "x")</f>
        <v/>
      </c>
      <c r="D158" s="246" t="n">
        <f aca="false">F158-H158</f>
        <v>0</v>
      </c>
      <c r="E158" s="247" t="n">
        <f aca="false">G158-I158</f>
        <v>0</v>
      </c>
      <c r="F158" s="248" t="n">
        <f aca="false">VLOOKUP(A158,'TH theo khach hang'!$A$4:$G$309,4,FALSE())</f>
        <v>0</v>
      </c>
      <c r="G158" s="249" t="n">
        <f aca="false">VLOOKUP(A158,'TH theo khach hang'!$A$4:$G$309,5,FALSE())</f>
        <v>0</v>
      </c>
      <c r="H158" s="248" t="n">
        <f aca="false">J158+L158+N158+P158+R158+T158+V158+X158+Z158+AB158+AD158+AF158</f>
        <v>0</v>
      </c>
      <c r="I158" s="250" t="n">
        <f aca="false">K158+M158+O158+Q158+S158+U158+W158+Y158+AA158+AC158+AE158+AG158</f>
        <v>0</v>
      </c>
      <c r="J158" s="249" t="n">
        <v>0</v>
      </c>
      <c r="K158" s="249" t="n">
        <v>0</v>
      </c>
      <c r="L158" s="249" t="n">
        <v>0</v>
      </c>
      <c r="M158" s="249" t="n">
        <v>0</v>
      </c>
      <c r="N158" s="249" t="n">
        <v>0</v>
      </c>
      <c r="O158" s="249" t="n">
        <v>0</v>
      </c>
      <c r="P158" s="249" t="n">
        <v>0</v>
      </c>
      <c r="Q158" s="249" t="n">
        <v>0</v>
      </c>
      <c r="R158" s="249" t="n">
        <v>0</v>
      </c>
      <c r="S158" s="249" t="n">
        <v>0</v>
      </c>
      <c r="T158" s="249" t="n">
        <v>0</v>
      </c>
      <c r="U158" s="249" t="n">
        <v>0</v>
      </c>
      <c r="V158" s="249" t="n">
        <v>0</v>
      </c>
      <c r="W158" s="249" t="n">
        <v>0</v>
      </c>
      <c r="X158" s="249" t="n">
        <v>0</v>
      </c>
      <c r="Y158" s="249" t="n">
        <v>0</v>
      </c>
      <c r="Z158" s="249" t="n">
        <v>0</v>
      </c>
      <c r="AA158" s="249" t="n">
        <v>0</v>
      </c>
      <c r="AB158" s="249" t="n">
        <v>0</v>
      </c>
      <c r="AC158" s="249" t="n">
        <v>0</v>
      </c>
      <c r="AD158" s="249" t="n">
        <v>0</v>
      </c>
      <c r="AE158" s="249" t="n">
        <v>0</v>
      </c>
      <c r="AF158" s="249" t="n">
        <v>0</v>
      </c>
      <c r="AG158" s="249" t="n">
        <v>0</v>
      </c>
    </row>
    <row r="159" customFormat="false" ht="16.5" hidden="true" customHeight="false" outlineLevel="0" collapsed="false">
      <c r="A159" s="252" t="s">
        <v>336</v>
      </c>
      <c r="B159" s="214" t="n">
        <f aca="false">VLOOKUP(A159,'TH theo khach hang'!$A$4:$C$309,2,FALSE())</f>
        <v>0</v>
      </c>
      <c r="C159" s="245" t="str">
        <f aca="false">IF(VLOOKUP(A159,'TH theo khach hang'!$A$4:$C$309,3,FALSE())=0, "", "x")</f>
        <v/>
      </c>
      <c r="D159" s="246" t="n">
        <f aca="false">F159-H159</f>
        <v>0</v>
      </c>
      <c r="E159" s="247" t="n">
        <f aca="false">G159-I159</f>
        <v>0</v>
      </c>
      <c r="F159" s="248" t="n">
        <f aca="false">VLOOKUP(A159,'TH theo khach hang'!$A$4:$G$309,4,FALSE())</f>
        <v>0</v>
      </c>
      <c r="G159" s="249" t="n">
        <f aca="false">VLOOKUP(A159,'TH theo khach hang'!$A$4:$G$309,5,FALSE())</f>
        <v>0</v>
      </c>
      <c r="H159" s="248" t="n">
        <f aca="false">J159+L159+N159+P159+R159+T159+V159+X159+Z159+AB159+AD159+AF159</f>
        <v>0</v>
      </c>
      <c r="I159" s="250" t="n">
        <f aca="false">K159+M159+O159+Q159+S159+U159+W159+Y159+AA159+AC159+AE159+AG159</f>
        <v>0</v>
      </c>
      <c r="J159" s="249" t="n">
        <v>0</v>
      </c>
      <c r="K159" s="249" t="n">
        <v>0</v>
      </c>
      <c r="L159" s="249" t="n">
        <v>0</v>
      </c>
      <c r="M159" s="249" t="n">
        <v>0</v>
      </c>
      <c r="N159" s="249" t="n">
        <v>0</v>
      </c>
      <c r="O159" s="249" t="n">
        <v>0</v>
      </c>
      <c r="P159" s="249" t="n">
        <v>0</v>
      </c>
      <c r="Q159" s="249" t="n">
        <v>0</v>
      </c>
      <c r="R159" s="249" t="n">
        <v>0</v>
      </c>
      <c r="S159" s="249" t="n">
        <v>0</v>
      </c>
      <c r="T159" s="249" t="n">
        <v>0</v>
      </c>
      <c r="U159" s="249" t="n">
        <v>0</v>
      </c>
      <c r="V159" s="249" t="n">
        <v>0</v>
      </c>
      <c r="W159" s="249" t="n">
        <v>0</v>
      </c>
      <c r="X159" s="249" t="n">
        <v>0</v>
      </c>
      <c r="Y159" s="249" t="n">
        <v>0</v>
      </c>
      <c r="Z159" s="249" t="n">
        <v>0</v>
      </c>
      <c r="AA159" s="249" t="n">
        <v>0</v>
      </c>
      <c r="AB159" s="249" t="n">
        <v>0</v>
      </c>
      <c r="AC159" s="249" t="n">
        <v>0</v>
      </c>
      <c r="AD159" s="249" t="n">
        <v>0</v>
      </c>
      <c r="AE159" s="249" t="n">
        <v>0</v>
      </c>
      <c r="AF159" s="249" t="n">
        <v>0</v>
      </c>
      <c r="AG159" s="249" t="n">
        <v>0</v>
      </c>
    </row>
    <row r="160" customFormat="false" ht="16.5" hidden="true" customHeight="false" outlineLevel="0" collapsed="false">
      <c r="A160" s="252" t="s">
        <v>337</v>
      </c>
      <c r="B160" s="214" t="n">
        <f aca="false">VLOOKUP(A160,'TH theo khach hang'!$A$4:$C$309,2,FALSE())</f>
        <v>0</v>
      </c>
      <c r="C160" s="245" t="str">
        <f aca="false">IF(VLOOKUP(A160,'TH theo khach hang'!$A$4:$C$309,3,FALSE())=0, "", "x")</f>
        <v/>
      </c>
      <c r="D160" s="246" t="n">
        <f aca="false">F160-H160</f>
        <v>0</v>
      </c>
      <c r="E160" s="247" t="n">
        <f aca="false">G160-I160</f>
        <v>0</v>
      </c>
      <c r="F160" s="248" t="n">
        <f aca="false">VLOOKUP(A160,'TH theo khach hang'!$A$4:$G$309,4,FALSE())</f>
        <v>0</v>
      </c>
      <c r="G160" s="249" t="n">
        <f aca="false">VLOOKUP(A160,'TH theo khach hang'!$A$4:$G$309,5,FALSE())</f>
        <v>0</v>
      </c>
      <c r="H160" s="248" t="n">
        <f aca="false">J160+L160+N160+P160+R160+T160+V160+X160+Z160+AB160+AD160+AF160</f>
        <v>0</v>
      </c>
      <c r="I160" s="250" t="n">
        <f aca="false">K160+M160+O160+Q160+S160+U160+W160+Y160+AA160+AC160+AE160+AG160</f>
        <v>0</v>
      </c>
      <c r="J160" s="249" t="n">
        <v>0</v>
      </c>
      <c r="K160" s="249" t="n">
        <v>0</v>
      </c>
      <c r="L160" s="249" t="n">
        <v>0</v>
      </c>
      <c r="M160" s="249" t="n">
        <v>0</v>
      </c>
      <c r="N160" s="249" t="n">
        <v>0</v>
      </c>
      <c r="O160" s="249" t="n">
        <v>0</v>
      </c>
      <c r="P160" s="249" t="n">
        <v>0</v>
      </c>
      <c r="Q160" s="249" t="n">
        <v>0</v>
      </c>
      <c r="R160" s="249" t="n">
        <v>0</v>
      </c>
      <c r="S160" s="249" t="n">
        <v>0</v>
      </c>
      <c r="T160" s="249" t="n">
        <v>0</v>
      </c>
      <c r="U160" s="249" t="n">
        <v>0</v>
      </c>
      <c r="V160" s="249" t="n">
        <v>0</v>
      </c>
      <c r="W160" s="249" t="n">
        <v>0</v>
      </c>
      <c r="X160" s="249" t="n">
        <v>0</v>
      </c>
      <c r="Y160" s="249" t="n">
        <v>0</v>
      </c>
      <c r="Z160" s="249" t="n">
        <v>0</v>
      </c>
      <c r="AA160" s="249" t="n">
        <v>0</v>
      </c>
      <c r="AB160" s="249" t="n">
        <v>0</v>
      </c>
      <c r="AC160" s="249" t="n">
        <v>0</v>
      </c>
      <c r="AD160" s="249" t="n">
        <v>0</v>
      </c>
      <c r="AE160" s="249" t="n">
        <v>0</v>
      </c>
      <c r="AF160" s="249" t="n">
        <v>0</v>
      </c>
      <c r="AG160" s="249" t="n">
        <v>0</v>
      </c>
      <c r="AH160" s="251"/>
    </row>
    <row r="161" customFormat="false" ht="16.5" hidden="true" customHeight="false" outlineLevel="0" collapsed="false">
      <c r="A161" s="252" t="s">
        <v>338</v>
      </c>
      <c r="B161" s="214" t="n">
        <f aca="false">VLOOKUP(A161,'TH theo khach hang'!$A$4:$C$309,2,FALSE())</f>
        <v>0</v>
      </c>
      <c r="C161" s="245" t="str">
        <f aca="false">IF(VLOOKUP(A161,'TH theo khach hang'!$A$4:$C$309,3,FALSE())=0, "", "x")</f>
        <v/>
      </c>
      <c r="D161" s="246" t="n">
        <f aca="false">F161-H161</f>
        <v>0</v>
      </c>
      <c r="E161" s="247" t="n">
        <f aca="false">G161-I161</f>
        <v>0</v>
      </c>
      <c r="F161" s="248" t="n">
        <f aca="false">VLOOKUP(A161,'TH theo khach hang'!$A$4:$G$309,4,FALSE())</f>
        <v>0</v>
      </c>
      <c r="G161" s="249" t="n">
        <f aca="false">VLOOKUP(A161,'TH theo khach hang'!$A$4:$G$309,5,FALSE())</f>
        <v>0</v>
      </c>
      <c r="H161" s="248" t="n">
        <f aca="false">J161+L161+N161+P161+R161+T161+V161+X161+Z161+AB161+AD161+AF161</f>
        <v>0</v>
      </c>
      <c r="I161" s="250" t="n">
        <f aca="false">K161+M161+O161+Q161+S161+U161+W161+Y161+AA161+AC161+AE161+AG161</f>
        <v>0</v>
      </c>
      <c r="J161" s="249" t="n">
        <v>0</v>
      </c>
      <c r="K161" s="249" t="n">
        <v>0</v>
      </c>
      <c r="L161" s="249" t="n">
        <v>0</v>
      </c>
      <c r="M161" s="249" t="n">
        <v>0</v>
      </c>
      <c r="N161" s="249" t="n">
        <v>0</v>
      </c>
      <c r="O161" s="249" t="n">
        <v>0</v>
      </c>
      <c r="P161" s="249" t="n">
        <v>0</v>
      </c>
      <c r="Q161" s="249" t="n">
        <v>0</v>
      </c>
      <c r="R161" s="249" t="n">
        <v>0</v>
      </c>
      <c r="S161" s="249" t="n">
        <v>0</v>
      </c>
      <c r="T161" s="249" t="n">
        <v>0</v>
      </c>
      <c r="U161" s="249" t="n">
        <v>0</v>
      </c>
      <c r="V161" s="249" t="n">
        <v>0</v>
      </c>
      <c r="W161" s="249" t="n">
        <v>0</v>
      </c>
      <c r="X161" s="249" t="n">
        <v>0</v>
      </c>
      <c r="Y161" s="249" t="n">
        <v>0</v>
      </c>
      <c r="Z161" s="249" t="n">
        <v>0</v>
      </c>
      <c r="AA161" s="249" t="n">
        <v>0</v>
      </c>
      <c r="AB161" s="249" t="n">
        <v>0</v>
      </c>
      <c r="AC161" s="249" t="n">
        <v>0</v>
      </c>
      <c r="AD161" s="249" t="n">
        <v>0</v>
      </c>
      <c r="AE161" s="249" t="n">
        <v>0</v>
      </c>
      <c r="AF161" s="249" t="n">
        <v>0</v>
      </c>
      <c r="AG161" s="249" t="n">
        <v>0</v>
      </c>
    </row>
    <row r="162" customFormat="false" ht="16.5" hidden="true" customHeight="false" outlineLevel="0" collapsed="false">
      <c r="A162" s="252" t="s">
        <v>339</v>
      </c>
      <c r="B162" s="214" t="n">
        <f aca="false">VLOOKUP(A162,'TH theo khach hang'!$A$4:$C$309,2,FALSE())</f>
        <v>0</v>
      </c>
      <c r="C162" s="245" t="str">
        <f aca="false">IF(VLOOKUP(A162,'TH theo khach hang'!$A$4:$C$309,3,FALSE())=0, "", "x")</f>
        <v/>
      </c>
      <c r="D162" s="246" t="n">
        <f aca="false">F162-H162</f>
        <v>0</v>
      </c>
      <c r="E162" s="247" t="n">
        <f aca="false">G162-I162</f>
        <v>0</v>
      </c>
      <c r="F162" s="248" t="n">
        <f aca="false">VLOOKUP(A162,'TH theo khach hang'!$A$4:$G$309,4,FALSE())</f>
        <v>0</v>
      </c>
      <c r="G162" s="249" t="n">
        <f aca="false">VLOOKUP(A162,'TH theo khach hang'!$A$4:$G$309,5,FALSE())</f>
        <v>0</v>
      </c>
      <c r="H162" s="248" t="n">
        <f aca="false">J162+L162+N162+P162+R162+T162+V162+X162+Z162+AB162+AD162+AF162</f>
        <v>0</v>
      </c>
      <c r="I162" s="250" t="n">
        <f aca="false">K162+M162+O162+Q162+S162+U162+W162+Y162+AA162+AC162+AE162+AG162</f>
        <v>0</v>
      </c>
      <c r="J162" s="249" t="n">
        <v>0</v>
      </c>
      <c r="K162" s="249" t="n">
        <v>0</v>
      </c>
      <c r="L162" s="249" t="n">
        <v>0</v>
      </c>
      <c r="M162" s="249" t="n">
        <v>0</v>
      </c>
      <c r="N162" s="249" t="n">
        <v>0</v>
      </c>
      <c r="O162" s="249" t="n">
        <v>0</v>
      </c>
      <c r="P162" s="249" t="n">
        <v>0</v>
      </c>
      <c r="Q162" s="249" t="n">
        <v>0</v>
      </c>
      <c r="R162" s="249" t="n">
        <v>0</v>
      </c>
      <c r="S162" s="249" t="n">
        <v>0</v>
      </c>
      <c r="T162" s="249" t="n">
        <v>0</v>
      </c>
      <c r="U162" s="249" t="n">
        <v>0</v>
      </c>
      <c r="V162" s="249" t="n">
        <v>0</v>
      </c>
      <c r="W162" s="249" t="n">
        <v>0</v>
      </c>
      <c r="X162" s="249" t="n">
        <v>0</v>
      </c>
      <c r="Y162" s="249" t="n">
        <v>0</v>
      </c>
      <c r="Z162" s="249" t="n">
        <v>0</v>
      </c>
      <c r="AA162" s="249" t="n">
        <v>0</v>
      </c>
      <c r="AB162" s="249" t="n">
        <v>0</v>
      </c>
      <c r="AC162" s="249" t="n">
        <v>0</v>
      </c>
      <c r="AD162" s="249" t="n">
        <v>0</v>
      </c>
      <c r="AE162" s="249" t="n">
        <v>0</v>
      </c>
      <c r="AF162" s="249" t="n">
        <v>0</v>
      </c>
      <c r="AG162" s="249" t="n">
        <v>0</v>
      </c>
    </row>
    <row r="163" customFormat="false" ht="16.5" hidden="true" customHeight="false" outlineLevel="0" collapsed="false">
      <c r="A163" s="252" t="s">
        <v>340</v>
      </c>
      <c r="B163" s="214" t="n">
        <f aca="false">VLOOKUP(A163,'TH theo khach hang'!$A$4:$C$309,2,FALSE())</f>
        <v>0</v>
      </c>
      <c r="C163" s="245" t="str">
        <f aca="false">IF(VLOOKUP(A163,'TH theo khach hang'!$A$4:$C$309,3,FALSE())=0, "", "x")</f>
        <v/>
      </c>
      <c r="D163" s="246" t="n">
        <f aca="false">F163-H163</f>
        <v>0</v>
      </c>
      <c r="E163" s="247" t="n">
        <f aca="false">G163-I163</f>
        <v>0</v>
      </c>
      <c r="F163" s="248" t="n">
        <f aca="false">VLOOKUP(A163,'TH theo khach hang'!$A$4:$G$309,4,FALSE())</f>
        <v>0</v>
      </c>
      <c r="G163" s="249" t="n">
        <f aca="false">VLOOKUP(A163,'TH theo khach hang'!$A$4:$G$309,5,FALSE())</f>
        <v>0</v>
      </c>
      <c r="H163" s="248" t="n">
        <f aca="false">J163+L163+N163+P163+R163+T163+V163+X163+Z163+AB163+AD163+AF163</f>
        <v>0</v>
      </c>
      <c r="I163" s="250" t="n">
        <f aca="false">K163+M163+O163+Q163+S163+U163+W163+Y163+AA163+AC163+AE163+AG163</f>
        <v>0</v>
      </c>
      <c r="J163" s="249" t="n">
        <v>0</v>
      </c>
      <c r="K163" s="249" t="n">
        <v>0</v>
      </c>
      <c r="L163" s="249" t="n">
        <v>0</v>
      </c>
      <c r="M163" s="249" t="n">
        <v>0</v>
      </c>
      <c r="N163" s="249" t="n">
        <v>0</v>
      </c>
      <c r="O163" s="249" t="n">
        <v>0</v>
      </c>
      <c r="P163" s="249" t="n">
        <v>0</v>
      </c>
      <c r="Q163" s="249" t="n">
        <v>0</v>
      </c>
      <c r="R163" s="249" t="n">
        <v>0</v>
      </c>
      <c r="S163" s="249" t="n">
        <v>0</v>
      </c>
      <c r="T163" s="249" t="n">
        <v>0</v>
      </c>
      <c r="U163" s="249" t="n">
        <v>0</v>
      </c>
      <c r="V163" s="249" t="n">
        <v>0</v>
      </c>
      <c r="W163" s="249" t="n">
        <v>0</v>
      </c>
      <c r="X163" s="249" t="n">
        <v>0</v>
      </c>
      <c r="Y163" s="249" t="n">
        <v>0</v>
      </c>
      <c r="Z163" s="249" t="n">
        <v>0</v>
      </c>
      <c r="AA163" s="249" t="n">
        <v>0</v>
      </c>
      <c r="AB163" s="249" t="n">
        <v>0</v>
      </c>
      <c r="AC163" s="249" t="n">
        <v>0</v>
      </c>
      <c r="AD163" s="249" t="n">
        <v>0</v>
      </c>
      <c r="AE163" s="249" t="n">
        <v>0</v>
      </c>
      <c r="AF163" s="249" t="n">
        <v>0</v>
      </c>
      <c r="AG163" s="249" t="n">
        <v>0</v>
      </c>
      <c r="AH163" s="251"/>
    </row>
    <row r="164" customFormat="false" ht="16.5" hidden="true" customHeight="false" outlineLevel="0" collapsed="false">
      <c r="A164" s="252" t="s">
        <v>341</v>
      </c>
      <c r="B164" s="253" t="n">
        <f aca="false">VLOOKUP(A164,'TH theo khach hang'!$A$4:$C$309,2,FALSE())</f>
        <v>0</v>
      </c>
      <c r="C164" s="245" t="str">
        <f aca="false">IF(VLOOKUP(A164,'TH theo khach hang'!$A$4:$C$309,3,FALSE())=0, "", "x")</f>
        <v/>
      </c>
      <c r="D164" s="246" t="n">
        <f aca="false">F164-H164</f>
        <v>0</v>
      </c>
      <c r="E164" s="247" t="n">
        <f aca="false">G164-I164</f>
        <v>0</v>
      </c>
      <c r="F164" s="248" t="n">
        <f aca="false">VLOOKUP(A164,'TH theo khach hang'!$A$4:$G$309,4,FALSE())</f>
        <v>0</v>
      </c>
      <c r="G164" s="249" t="n">
        <f aca="false">VLOOKUP(A164,'TH theo khach hang'!$A$4:$G$309,5,FALSE())</f>
        <v>0</v>
      </c>
      <c r="H164" s="248" t="n">
        <f aca="false">J164+L164+N164+P164+R164+T164+V164+X164+Z164+AB164+AD164+AF164</f>
        <v>0</v>
      </c>
      <c r="I164" s="250" t="n">
        <f aca="false">K164+M164+O164+Q164+S164+U164+W164+Y164+AA164+AC164+AE164+AG164</f>
        <v>0</v>
      </c>
      <c r="J164" s="249" t="n">
        <v>0</v>
      </c>
      <c r="K164" s="249" t="n">
        <v>0</v>
      </c>
      <c r="L164" s="249" t="n">
        <v>0</v>
      </c>
      <c r="M164" s="249" t="n">
        <v>0</v>
      </c>
      <c r="N164" s="249" t="n">
        <v>0</v>
      </c>
      <c r="O164" s="249" t="n">
        <v>0</v>
      </c>
      <c r="P164" s="249" t="n">
        <v>0</v>
      </c>
      <c r="Q164" s="249" t="n">
        <v>0</v>
      </c>
      <c r="R164" s="249" t="n">
        <v>0</v>
      </c>
      <c r="S164" s="249" t="n">
        <v>0</v>
      </c>
      <c r="T164" s="249" t="n">
        <v>0</v>
      </c>
      <c r="U164" s="249" t="n">
        <v>0</v>
      </c>
      <c r="V164" s="249" t="n">
        <v>0</v>
      </c>
      <c r="W164" s="249" t="n">
        <v>0</v>
      </c>
      <c r="X164" s="249" t="n">
        <v>0</v>
      </c>
      <c r="Y164" s="249" t="n">
        <v>0</v>
      </c>
      <c r="Z164" s="249" t="n">
        <v>0</v>
      </c>
      <c r="AA164" s="249" t="n">
        <v>0</v>
      </c>
      <c r="AB164" s="249" t="n">
        <v>0</v>
      </c>
      <c r="AC164" s="249" t="n">
        <v>0</v>
      </c>
      <c r="AD164" s="249" t="n">
        <v>0</v>
      </c>
      <c r="AE164" s="249" t="n">
        <v>0</v>
      </c>
      <c r="AF164" s="249" t="n">
        <v>0</v>
      </c>
      <c r="AG164" s="249" t="n">
        <v>0</v>
      </c>
    </row>
    <row r="165" customFormat="false" ht="16.5" hidden="true" customHeight="false" outlineLevel="0" collapsed="false">
      <c r="A165" s="252" t="s">
        <v>342</v>
      </c>
      <c r="B165" s="214" t="n">
        <f aca="false">VLOOKUP(A165,'TH theo khach hang'!$A$4:$C$309,2,FALSE())</f>
        <v>0</v>
      </c>
      <c r="C165" s="245" t="str">
        <f aca="false">IF(VLOOKUP(A165,'TH theo khach hang'!$A$4:$C$309,3,FALSE())=0, "", "x")</f>
        <v/>
      </c>
      <c r="D165" s="246" t="n">
        <f aca="false">F165-H165</f>
        <v>0</v>
      </c>
      <c r="E165" s="247" t="n">
        <f aca="false">G165-I165</f>
        <v>0</v>
      </c>
      <c r="F165" s="248" t="n">
        <f aca="false">VLOOKUP(A165,'TH theo khach hang'!$A$4:$G$309,4,FALSE())</f>
        <v>0</v>
      </c>
      <c r="G165" s="249" t="n">
        <f aca="false">VLOOKUP(A165,'TH theo khach hang'!$A$4:$G$309,5,FALSE())</f>
        <v>0</v>
      </c>
      <c r="H165" s="248" t="n">
        <f aca="false">J165+L165+N165+P165+R165+T165+V165+X165+Z165+AB165+AD165+AF165</f>
        <v>0</v>
      </c>
      <c r="I165" s="250" t="n">
        <f aca="false">K165+M165+O165+Q165+S165+U165+W165+Y165+AA165+AC165+AE165+AG165</f>
        <v>0</v>
      </c>
      <c r="J165" s="249" t="n">
        <v>0</v>
      </c>
      <c r="K165" s="249" t="n">
        <v>0</v>
      </c>
      <c r="L165" s="249" t="n">
        <v>0</v>
      </c>
      <c r="M165" s="249" t="n">
        <v>0</v>
      </c>
      <c r="N165" s="249" t="n">
        <v>0</v>
      </c>
      <c r="O165" s="249" t="n">
        <v>0</v>
      </c>
      <c r="P165" s="249" t="n">
        <v>0</v>
      </c>
      <c r="Q165" s="249" t="n">
        <v>0</v>
      </c>
      <c r="R165" s="249" t="n">
        <v>0</v>
      </c>
      <c r="S165" s="249" t="n">
        <v>0</v>
      </c>
      <c r="T165" s="249" t="n">
        <v>0</v>
      </c>
      <c r="U165" s="249" t="n">
        <v>0</v>
      </c>
      <c r="V165" s="249" t="n">
        <v>0</v>
      </c>
      <c r="W165" s="249" t="n">
        <v>0</v>
      </c>
      <c r="X165" s="249" t="n">
        <v>0</v>
      </c>
      <c r="Y165" s="249" t="n">
        <v>0</v>
      </c>
      <c r="Z165" s="249" t="n">
        <v>0</v>
      </c>
      <c r="AA165" s="249" t="n">
        <v>0</v>
      </c>
      <c r="AB165" s="249" t="n">
        <v>0</v>
      </c>
      <c r="AC165" s="249" t="n">
        <v>0</v>
      </c>
      <c r="AD165" s="249" t="n">
        <v>0</v>
      </c>
      <c r="AE165" s="249" t="n">
        <v>0</v>
      </c>
      <c r="AF165" s="249" t="n">
        <v>0</v>
      </c>
      <c r="AG165" s="249" t="n">
        <v>0</v>
      </c>
    </row>
    <row r="166" customFormat="false" ht="16.5" hidden="true" customHeight="false" outlineLevel="0" collapsed="false">
      <c r="A166" s="252" t="s">
        <v>343</v>
      </c>
      <c r="B166" s="214" t="n">
        <f aca="false">VLOOKUP(A166,'TH theo khach hang'!$A$4:$C$309,2,FALSE())</f>
        <v>0</v>
      </c>
      <c r="C166" s="245" t="str">
        <f aca="false">IF(VLOOKUP(A166,'TH theo khach hang'!$A$4:$C$309,3,FALSE())=0, "", "x")</f>
        <v/>
      </c>
      <c r="D166" s="246" t="n">
        <f aca="false">F166-H166</f>
        <v>0</v>
      </c>
      <c r="E166" s="247" t="n">
        <f aca="false">G166-I166</f>
        <v>0</v>
      </c>
      <c r="F166" s="248" t="n">
        <f aca="false">VLOOKUP(A166,'TH theo khach hang'!$A$4:$G$309,4,FALSE())</f>
        <v>0</v>
      </c>
      <c r="G166" s="249" t="n">
        <f aca="false">VLOOKUP(A166,'TH theo khach hang'!$A$4:$G$309,5,FALSE())</f>
        <v>0</v>
      </c>
      <c r="H166" s="248" t="n">
        <f aca="false">J166+L166+N166+P166+R166+T166+V166+X166+Z166+AB166+AD166+AF166</f>
        <v>0</v>
      </c>
      <c r="I166" s="250" t="n">
        <f aca="false">K166+M166+O166+Q166+S166+U166+W166+Y166+AA166+AC166+AE166+AG166</f>
        <v>0</v>
      </c>
      <c r="J166" s="249" t="n">
        <v>0</v>
      </c>
      <c r="K166" s="249" t="n">
        <v>0</v>
      </c>
      <c r="L166" s="249" t="n">
        <v>0</v>
      </c>
      <c r="M166" s="249" t="n">
        <v>0</v>
      </c>
      <c r="N166" s="249" t="n">
        <v>0</v>
      </c>
      <c r="O166" s="249" t="n">
        <v>0</v>
      </c>
      <c r="P166" s="249" t="n">
        <v>0</v>
      </c>
      <c r="Q166" s="249" t="n">
        <v>0</v>
      </c>
      <c r="R166" s="249" t="n">
        <v>0</v>
      </c>
      <c r="S166" s="249" t="n">
        <v>0</v>
      </c>
      <c r="T166" s="249" t="n">
        <v>0</v>
      </c>
      <c r="U166" s="249" t="n">
        <v>0</v>
      </c>
      <c r="V166" s="249" t="n">
        <v>0</v>
      </c>
      <c r="W166" s="249" t="n">
        <v>0</v>
      </c>
      <c r="X166" s="249" t="n">
        <v>0</v>
      </c>
      <c r="Y166" s="249" t="n">
        <v>0</v>
      </c>
      <c r="Z166" s="249" t="n">
        <v>0</v>
      </c>
      <c r="AA166" s="249" t="n">
        <v>0</v>
      </c>
      <c r="AB166" s="249" t="n">
        <v>0</v>
      </c>
      <c r="AC166" s="249" t="n">
        <v>0</v>
      </c>
      <c r="AD166" s="249" t="n">
        <v>0</v>
      </c>
      <c r="AE166" s="249" t="n">
        <v>0</v>
      </c>
      <c r="AF166" s="249" t="n">
        <v>0</v>
      </c>
      <c r="AG166" s="249" t="n">
        <v>0</v>
      </c>
    </row>
    <row r="167" customFormat="false" ht="16.5" hidden="true" customHeight="false" outlineLevel="0" collapsed="false">
      <c r="A167" s="252" t="s">
        <v>344</v>
      </c>
      <c r="B167" s="214" t="n">
        <f aca="false">VLOOKUP(A167,'TH theo khach hang'!$A$4:$C$309,2,FALSE())</f>
        <v>0</v>
      </c>
      <c r="C167" s="245" t="str">
        <f aca="false">IF(VLOOKUP(A167,'TH theo khach hang'!$A$4:$C$309,3,FALSE())=0, "", "x")</f>
        <v/>
      </c>
      <c r="D167" s="246" t="n">
        <f aca="false">F167-H167</f>
        <v>0</v>
      </c>
      <c r="E167" s="247" t="n">
        <f aca="false">G167-I167</f>
        <v>0</v>
      </c>
      <c r="F167" s="248" t="n">
        <f aca="false">VLOOKUP(A167,'TH theo khach hang'!$A$4:$G$309,4,FALSE())</f>
        <v>0</v>
      </c>
      <c r="G167" s="249" t="n">
        <f aca="false">VLOOKUP(A167,'TH theo khach hang'!$A$4:$G$309,5,FALSE())</f>
        <v>0</v>
      </c>
      <c r="H167" s="248" t="n">
        <f aca="false">J167+L167+N167+P167+R167+T167+V167+X167+Z167+AB167+AD167+AF167</f>
        <v>0</v>
      </c>
      <c r="I167" s="250" t="n">
        <f aca="false">K167+M167+O167+Q167+S167+U167+W167+Y167+AA167+AC167+AE167+AG167</f>
        <v>0</v>
      </c>
      <c r="J167" s="249" t="n">
        <v>0</v>
      </c>
      <c r="K167" s="249" t="n">
        <v>0</v>
      </c>
      <c r="L167" s="249" t="n">
        <v>0</v>
      </c>
      <c r="M167" s="249" t="n">
        <v>0</v>
      </c>
      <c r="N167" s="249" t="n">
        <v>0</v>
      </c>
      <c r="O167" s="249" t="n">
        <v>0</v>
      </c>
      <c r="P167" s="249" t="n">
        <v>0</v>
      </c>
      <c r="Q167" s="249" t="n">
        <v>0</v>
      </c>
      <c r="R167" s="249" t="n">
        <v>0</v>
      </c>
      <c r="S167" s="249" t="n">
        <v>0</v>
      </c>
      <c r="T167" s="249" t="n">
        <v>0</v>
      </c>
      <c r="U167" s="249" t="n">
        <v>0</v>
      </c>
      <c r="V167" s="249" t="n">
        <v>0</v>
      </c>
      <c r="W167" s="249" t="n">
        <v>0</v>
      </c>
      <c r="X167" s="249" t="n">
        <v>0</v>
      </c>
      <c r="Y167" s="249" t="n">
        <v>0</v>
      </c>
      <c r="Z167" s="249" t="n">
        <v>0</v>
      </c>
      <c r="AA167" s="249" t="n">
        <v>0</v>
      </c>
      <c r="AB167" s="249" t="n">
        <v>0</v>
      </c>
      <c r="AC167" s="249" t="n">
        <v>0</v>
      </c>
      <c r="AD167" s="249" t="n">
        <v>0</v>
      </c>
      <c r="AE167" s="249" t="n">
        <v>0</v>
      </c>
      <c r="AF167" s="249" t="n">
        <v>0</v>
      </c>
      <c r="AG167" s="249" t="n">
        <v>0</v>
      </c>
    </row>
    <row r="168" customFormat="false" ht="16.5" hidden="true" customHeight="false" outlineLevel="0" collapsed="false">
      <c r="A168" s="252" t="s">
        <v>345</v>
      </c>
      <c r="B168" s="214" t="n">
        <f aca="false">VLOOKUP(A168,'TH theo khach hang'!$A$4:$C$309,2,FALSE())</f>
        <v>0</v>
      </c>
      <c r="C168" s="245" t="str">
        <f aca="false">IF(VLOOKUP(A168,'TH theo khach hang'!$A$4:$C$309,3,FALSE())=0, "", "x")</f>
        <v/>
      </c>
      <c r="D168" s="246" t="n">
        <f aca="false">F168-H168</f>
        <v>0</v>
      </c>
      <c r="E168" s="247" t="n">
        <f aca="false">G168-I168</f>
        <v>0</v>
      </c>
      <c r="F168" s="248" t="n">
        <f aca="false">VLOOKUP(A168,'TH theo khach hang'!$A$4:$G$309,4,FALSE())</f>
        <v>0</v>
      </c>
      <c r="G168" s="249" t="n">
        <f aca="false">VLOOKUP(A168,'TH theo khach hang'!$A$4:$G$309,5,FALSE())</f>
        <v>0</v>
      </c>
      <c r="H168" s="248" t="n">
        <f aca="false">J168+L168+N168+P168+R168+T168+V168+X168+Z168+AB168+AD168+AF168</f>
        <v>0</v>
      </c>
      <c r="I168" s="250" t="n">
        <f aca="false">K168+M168+O168+Q168+S168+U168+W168+Y168+AA168+AC168+AE168+AG168</f>
        <v>0</v>
      </c>
      <c r="J168" s="249" t="n">
        <v>0</v>
      </c>
      <c r="K168" s="249" t="n">
        <v>0</v>
      </c>
      <c r="L168" s="249" t="n">
        <v>0</v>
      </c>
      <c r="M168" s="249" t="n">
        <v>0</v>
      </c>
      <c r="N168" s="249" t="n">
        <v>0</v>
      </c>
      <c r="O168" s="249" t="n">
        <v>0</v>
      </c>
      <c r="P168" s="249" t="n">
        <v>0</v>
      </c>
      <c r="Q168" s="249" t="n">
        <v>0</v>
      </c>
      <c r="R168" s="249" t="n">
        <v>0</v>
      </c>
      <c r="S168" s="249" t="n">
        <v>0</v>
      </c>
      <c r="T168" s="249" t="n">
        <v>0</v>
      </c>
      <c r="U168" s="249" t="n">
        <v>0</v>
      </c>
      <c r="V168" s="249" t="n">
        <v>0</v>
      </c>
      <c r="W168" s="249" t="n">
        <v>0</v>
      </c>
      <c r="X168" s="249" t="n">
        <v>0</v>
      </c>
      <c r="Y168" s="249" t="n">
        <v>0</v>
      </c>
      <c r="Z168" s="249" t="n">
        <v>0</v>
      </c>
      <c r="AA168" s="249" t="n">
        <v>0</v>
      </c>
      <c r="AB168" s="249" t="n">
        <v>0</v>
      </c>
      <c r="AC168" s="249" t="n">
        <v>0</v>
      </c>
      <c r="AD168" s="249" t="n">
        <v>0</v>
      </c>
      <c r="AE168" s="249" t="n">
        <v>0</v>
      </c>
      <c r="AF168" s="249" t="n">
        <v>0</v>
      </c>
      <c r="AG168" s="249" t="n">
        <v>0</v>
      </c>
    </row>
    <row r="169" customFormat="false" ht="16.5" hidden="true" customHeight="false" outlineLevel="0" collapsed="false">
      <c r="A169" s="252" t="s">
        <v>346</v>
      </c>
      <c r="B169" s="214" t="n">
        <f aca="false">VLOOKUP(A169,'TH theo khach hang'!$A$4:$C$309,2,FALSE())</f>
        <v>0</v>
      </c>
      <c r="C169" s="245" t="str">
        <f aca="false">IF(VLOOKUP(A169,'TH theo khach hang'!$A$4:$C$309,3,FALSE())=0, "", "x")</f>
        <v/>
      </c>
      <c r="D169" s="246" t="n">
        <f aca="false">F169-H169</f>
        <v>0</v>
      </c>
      <c r="E169" s="247" t="n">
        <f aca="false">G169-I169</f>
        <v>0</v>
      </c>
      <c r="F169" s="248" t="n">
        <f aca="false">VLOOKUP(A169,'TH theo khach hang'!$A$4:$G$309,4,FALSE())</f>
        <v>0</v>
      </c>
      <c r="G169" s="249" t="n">
        <f aca="false">VLOOKUP(A169,'TH theo khach hang'!$A$4:$G$309,5,FALSE())</f>
        <v>0</v>
      </c>
      <c r="H169" s="248" t="n">
        <f aca="false">J169+L169+N169+P169+R169+T169+V169+X169+Z169+AB169+AD169+AF169</f>
        <v>0</v>
      </c>
      <c r="I169" s="250" t="n">
        <f aca="false">K169+M169+O169+Q169+S169+U169+W169+Y169+AA169+AC169+AE169+AG169</f>
        <v>0</v>
      </c>
      <c r="J169" s="249" t="n">
        <v>0</v>
      </c>
      <c r="K169" s="249" t="n">
        <v>0</v>
      </c>
      <c r="L169" s="249" t="n">
        <v>0</v>
      </c>
      <c r="M169" s="249" t="n">
        <v>0</v>
      </c>
      <c r="N169" s="249" t="n">
        <v>0</v>
      </c>
      <c r="O169" s="249" t="n">
        <v>0</v>
      </c>
      <c r="P169" s="249" t="n">
        <v>0</v>
      </c>
      <c r="Q169" s="249" t="n">
        <v>0</v>
      </c>
      <c r="R169" s="249" t="n">
        <v>0</v>
      </c>
      <c r="S169" s="249" t="n">
        <v>0</v>
      </c>
      <c r="T169" s="249" t="n">
        <v>0</v>
      </c>
      <c r="U169" s="249" t="n">
        <v>0</v>
      </c>
      <c r="V169" s="249" t="n">
        <v>0</v>
      </c>
      <c r="W169" s="249" t="n">
        <v>0</v>
      </c>
      <c r="X169" s="249" t="n">
        <v>0</v>
      </c>
      <c r="Y169" s="249" t="n">
        <v>0</v>
      </c>
      <c r="Z169" s="249" t="n">
        <v>0</v>
      </c>
      <c r="AA169" s="249" t="n">
        <v>0</v>
      </c>
      <c r="AB169" s="249" t="n">
        <v>0</v>
      </c>
      <c r="AC169" s="249" t="n">
        <v>0</v>
      </c>
      <c r="AD169" s="249" t="n">
        <v>0</v>
      </c>
      <c r="AE169" s="249" t="n">
        <v>0</v>
      </c>
      <c r="AF169" s="249" t="n">
        <v>0</v>
      </c>
      <c r="AG169" s="249" t="n">
        <v>0</v>
      </c>
      <c r="AH169" s="251"/>
    </row>
    <row r="170" customFormat="false" ht="16.5" hidden="true" customHeight="false" outlineLevel="0" collapsed="false">
      <c r="A170" s="252" t="s">
        <v>347</v>
      </c>
      <c r="B170" s="214" t="n">
        <f aca="false">VLOOKUP(A170,'TH theo khach hang'!$A$4:$C$309,2,FALSE())</f>
        <v>0</v>
      </c>
      <c r="C170" s="245" t="str">
        <f aca="false">IF(VLOOKUP(A170,'TH theo khach hang'!$A$4:$C$309,3,FALSE())=0, "", "x")</f>
        <v/>
      </c>
      <c r="D170" s="246" t="n">
        <f aca="false">F170-H170</f>
        <v>0</v>
      </c>
      <c r="E170" s="247" t="n">
        <f aca="false">G170-I170</f>
        <v>0</v>
      </c>
      <c r="F170" s="248" t="n">
        <f aca="false">VLOOKUP(A170,'TH theo khach hang'!$A$4:$G$309,4,FALSE())</f>
        <v>0</v>
      </c>
      <c r="G170" s="249" t="n">
        <f aca="false">VLOOKUP(A170,'TH theo khach hang'!$A$4:$G$309,5,FALSE())</f>
        <v>0</v>
      </c>
      <c r="H170" s="248" t="n">
        <f aca="false">J170+L170+N170+P170+R170+T170+V170+X170+Z170+AB170+AD170+AF170</f>
        <v>0</v>
      </c>
      <c r="I170" s="250" t="n">
        <f aca="false">K170+M170+O170+Q170+S170+U170+W170+Y170+AA170+AC170+AE170+AG170</f>
        <v>0</v>
      </c>
      <c r="J170" s="249" t="n">
        <v>0</v>
      </c>
      <c r="K170" s="249" t="n">
        <v>0</v>
      </c>
      <c r="L170" s="249" t="n">
        <v>0</v>
      </c>
      <c r="M170" s="249" t="n">
        <v>0</v>
      </c>
      <c r="N170" s="249" t="n">
        <v>0</v>
      </c>
      <c r="O170" s="249" t="n">
        <v>0</v>
      </c>
      <c r="P170" s="249" t="n">
        <v>0</v>
      </c>
      <c r="Q170" s="249" t="n">
        <v>0</v>
      </c>
      <c r="R170" s="249" t="n">
        <v>0</v>
      </c>
      <c r="S170" s="249" t="n">
        <v>0</v>
      </c>
      <c r="T170" s="249" t="n">
        <v>0</v>
      </c>
      <c r="U170" s="249" t="n">
        <v>0</v>
      </c>
      <c r="V170" s="249" t="n">
        <v>0</v>
      </c>
      <c r="W170" s="249" t="n">
        <v>0</v>
      </c>
      <c r="X170" s="249" t="n">
        <v>0</v>
      </c>
      <c r="Y170" s="249" t="n">
        <v>0</v>
      </c>
      <c r="Z170" s="249" t="n">
        <v>0</v>
      </c>
      <c r="AA170" s="249" t="n">
        <v>0</v>
      </c>
      <c r="AB170" s="249" t="n">
        <v>0</v>
      </c>
      <c r="AC170" s="249" t="n">
        <v>0</v>
      </c>
      <c r="AD170" s="249" t="n">
        <v>0</v>
      </c>
      <c r="AE170" s="249" t="n">
        <v>0</v>
      </c>
      <c r="AF170" s="249" t="n">
        <v>0</v>
      </c>
      <c r="AG170" s="249" t="n">
        <v>0</v>
      </c>
    </row>
    <row r="171" customFormat="false" ht="16.5" hidden="true" customHeight="false" outlineLevel="0" collapsed="false">
      <c r="A171" s="252" t="s">
        <v>348</v>
      </c>
      <c r="B171" s="214" t="n">
        <f aca="false">VLOOKUP(A171,'TH theo khach hang'!$A$4:$C$309,2,FALSE())</f>
        <v>0</v>
      </c>
      <c r="C171" s="245" t="str">
        <f aca="false">IF(VLOOKUP(A171,'TH theo khach hang'!$A$4:$C$309,3,FALSE())=0, "", "x")</f>
        <v/>
      </c>
      <c r="D171" s="246" t="n">
        <f aca="false">F171-H171</f>
        <v>0</v>
      </c>
      <c r="E171" s="247" t="n">
        <f aca="false">G171-I171</f>
        <v>0</v>
      </c>
      <c r="F171" s="248" t="n">
        <f aca="false">VLOOKUP(A171,'TH theo khach hang'!$A$4:$G$309,4,FALSE())</f>
        <v>0</v>
      </c>
      <c r="G171" s="249" t="n">
        <f aca="false">VLOOKUP(A171,'TH theo khach hang'!$A$4:$G$309,5,FALSE())</f>
        <v>0</v>
      </c>
      <c r="H171" s="248" t="n">
        <f aca="false">J171+L171+N171+P171+R171+T171+V171+X171+Z171+AB171+AD171+AF171</f>
        <v>0</v>
      </c>
      <c r="I171" s="250" t="n">
        <f aca="false">K171+M171+O171+Q171+S171+U171+W171+Y171+AA171+AC171+AE171+AG171</f>
        <v>0</v>
      </c>
      <c r="J171" s="249" t="n">
        <v>0</v>
      </c>
      <c r="K171" s="249" t="n">
        <v>0</v>
      </c>
      <c r="L171" s="249" t="n">
        <v>0</v>
      </c>
      <c r="M171" s="249" t="n">
        <v>0</v>
      </c>
      <c r="N171" s="249" t="n">
        <v>0</v>
      </c>
      <c r="O171" s="249" t="n">
        <v>0</v>
      </c>
      <c r="P171" s="249" t="n">
        <v>0</v>
      </c>
      <c r="Q171" s="249" t="n">
        <v>0</v>
      </c>
      <c r="R171" s="249" t="n">
        <v>0</v>
      </c>
      <c r="S171" s="249" t="n">
        <v>0</v>
      </c>
      <c r="T171" s="249" t="n">
        <v>0</v>
      </c>
      <c r="U171" s="249" t="n">
        <v>0</v>
      </c>
      <c r="V171" s="249" t="n">
        <v>0</v>
      </c>
      <c r="W171" s="249" t="n">
        <v>0</v>
      </c>
      <c r="X171" s="249" t="n">
        <v>0</v>
      </c>
      <c r="Y171" s="249" t="n">
        <v>0</v>
      </c>
      <c r="Z171" s="249" t="n">
        <v>0</v>
      </c>
      <c r="AA171" s="249" t="n">
        <v>0</v>
      </c>
      <c r="AB171" s="249" t="n">
        <v>0</v>
      </c>
      <c r="AC171" s="249" t="n">
        <v>0</v>
      </c>
      <c r="AD171" s="249" t="n">
        <v>0</v>
      </c>
      <c r="AE171" s="249" t="n">
        <v>0</v>
      </c>
      <c r="AF171" s="249" t="n">
        <v>0</v>
      </c>
      <c r="AG171" s="249" t="n">
        <v>0</v>
      </c>
    </row>
    <row r="172" customFormat="false" ht="16.5" hidden="true" customHeight="false" outlineLevel="0" collapsed="false">
      <c r="A172" s="252" t="s">
        <v>349</v>
      </c>
      <c r="B172" s="253" t="n">
        <f aca="false">VLOOKUP(A172,'TH theo khach hang'!$A$4:$C$309,2,FALSE())</f>
        <v>0</v>
      </c>
      <c r="C172" s="245" t="str">
        <f aca="false">IF(VLOOKUP(A172,'TH theo khach hang'!$A$4:$C$309,3,FALSE())=0, "", "x")</f>
        <v/>
      </c>
      <c r="D172" s="246" t="n">
        <f aca="false">F172-H172</f>
        <v>0</v>
      </c>
      <c r="E172" s="247" t="n">
        <f aca="false">G172-I172</f>
        <v>0</v>
      </c>
      <c r="F172" s="248" t="n">
        <f aca="false">VLOOKUP(A172,'TH theo khach hang'!$A$4:$G$309,4,FALSE())</f>
        <v>0</v>
      </c>
      <c r="G172" s="249" t="n">
        <f aca="false">VLOOKUP(A172,'TH theo khach hang'!$A$4:$G$309,5,FALSE())</f>
        <v>0</v>
      </c>
      <c r="H172" s="248" t="n">
        <f aca="false">J172+L172+N172+P172+R172+T172+V172+X172+Z172+AB172+AD172+AF172</f>
        <v>0</v>
      </c>
      <c r="I172" s="250" t="n">
        <f aca="false">K172+M172+O172+Q172+S172+U172+W172+Y172+AA172+AC172+AE172+AG172</f>
        <v>0</v>
      </c>
      <c r="J172" s="249" t="n">
        <v>0</v>
      </c>
      <c r="K172" s="249" t="n">
        <v>0</v>
      </c>
      <c r="L172" s="249" t="n">
        <v>0</v>
      </c>
      <c r="M172" s="249" t="n">
        <v>0</v>
      </c>
      <c r="N172" s="249" t="n">
        <v>0</v>
      </c>
      <c r="O172" s="249" t="n">
        <v>0</v>
      </c>
      <c r="P172" s="249" t="n">
        <v>0</v>
      </c>
      <c r="Q172" s="249" t="n">
        <v>0</v>
      </c>
      <c r="R172" s="249" t="n">
        <v>0</v>
      </c>
      <c r="S172" s="249" t="n">
        <v>0</v>
      </c>
      <c r="T172" s="249" t="n">
        <v>0</v>
      </c>
      <c r="U172" s="249" t="n">
        <v>0</v>
      </c>
      <c r="V172" s="249" t="n">
        <v>0</v>
      </c>
      <c r="W172" s="249" t="n">
        <v>0</v>
      </c>
      <c r="X172" s="249" t="n">
        <v>0</v>
      </c>
      <c r="Y172" s="249" t="n">
        <v>0</v>
      </c>
      <c r="Z172" s="249" t="n">
        <v>0</v>
      </c>
      <c r="AA172" s="249" t="n">
        <v>0</v>
      </c>
      <c r="AB172" s="249" t="n">
        <v>0</v>
      </c>
      <c r="AC172" s="249" t="n">
        <v>0</v>
      </c>
      <c r="AD172" s="249" t="n">
        <v>0</v>
      </c>
      <c r="AE172" s="249" t="n">
        <v>0</v>
      </c>
      <c r="AF172" s="249" t="n">
        <v>0</v>
      </c>
      <c r="AG172" s="249" t="n">
        <v>0</v>
      </c>
      <c r="AH172" s="251"/>
    </row>
    <row r="173" customFormat="false" ht="16.5" hidden="true" customHeight="false" outlineLevel="0" collapsed="false">
      <c r="A173" s="252" t="s">
        <v>350</v>
      </c>
      <c r="B173" s="214" t="n">
        <f aca="false">VLOOKUP(A173,'TH theo khach hang'!$A$4:$C$309,2,FALSE())</f>
        <v>0</v>
      </c>
      <c r="C173" s="245" t="str">
        <f aca="false">IF(VLOOKUP(A173,'TH theo khach hang'!$A$4:$C$309,3,FALSE())=0, "", "x")</f>
        <v/>
      </c>
      <c r="D173" s="246" t="n">
        <f aca="false">F173-H173</f>
        <v>0</v>
      </c>
      <c r="E173" s="247" t="n">
        <f aca="false">G173-I173</f>
        <v>0</v>
      </c>
      <c r="F173" s="248" t="n">
        <f aca="false">VLOOKUP(A173,'TH theo khach hang'!$A$4:$G$309,4,FALSE())</f>
        <v>0</v>
      </c>
      <c r="G173" s="249" t="n">
        <f aca="false">VLOOKUP(A173,'TH theo khach hang'!$A$4:$G$309,5,FALSE())</f>
        <v>0</v>
      </c>
      <c r="H173" s="248" t="n">
        <f aca="false">J173+L173+N173+P173+R173+T173+V173+X173+Z173+AB173+AD173+AF173</f>
        <v>0</v>
      </c>
      <c r="I173" s="250" t="n">
        <f aca="false">K173+M173+O173+Q173+S173+U173+W173+Y173+AA173+AC173+AE173+AG173</f>
        <v>0</v>
      </c>
      <c r="J173" s="249" t="n">
        <v>0</v>
      </c>
      <c r="K173" s="249" t="n">
        <v>0</v>
      </c>
      <c r="L173" s="249" t="n">
        <v>0</v>
      </c>
      <c r="M173" s="249" t="n">
        <v>0</v>
      </c>
      <c r="N173" s="249" t="n">
        <v>0</v>
      </c>
      <c r="O173" s="249" t="n">
        <v>0</v>
      </c>
      <c r="P173" s="249" t="n">
        <v>0</v>
      </c>
      <c r="Q173" s="249" t="n">
        <v>0</v>
      </c>
      <c r="R173" s="249" t="n">
        <v>0</v>
      </c>
      <c r="S173" s="249" t="n">
        <v>0</v>
      </c>
      <c r="T173" s="249" t="n">
        <v>0</v>
      </c>
      <c r="U173" s="249" t="n">
        <v>0</v>
      </c>
      <c r="V173" s="249" t="n">
        <v>0</v>
      </c>
      <c r="W173" s="249" t="n">
        <v>0</v>
      </c>
      <c r="X173" s="249" t="n">
        <v>0</v>
      </c>
      <c r="Y173" s="249" t="n">
        <v>0</v>
      </c>
      <c r="Z173" s="249" t="n">
        <v>0</v>
      </c>
      <c r="AA173" s="249" t="n">
        <v>0</v>
      </c>
      <c r="AB173" s="249" t="n">
        <v>0</v>
      </c>
      <c r="AC173" s="249" t="n">
        <v>0</v>
      </c>
      <c r="AD173" s="249" t="n">
        <v>0</v>
      </c>
      <c r="AE173" s="249" t="n">
        <v>0</v>
      </c>
      <c r="AF173" s="249" t="n">
        <v>0</v>
      </c>
      <c r="AG173" s="249" t="n">
        <v>0</v>
      </c>
    </row>
    <row r="174" customFormat="false" ht="16.5" hidden="true" customHeight="false" outlineLevel="0" collapsed="false">
      <c r="A174" s="252" t="s">
        <v>351</v>
      </c>
      <c r="B174" s="214" t="n">
        <f aca="false">VLOOKUP(A174,'TH theo khach hang'!$A$4:$C$309,2,FALSE())</f>
        <v>0</v>
      </c>
      <c r="C174" s="245" t="str">
        <f aca="false">IF(VLOOKUP(A174,'TH theo khach hang'!$A$4:$C$309,3,FALSE())=0, "", "x")</f>
        <v/>
      </c>
      <c r="D174" s="246" t="n">
        <f aca="false">F174-H174</f>
        <v>0</v>
      </c>
      <c r="E174" s="247" t="n">
        <f aca="false">G174-I174</f>
        <v>0</v>
      </c>
      <c r="F174" s="248" t="n">
        <f aca="false">VLOOKUP(A174,'TH theo khach hang'!$A$4:$G$309,4,FALSE())</f>
        <v>0</v>
      </c>
      <c r="G174" s="249" t="n">
        <f aca="false">VLOOKUP(A174,'TH theo khach hang'!$A$4:$G$309,5,FALSE())</f>
        <v>0</v>
      </c>
      <c r="H174" s="248" t="n">
        <f aca="false">J174+L174+N174+P174+R174+T174+V174+X174+Z174+AB174+AD174+AF174</f>
        <v>0</v>
      </c>
      <c r="I174" s="250" t="n">
        <f aca="false">K174+M174+O174+Q174+S174+U174+W174+Y174+AA174+AC174+AE174+AG174</f>
        <v>0</v>
      </c>
      <c r="J174" s="249" t="n">
        <v>0</v>
      </c>
      <c r="K174" s="249" t="n">
        <v>0</v>
      </c>
      <c r="L174" s="249" t="n">
        <v>0</v>
      </c>
      <c r="M174" s="249" t="n">
        <v>0</v>
      </c>
      <c r="N174" s="249" t="n">
        <v>0</v>
      </c>
      <c r="O174" s="249" t="n">
        <v>0</v>
      </c>
      <c r="P174" s="249" t="n">
        <v>0</v>
      </c>
      <c r="Q174" s="249" t="n">
        <v>0</v>
      </c>
      <c r="R174" s="249" t="n">
        <v>0</v>
      </c>
      <c r="S174" s="249" t="n">
        <v>0</v>
      </c>
      <c r="T174" s="249" t="n">
        <v>0</v>
      </c>
      <c r="U174" s="249" t="n">
        <v>0</v>
      </c>
      <c r="V174" s="249" t="n">
        <v>0</v>
      </c>
      <c r="W174" s="249" t="n">
        <v>0</v>
      </c>
      <c r="X174" s="249" t="n">
        <v>0</v>
      </c>
      <c r="Y174" s="249" t="n">
        <v>0</v>
      </c>
      <c r="Z174" s="249" t="n">
        <v>0</v>
      </c>
      <c r="AA174" s="249" t="n">
        <v>0</v>
      </c>
      <c r="AB174" s="249" t="n">
        <v>0</v>
      </c>
      <c r="AC174" s="249" t="n">
        <v>0</v>
      </c>
      <c r="AD174" s="249" t="n">
        <v>0</v>
      </c>
      <c r="AE174" s="249" t="n">
        <v>0</v>
      </c>
      <c r="AF174" s="249" t="n">
        <v>0</v>
      </c>
      <c r="AG174" s="249" t="n">
        <v>0</v>
      </c>
    </row>
    <row r="175" customFormat="false" ht="16.5" hidden="true" customHeight="false" outlineLevel="0" collapsed="false">
      <c r="A175" s="252" t="s">
        <v>352</v>
      </c>
      <c r="B175" s="214" t="n">
        <f aca="false">VLOOKUP(A175,'TH theo khach hang'!$A$4:$C$309,2,FALSE())</f>
        <v>0</v>
      </c>
      <c r="C175" s="245" t="str">
        <f aca="false">IF(VLOOKUP(A175,'TH theo khach hang'!$A$4:$C$309,3,FALSE())=0, "", "x")</f>
        <v/>
      </c>
      <c r="D175" s="246" t="n">
        <f aca="false">F175-H175</f>
        <v>0</v>
      </c>
      <c r="E175" s="247" t="n">
        <f aca="false">G175-I175</f>
        <v>0</v>
      </c>
      <c r="F175" s="248" t="n">
        <f aca="false">VLOOKUP(A175,'TH theo khach hang'!$A$4:$G$309,4,FALSE())</f>
        <v>0</v>
      </c>
      <c r="G175" s="249" t="n">
        <f aca="false">VLOOKUP(A175,'TH theo khach hang'!$A$4:$G$309,5,FALSE())</f>
        <v>0</v>
      </c>
      <c r="H175" s="248" t="n">
        <f aca="false">J175+L175+N175+P175+R175+T175+V175+X175+Z175+AB175+AD175+AF175</f>
        <v>0</v>
      </c>
      <c r="I175" s="250" t="n">
        <f aca="false">K175+M175+O175+Q175+S175+U175+W175+Y175+AA175+AC175+AE175+AG175</f>
        <v>0</v>
      </c>
      <c r="J175" s="249" t="n">
        <v>0</v>
      </c>
      <c r="K175" s="249" t="n">
        <v>0</v>
      </c>
      <c r="L175" s="249" t="n">
        <v>0</v>
      </c>
      <c r="M175" s="249" t="n">
        <v>0</v>
      </c>
      <c r="N175" s="249" t="n">
        <v>0</v>
      </c>
      <c r="O175" s="249" t="n">
        <v>0</v>
      </c>
      <c r="P175" s="249" t="n">
        <v>0</v>
      </c>
      <c r="Q175" s="249" t="n">
        <v>0</v>
      </c>
      <c r="R175" s="249" t="n">
        <v>0</v>
      </c>
      <c r="S175" s="249" t="n">
        <v>0</v>
      </c>
      <c r="T175" s="249" t="n">
        <v>0</v>
      </c>
      <c r="U175" s="249" t="n">
        <v>0</v>
      </c>
      <c r="V175" s="249" t="n">
        <v>0</v>
      </c>
      <c r="W175" s="249" t="n">
        <v>0</v>
      </c>
      <c r="X175" s="249" t="n">
        <v>0</v>
      </c>
      <c r="Y175" s="249" t="n">
        <v>0</v>
      </c>
      <c r="Z175" s="249" t="n">
        <v>0</v>
      </c>
      <c r="AA175" s="249" t="n">
        <v>0</v>
      </c>
      <c r="AB175" s="249" t="n">
        <v>0</v>
      </c>
      <c r="AC175" s="249" t="n">
        <v>0</v>
      </c>
      <c r="AD175" s="249" t="n">
        <v>0</v>
      </c>
      <c r="AE175" s="249" t="n">
        <v>0</v>
      </c>
      <c r="AF175" s="249" t="n">
        <v>0</v>
      </c>
      <c r="AG175" s="249" t="n">
        <v>0</v>
      </c>
      <c r="AH175" s="251"/>
    </row>
    <row r="176" customFormat="false" ht="16.5" hidden="true" customHeight="false" outlineLevel="0" collapsed="false">
      <c r="A176" s="252" t="s">
        <v>353</v>
      </c>
      <c r="B176" s="214" t="n">
        <f aca="false">VLOOKUP(A176,'TH theo khach hang'!$A$4:$C$309,2,FALSE())</f>
        <v>0</v>
      </c>
      <c r="C176" s="245" t="str">
        <f aca="false">IF(VLOOKUP(A176,'TH theo khach hang'!$A$4:$C$309,3,FALSE())=0, "", "x")</f>
        <v/>
      </c>
      <c r="D176" s="246" t="n">
        <f aca="false">F176-H176</f>
        <v>0</v>
      </c>
      <c r="E176" s="247" t="n">
        <f aca="false">G176-I176</f>
        <v>0</v>
      </c>
      <c r="F176" s="248" t="n">
        <f aca="false">VLOOKUP(A176,'TH theo khach hang'!$A$4:$G$309,4,FALSE())</f>
        <v>0</v>
      </c>
      <c r="G176" s="249" t="n">
        <f aca="false">VLOOKUP(A176,'TH theo khach hang'!$A$4:$G$309,5,FALSE())</f>
        <v>0</v>
      </c>
      <c r="H176" s="248" t="n">
        <f aca="false">J176+L176+N176+P176+R176+T176+V176+X176+Z176+AB176+AD176+AF176</f>
        <v>0</v>
      </c>
      <c r="I176" s="250" t="n">
        <f aca="false">K176+M176+O176+Q176+S176+U176+W176+Y176+AA176+AC176+AE176+AG176</f>
        <v>0</v>
      </c>
      <c r="J176" s="249" t="n">
        <v>0</v>
      </c>
      <c r="K176" s="249" t="n">
        <v>0</v>
      </c>
      <c r="L176" s="249" t="n">
        <v>0</v>
      </c>
      <c r="M176" s="249" t="n">
        <v>0</v>
      </c>
      <c r="N176" s="249" t="n">
        <v>0</v>
      </c>
      <c r="O176" s="249" t="n">
        <v>0</v>
      </c>
      <c r="P176" s="249" t="n">
        <v>0</v>
      </c>
      <c r="Q176" s="249" t="n">
        <v>0</v>
      </c>
      <c r="R176" s="249" t="n">
        <v>0</v>
      </c>
      <c r="S176" s="249" t="n">
        <v>0</v>
      </c>
      <c r="T176" s="249" t="n">
        <v>0</v>
      </c>
      <c r="U176" s="249" t="n">
        <v>0</v>
      </c>
      <c r="V176" s="249" t="n">
        <v>0</v>
      </c>
      <c r="W176" s="249" t="n">
        <v>0</v>
      </c>
      <c r="X176" s="249" t="n">
        <v>0</v>
      </c>
      <c r="Y176" s="249" t="n">
        <v>0</v>
      </c>
      <c r="Z176" s="249" t="n">
        <v>0</v>
      </c>
      <c r="AA176" s="249" t="n">
        <v>0</v>
      </c>
      <c r="AB176" s="249" t="n">
        <v>0</v>
      </c>
      <c r="AC176" s="249" t="n">
        <v>0</v>
      </c>
      <c r="AD176" s="249" t="n">
        <v>0</v>
      </c>
      <c r="AE176" s="249" t="n">
        <v>0</v>
      </c>
      <c r="AF176" s="249" t="n">
        <v>0</v>
      </c>
      <c r="AG176" s="249" t="n">
        <v>0</v>
      </c>
    </row>
    <row r="177" customFormat="false" ht="16.5" hidden="true" customHeight="false" outlineLevel="0" collapsed="false">
      <c r="A177" s="252" t="s">
        <v>354</v>
      </c>
      <c r="B177" s="214" t="n">
        <f aca="false">VLOOKUP(A177,'TH theo khach hang'!$A$4:$C$309,2,FALSE())</f>
        <v>0</v>
      </c>
      <c r="C177" s="245" t="str">
        <f aca="false">IF(VLOOKUP(A177,'TH theo khach hang'!$A$4:$C$309,3,FALSE())=0, "", "x")</f>
        <v/>
      </c>
      <c r="D177" s="246" t="n">
        <f aca="false">F177-H177</f>
        <v>0</v>
      </c>
      <c r="E177" s="247" t="n">
        <f aca="false">G177-I177</f>
        <v>0</v>
      </c>
      <c r="F177" s="248" t="n">
        <f aca="false">VLOOKUP(A177,'TH theo khach hang'!$A$4:$G$309,4,FALSE())</f>
        <v>0</v>
      </c>
      <c r="G177" s="249" t="n">
        <f aca="false">VLOOKUP(A177,'TH theo khach hang'!$A$4:$G$309,5,FALSE())</f>
        <v>0</v>
      </c>
      <c r="H177" s="248" t="n">
        <f aca="false">J177+L177+N177+P177+R177+T177+V177+X177+Z177+AB177+AD177+AF177</f>
        <v>0</v>
      </c>
      <c r="I177" s="250" t="n">
        <f aca="false">K177+M177+O177+Q177+S177+U177+W177+Y177+AA177+AC177+AE177+AG177</f>
        <v>0</v>
      </c>
      <c r="J177" s="249" t="n">
        <v>0</v>
      </c>
      <c r="K177" s="249" t="n">
        <v>0</v>
      </c>
      <c r="L177" s="249" t="n">
        <v>0</v>
      </c>
      <c r="M177" s="249" t="n">
        <v>0</v>
      </c>
      <c r="N177" s="249" t="n">
        <v>0</v>
      </c>
      <c r="O177" s="249" t="n">
        <v>0</v>
      </c>
      <c r="P177" s="249" t="n">
        <v>0</v>
      </c>
      <c r="Q177" s="249" t="n">
        <v>0</v>
      </c>
      <c r="R177" s="249" t="n">
        <v>0</v>
      </c>
      <c r="S177" s="249" t="n">
        <v>0</v>
      </c>
      <c r="T177" s="249" t="n">
        <v>0</v>
      </c>
      <c r="U177" s="249" t="n">
        <v>0</v>
      </c>
      <c r="V177" s="249" t="n">
        <v>0</v>
      </c>
      <c r="W177" s="249" t="n">
        <v>0</v>
      </c>
      <c r="X177" s="249" t="n">
        <v>0</v>
      </c>
      <c r="Y177" s="249" t="n">
        <v>0</v>
      </c>
      <c r="Z177" s="249" t="n">
        <v>0</v>
      </c>
      <c r="AA177" s="249" t="n">
        <v>0</v>
      </c>
      <c r="AB177" s="249" t="n">
        <v>0</v>
      </c>
      <c r="AC177" s="249" t="n">
        <v>0</v>
      </c>
      <c r="AD177" s="249" t="n">
        <v>0</v>
      </c>
      <c r="AE177" s="249" t="n">
        <v>0</v>
      </c>
      <c r="AF177" s="249" t="n">
        <v>0</v>
      </c>
      <c r="AG177" s="249" t="n">
        <v>0</v>
      </c>
    </row>
    <row r="178" customFormat="false" ht="16.5" hidden="true" customHeight="false" outlineLevel="0" collapsed="false">
      <c r="A178" s="252" t="s">
        <v>355</v>
      </c>
      <c r="B178" s="214" t="n">
        <f aca="false">VLOOKUP(A178,'TH theo khach hang'!$A$4:$C$309,2,FALSE())</f>
        <v>0</v>
      </c>
      <c r="C178" s="245" t="str">
        <f aca="false">IF(VLOOKUP(A178,'TH theo khach hang'!$A$4:$C$309,3,FALSE())=0, "", "x")</f>
        <v/>
      </c>
      <c r="D178" s="246" t="n">
        <f aca="false">F178-H178</f>
        <v>0</v>
      </c>
      <c r="E178" s="247" t="n">
        <f aca="false">G178-I178</f>
        <v>0</v>
      </c>
      <c r="F178" s="248" t="n">
        <f aca="false">VLOOKUP(A178,'TH theo khach hang'!$A$4:$G$309,4,FALSE())</f>
        <v>0</v>
      </c>
      <c r="G178" s="249" t="n">
        <f aca="false">VLOOKUP(A178,'TH theo khach hang'!$A$4:$G$309,5,FALSE())</f>
        <v>0</v>
      </c>
      <c r="H178" s="248" t="n">
        <f aca="false">J178+L178+N178+P178+R178+T178+V178+X178+Z178+AB178+AD178+AF178</f>
        <v>0</v>
      </c>
      <c r="I178" s="250" t="n">
        <f aca="false">K178+M178+O178+Q178+S178+U178+W178+Y178+AA178+AC178+AE178+AG178</f>
        <v>0</v>
      </c>
      <c r="J178" s="249" t="n">
        <v>0</v>
      </c>
      <c r="K178" s="249" t="n">
        <v>0</v>
      </c>
      <c r="L178" s="249" t="n">
        <v>0</v>
      </c>
      <c r="M178" s="249" t="n">
        <v>0</v>
      </c>
      <c r="N178" s="249" t="n">
        <v>0</v>
      </c>
      <c r="O178" s="249" t="n">
        <v>0</v>
      </c>
      <c r="P178" s="249" t="n">
        <v>0</v>
      </c>
      <c r="Q178" s="249" t="n">
        <v>0</v>
      </c>
      <c r="R178" s="249" t="n">
        <v>0</v>
      </c>
      <c r="S178" s="249" t="n">
        <v>0</v>
      </c>
      <c r="T178" s="249" t="n">
        <v>0</v>
      </c>
      <c r="U178" s="249" t="n">
        <v>0</v>
      </c>
      <c r="V178" s="249" t="n">
        <v>0</v>
      </c>
      <c r="W178" s="249" t="n">
        <v>0</v>
      </c>
      <c r="X178" s="249" t="n">
        <v>0</v>
      </c>
      <c r="Y178" s="249" t="n">
        <v>0</v>
      </c>
      <c r="Z178" s="249" t="n">
        <v>0</v>
      </c>
      <c r="AA178" s="249" t="n">
        <v>0</v>
      </c>
      <c r="AB178" s="249" t="n">
        <v>0</v>
      </c>
      <c r="AC178" s="249" t="n">
        <v>0</v>
      </c>
      <c r="AD178" s="249" t="n">
        <v>0</v>
      </c>
      <c r="AE178" s="249" t="n">
        <v>0</v>
      </c>
      <c r="AF178" s="249" t="n">
        <v>0</v>
      </c>
      <c r="AG178" s="249" t="n">
        <v>0</v>
      </c>
    </row>
    <row r="179" customFormat="false" ht="16.5" hidden="true" customHeight="false" outlineLevel="0" collapsed="false">
      <c r="A179" s="252" t="s">
        <v>356</v>
      </c>
      <c r="B179" s="214" t="n">
        <f aca="false">VLOOKUP(A179,'TH theo khach hang'!$A$4:$C$309,2,FALSE())</f>
        <v>0</v>
      </c>
      <c r="C179" s="245" t="str">
        <f aca="false">IF(VLOOKUP(A179,'TH theo khach hang'!$A$4:$C$309,3,FALSE())=0, "", "x")</f>
        <v/>
      </c>
      <c r="D179" s="246" t="n">
        <f aca="false">F179-H179</f>
        <v>0</v>
      </c>
      <c r="E179" s="247" t="n">
        <f aca="false">G179-I179</f>
        <v>0</v>
      </c>
      <c r="F179" s="248" t="n">
        <f aca="false">VLOOKUP(A179,'TH theo khach hang'!$A$4:$G$309,4,FALSE())</f>
        <v>0</v>
      </c>
      <c r="G179" s="249" t="n">
        <f aca="false">VLOOKUP(A179,'TH theo khach hang'!$A$4:$G$309,5,FALSE())</f>
        <v>0</v>
      </c>
      <c r="H179" s="248" t="n">
        <f aca="false">J179+L179+N179+P179+R179+T179+V179+X179+Z179+AB179+AD179+AF179</f>
        <v>0</v>
      </c>
      <c r="I179" s="250" t="n">
        <f aca="false">K179+M179+O179+Q179+S179+U179+W179+Y179+AA179+AC179+AE179+AG179</f>
        <v>0</v>
      </c>
      <c r="J179" s="249" t="n">
        <v>0</v>
      </c>
      <c r="K179" s="249" t="n">
        <v>0</v>
      </c>
      <c r="L179" s="249" t="n">
        <v>0</v>
      </c>
      <c r="M179" s="249" t="n">
        <v>0</v>
      </c>
      <c r="N179" s="249" t="n">
        <v>0</v>
      </c>
      <c r="O179" s="249" t="n">
        <v>0</v>
      </c>
      <c r="P179" s="249" t="n">
        <v>0</v>
      </c>
      <c r="Q179" s="249" t="n">
        <v>0</v>
      </c>
      <c r="R179" s="249" t="n">
        <v>0</v>
      </c>
      <c r="S179" s="249" t="n">
        <v>0</v>
      </c>
      <c r="T179" s="249" t="n">
        <v>0</v>
      </c>
      <c r="U179" s="249" t="n">
        <v>0</v>
      </c>
      <c r="V179" s="249" t="n">
        <v>0</v>
      </c>
      <c r="W179" s="249" t="n">
        <v>0</v>
      </c>
      <c r="X179" s="249" t="n">
        <v>0</v>
      </c>
      <c r="Y179" s="249" t="n">
        <v>0</v>
      </c>
      <c r="Z179" s="249" t="n">
        <v>0</v>
      </c>
      <c r="AA179" s="249" t="n">
        <v>0</v>
      </c>
      <c r="AB179" s="249" t="n">
        <v>0</v>
      </c>
      <c r="AC179" s="249" t="n">
        <v>0</v>
      </c>
      <c r="AD179" s="249" t="n">
        <v>0</v>
      </c>
      <c r="AE179" s="249" t="n">
        <v>0</v>
      </c>
      <c r="AF179" s="249" t="n">
        <v>0</v>
      </c>
      <c r="AG179" s="249" t="n">
        <v>0</v>
      </c>
    </row>
    <row r="180" customFormat="false" ht="16.5" hidden="true" customHeight="false" outlineLevel="0" collapsed="false">
      <c r="A180" s="252" t="s">
        <v>357</v>
      </c>
      <c r="B180" s="253" t="n">
        <f aca="false">VLOOKUP(A180,'TH theo khach hang'!$A$4:$C$309,2,FALSE())</f>
        <v>0</v>
      </c>
      <c r="C180" s="245" t="str">
        <f aca="false">IF(VLOOKUP(A180,'TH theo khach hang'!$A$4:$C$309,3,FALSE())=0, "", "x")</f>
        <v/>
      </c>
      <c r="D180" s="246" t="n">
        <f aca="false">F180-H180</f>
        <v>0</v>
      </c>
      <c r="E180" s="247" t="n">
        <f aca="false">G180-I180</f>
        <v>0</v>
      </c>
      <c r="F180" s="248" t="n">
        <f aca="false">VLOOKUP(A180,'TH theo khach hang'!$A$4:$G$309,4,FALSE())</f>
        <v>0</v>
      </c>
      <c r="G180" s="249" t="n">
        <f aca="false">VLOOKUP(A180,'TH theo khach hang'!$A$4:$G$309,5,FALSE())</f>
        <v>0</v>
      </c>
      <c r="H180" s="248" t="n">
        <f aca="false">J180+L180+N180+P180+R180+T180+V180+X180+Z180+AB180+AD180+AF180</f>
        <v>0</v>
      </c>
      <c r="I180" s="250" t="n">
        <f aca="false">K180+M180+O180+Q180+S180+U180+W180+Y180+AA180+AC180+AE180+AG180</f>
        <v>0</v>
      </c>
      <c r="J180" s="249" t="n">
        <v>0</v>
      </c>
      <c r="K180" s="249" t="n">
        <v>0</v>
      </c>
      <c r="L180" s="249" t="n">
        <v>0</v>
      </c>
      <c r="M180" s="249" t="n">
        <v>0</v>
      </c>
      <c r="N180" s="249" t="n">
        <v>0</v>
      </c>
      <c r="O180" s="249" t="n">
        <v>0</v>
      </c>
      <c r="P180" s="249" t="n">
        <v>0</v>
      </c>
      <c r="Q180" s="249" t="n">
        <v>0</v>
      </c>
      <c r="R180" s="249" t="n">
        <v>0</v>
      </c>
      <c r="S180" s="249" t="n">
        <v>0</v>
      </c>
      <c r="T180" s="249" t="n">
        <v>0</v>
      </c>
      <c r="U180" s="249" t="n">
        <v>0</v>
      </c>
      <c r="V180" s="249" t="n">
        <v>0</v>
      </c>
      <c r="W180" s="249" t="n">
        <v>0</v>
      </c>
      <c r="X180" s="249" t="n">
        <v>0</v>
      </c>
      <c r="Y180" s="249" t="n">
        <v>0</v>
      </c>
      <c r="Z180" s="249" t="n">
        <v>0</v>
      </c>
      <c r="AA180" s="249" t="n">
        <v>0</v>
      </c>
      <c r="AB180" s="249" t="n">
        <v>0</v>
      </c>
      <c r="AC180" s="249" t="n">
        <v>0</v>
      </c>
      <c r="AD180" s="249" t="n">
        <v>0</v>
      </c>
      <c r="AE180" s="249" t="n">
        <v>0</v>
      </c>
      <c r="AF180" s="249" t="n">
        <v>0</v>
      </c>
      <c r="AG180" s="249" t="n">
        <v>0</v>
      </c>
    </row>
    <row r="181" customFormat="false" ht="16.5" hidden="true" customHeight="false" outlineLevel="0" collapsed="false">
      <c r="A181" s="252" t="s">
        <v>358</v>
      </c>
      <c r="B181" s="214" t="n">
        <f aca="false">VLOOKUP(A181,'TH theo khach hang'!$A$4:$C$309,2,FALSE())</f>
        <v>0</v>
      </c>
      <c r="C181" s="245" t="str">
        <f aca="false">IF(VLOOKUP(A181,'TH theo khach hang'!$A$4:$C$309,3,FALSE())=0, "", "x")</f>
        <v/>
      </c>
      <c r="D181" s="246" t="n">
        <f aca="false">F181-H181</f>
        <v>0</v>
      </c>
      <c r="E181" s="247" t="n">
        <f aca="false">G181-I181</f>
        <v>0</v>
      </c>
      <c r="F181" s="248" t="n">
        <f aca="false">VLOOKUP(A181,'TH theo khach hang'!$A$4:$G$309,4,FALSE())</f>
        <v>0</v>
      </c>
      <c r="G181" s="249" t="n">
        <f aca="false">VLOOKUP(A181,'TH theo khach hang'!$A$4:$G$309,5,FALSE())</f>
        <v>0</v>
      </c>
      <c r="H181" s="248" t="n">
        <f aca="false">J181+L181+N181+P181+R181+T181+V181+X181+Z181+AB181+AD181+AF181</f>
        <v>0</v>
      </c>
      <c r="I181" s="250" t="n">
        <f aca="false">K181+M181+O181+Q181+S181+U181+W181+Y181+AA181+AC181+AE181+AG181</f>
        <v>0</v>
      </c>
      <c r="J181" s="249" t="n">
        <v>0</v>
      </c>
      <c r="K181" s="249" t="n">
        <v>0</v>
      </c>
      <c r="L181" s="249" t="n">
        <v>0</v>
      </c>
      <c r="M181" s="249" t="n">
        <v>0</v>
      </c>
      <c r="N181" s="249" t="n">
        <v>0</v>
      </c>
      <c r="O181" s="249" t="n">
        <v>0</v>
      </c>
      <c r="P181" s="249" t="n">
        <v>0</v>
      </c>
      <c r="Q181" s="249" t="n">
        <v>0</v>
      </c>
      <c r="R181" s="249" t="n">
        <v>0</v>
      </c>
      <c r="S181" s="249" t="n">
        <v>0</v>
      </c>
      <c r="T181" s="249" t="n">
        <v>0</v>
      </c>
      <c r="U181" s="249" t="n">
        <v>0</v>
      </c>
      <c r="V181" s="249" t="n">
        <v>0</v>
      </c>
      <c r="W181" s="249" t="n">
        <v>0</v>
      </c>
      <c r="X181" s="249" t="n">
        <v>0</v>
      </c>
      <c r="Y181" s="249" t="n">
        <v>0</v>
      </c>
      <c r="Z181" s="249" t="n">
        <v>0</v>
      </c>
      <c r="AA181" s="249" t="n">
        <v>0</v>
      </c>
      <c r="AB181" s="249" t="n">
        <v>0</v>
      </c>
      <c r="AC181" s="249" t="n">
        <v>0</v>
      </c>
      <c r="AD181" s="249" t="n">
        <v>0</v>
      </c>
      <c r="AE181" s="249" t="n">
        <v>0</v>
      </c>
      <c r="AF181" s="249" t="n">
        <v>0</v>
      </c>
      <c r="AG181" s="249" t="n">
        <v>0</v>
      </c>
    </row>
    <row r="182" customFormat="false" ht="16.5" hidden="true" customHeight="false" outlineLevel="0" collapsed="false">
      <c r="A182" s="252" t="s">
        <v>359</v>
      </c>
      <c r="B182" s="214" t="n">
        <f aca="false">VLOOKUP(A182,'TH theo khach hang'!$A$4:$C$309,2,FALSE())</f>
        <v>0</v>
      </c>
      <c r="C182" s="245" t="str">
        <f aca="false">IF(VLOOKUP(A182,'TH theo khach hang'!$A$4:$C$309,3,FALSE())=0, "", "x")</f>
        <v/>
      </c>
      <c r="D182" s="246" t="n">
        <f aca="false">F182-H182</f>
        <v>0</v>
      </c>
      <c r="E182" s="247" t="n">
        <f aca="false">G182-I182</f>
        <v>0</v>
      </c>
      <c r="F182" s="248" t="n">
        <f aca="false">VLOOKUP(A182,'TH theo khach hang'!$A$4:$G$309,4,FALSE())</f>
        <v>0</v>
      </c>
      <c r="G182" s="249" t="n">
        <f aca="false">VLOOKUP(A182,'TH theo khach hang'!$A$4:$G$309,5,FALSE())</f>
        <v>0</v>
      </c>
      <c r="H182" s="248" t="n">
        <f aca="false">J182+L182+N182+P182+R182+T182+V182+X182+Z182+AB182+AD182+AF182</f>
        <v>0</v>
      </c>
      <c r="I182" s="250" t="n">
        <f aca="false">K182+M182+O182+Q182+S182+U182+W182+Y182+AA182+AC182+AE182+AG182</f>
        <v>0</v>
      </c>
      <c r="J182" s="249" t="n">
        <v>0</v>
      </c>
      <c r="K182" s="249" t="n">
        <v>0</v>
      </c>
      <c r="L182" s="249" t="n">
        <v>0</v>
      </c>
      <c r="M182" s="249" t="n">
        <v>0</v>
      </c>
      <c r="N182" s="249" t="n">
        <v>0</v>
      </c>
      <c r="O182" s="249" t="n">
        <v>0</v>
      </c>
      <c r="P182" s="249" t="n">
        <v>0</v>
      </c>
      <c r="Q182" s="249" t="n">
        <v>0</v>
      </c>
      <c r="R182" s="249" t="n">
        <v>0</v>
      </c>
      <c r="S182" s="249" t="n">
        <v>0</v>
      </c>
      <c r="T182" s="249" t="n">
        <v>0</v>
      </c>
      <c r="U182" s="249" t="n">
        <v>0</v>
      </c>
      <c r="V182" s="249" t="n">
        <v>0</v>
      </c>
      <c r="W182" s="249" t="n">
        <v>0</v>
      </c>
      <c r="X182" s="249" t="n">
        <v>0</v>
      </c>
      <c r="Y182" s="249" t="n">
        <v>0</v>
      </c>
      <c r="Z182" s="249" t="n">
        <v>0</v>
      </c>
      <c r="AA182" s="249" t="n">
        <v>0</v>
      </c>
      <c r="AB182" s="249" t="n">
        <v>0</v>
      </c>
      <c r="AC182" s="249" t="n">
        <v>0</v>
      </c>
      <c r="AD182" s="249" t="n">
        <v>0</v>
      </c>
      <c r="AE182" s="249" t="n">
        <v>0</v>
      </c>
      <c r="AF182" s="249" t="n">
        <v>0</v>
      </c>
      <c r="AG182" s="249" t="n">
        <v>0</v>
      </c>
    </row>
    <row r="183" customFormat="false" ht="16.5" hidden="true" customHeight="false" outlineLevel="0" collapsed="false">
      <c r="A183" s="252" t="s">
        <v>360</v>
      </c>
      <c r="B183" s="214" t="n">
        <f aca="false">VLOOKUP(A183,'TH theo khach hang'!$A$4:$C$309,2,FALSE())</f>
        <v>0</v>
      </c>
      <c r="C183" s="245" t="str">
        <f aca="false">IF(VLOOKUP(A183,'TH theo khach hang'!$A$4:$C$309,3,FALSE())=0, "", "x")</f>
        <v/>
      </c>
      <c r="D183" s="246" t="n">
        <f aca="false">F183-H183</f>
        <v>0</v>
      </c>
      <c r="E183" s="247" t="n">
        <f aca="false">G183-I183</f>
        <v>0</v>
      </c>
      <c r="F183" s="248" t="n">
        <f aca="false">VLOOKUP(A183,'TH theo khach hang'!$A$4:$G$309,4,FALSE())</f>
        <v>0</v>
      </c>
      <c r="G183" s="249" t="n">
        <f aca="false">VLOOKUP(A183,'TH theo khach hang'!$A$4:$G$309,5,FALSE())</f>
        <v>0</v>
      </c>
      <c r="H183" s="248" t="n">
        <f aca="false">J183+L183+N183+P183+R183+T183+V183+X183+Z183+AB183+AD183+AF183</f>
        <v>0</v>
      </c>
      <c r="I183" s="250" t="n">
        <f aca="false">K183+M183+O183+Q183+S183+U183+W183+Y183+AA183+AC183+AE183+AG183</f>
        <v>0</v>
      </c>
      <c r="J183" s="249" t="n">
        <v>0</v>
      </c>
      <c r="K183" s="249" t="n">
        <v>0</v>
      </c>
      <c r="L183" s="249" t="n">
        <v>0</v>
      </c>
      <c r="M183" s="249" t="n">
        <v>0</v>
      </c>
      <c r="N183" s="249" t="n">
        <v>0</v>
      </c>
      <c r="O183" s="249" t="n">
        <v>0</v>
      </c>
      <c r="P183" s="249" t="n">
        <v>0</v>
      </c>
      <c r="Q183" s="249" t="n">
        <v>0</v>
      </c>
      <c r="R183" s="249" t="n">
        <v>0</v>
      </c>
      <c r="S183" s="249" t="n">
        <v>0</v>
      </c>
      <c r="T183" s="249" t="n">
        <v>0</v>
      </c>
      <c r="U183" s="249" t="n">
        <v>0</v>
      </c>
      <c r="V183" s="249" t="n">
        <v>0</v>
      </c>
      <c r="W183" s="249" t="n">
        <v>0</v>
      </c>
      <c r="X183" s="249" t="n">
        <v>0</v>
      </c>
      <c r="Y183" s="249" t="n">
        <v>0</v>
      </c>
      <c r="Z183" s="249" t="n">
        <v>0</v>
      </c>
      <c r="AA183" s="249" t="n">
        <v>0</v>
      </c>
      <c r="AB183" s="249" t="n">
        <v>0</v>
      </c>
      <c r="AC183" s="249" t="n">
        <v>0</v>
      </c>
      <c r="AD183" s="249" t="n">
        <v>0</v>
      </c>
      <c r="AE183" s="249" t="n">
        <v>0</v>
      </c>
      <c r="AF183" s="249" t="n">
        <v>0</v>
      </c>
      <c r="AG183" s="249" t="n">
        <v>0</v>
      </c>
    </row>
    <row r="184" customFormat="false" ht="16.5" hidden="true" customHeight="false" outlineLevel="0" collapsed="false">
      <c r="A184" s="252" t="s">
        <v>361</v>
      </c>
      <c r="B184" s="214" t="n">
        <f aca="false">VLOOKUP(A184,'TH theo khach hang'!$A$4:$C$309,2,FALSE())</f>
        <v>0</v>
      </c>
      <c r="C184" s="245" t="str">
        <f aca="false">IF(VLOOKUP(A184,'TH theo khach hang'!$A$4:$C$309,3,FALSE())=0, "", "x")</f>
        <v/>
      </c>
      <c r="D184" s="246" t="n">
        <f aca="false">F184-H184</f>
        <v>0</v>
      </c>
      <c r="E184" s="247" t="n">
        <f aca="false">G184-I184</f>
        <v>0</v>
      </c>
      <c r="F184" s="248" t="n">
        <f aca="false">VLOOKUP(A184,'TH theo khach hang'!$A$4:$G$309,4,FALSE())</f>
        <v>0</v>
      </c>
      <c r="G184" s="249" t="n">
        <f aca="false">VLOOKUP(A184,'TH theo khach hang'!$A$4:$G$309,5,FALSE())</f>
        <v>0</v>
      </c>
      <c r="H184" s="248" t="n">
        <f aca="false">J184+L184+N184+P184+R184+T184+V184+X184+Z184+AB184+AD184+AF184</f>
        <v>0</v>
      </c>
      <c r="I184" s="250" t="n">
        <f aca="false">K184+M184+O184+Q184+S184+U184+W184+Y184+AA184+AC184+AE184+AG184</f>
        <v>0</v>
      </c>
      <c r="J184" s="249" t="n">
        <v>0</v>
      </c>
      <c r="K184" s="249" t="n">
        <v>0</v>
      </c>
      <c r="L184" s="249" t="n">
        <v>0</v>
      </c>
      <c r="M184" s="249" t="n">
        <v>0</v>
      </c>
      <c r="N184" s="249" t="n">
        <v>0</v>
      </c>
      <c r="O184" s="249" t="n">
        <v>0</v>
      </c>
      <c r="P184" s="249" t="n">
        <v>0</v>
      </c>
      <c r="Q184" s="249" t="n">
        <v>0</v>
      </c>
      <c r="R184" s="249" t="n">
        <v>0</v>
      </c>
      <c r="S184" s="249" t="n">
        <v>0</v>
      </c>
      <c r="T184" s="249" t="n">
        <v>0</v>
      </c>
      <c r="U184" s="249" t="n">
        <v>0</v>
      </c>
      <c r="V184" s="249" t="n">
        <v>0</v>
      </c>
      <c r="W184" s="249" t="n">
        <v>0</v>
      </c>
      <c r="X184" s="249" t="n">
        <v>0</v>
      </c>
      <c r="Y184" s="249" t="n">
        <v>0</v>
      </c>
      <c r="Z184" s="249" t="n">
        <v>0</v>
      </c>
      <c r="AA184" s="249" t="n">
        <v>0</v>
      </c>
      <c r="AB184" s="249" t="n">
        <v>0</v>
      </c>
      <c r="AC184" s="249" t="n">
        <v>0</v>
      </c>
      <c r="AD184" s="249" t="n">
        <v>0</v>
      </c>
      <c r="AE184" s="249" t="n">
        <v>0</v>
      </c>
      <c r="AF184" s="249" t="n">
        <v>0</v>
      </c>
      <c r="AG184" s="249" t="n">
        <v>0</v>
      </c>
    </row>
    <row r="185" customFormat="false" ht="16.5" hidden="true" customHeight="false" outlineLevel="0" collapsed="false">
      <c r="A185" s="252" t="s">
        <v>362</v>
      </c>
      <c r="B185" s="214" t="n">
        <f aca="false">VLOOKUP(A185,'TH theo khach hang'!$A$4:$C$309,2,FALSE())</f>
        <v>0</v>
      </c>
      <c r="C185" s="245" t="str">
        <f aca="false">IF(VLOOKUP(A185,'TH theo khach hang'!$A$4:$C$309,3,FALSE())=0, "", "x")</f>
        <v/>
      </c>
      <c r="D185" s="246" t="n">
        <f aca="false">F185-H185</f>
        <v>0</v>
      </c>
      <c r="E185" s="247" t="n">
        <f aca="false">G185-I185</f>
        <v>0</v>
      </c>
      <c r="F185" s="248" t="n">
        <f aca="false">VLOOKUP(A185,'TH theo khach hang'!$A$4:$G$309,4,FALSE())</f>
        <v>0</v>
      </c>
      <c r="G185" s="249" t="n">
        <f aca="false">VLOOKUP(A185,'TH theo khach hang'!$A$4:$G$309,5,FALSE())</f>
        <v>0</v>
      </c>
      <c r="H185" s="248" t="n">
        <f aca="false">J185+L185+N185+P185+R185+T185+V185+X185+Z185+AB185+AD185+AF185</f>
        <v>0</v>
      </c>
      <c r="I185" s="250" t="n">
        <f aca="false">K185+M185+O185+Q185+S185+U185+W185+Y185+AA185+AC185+AE185+AG185</f>
        <v>0</v>
      </c>
      <c r="J185" s="249" t="n">
        <v>0</v>
      </c>
      <c r="K185" s="249" t="n">
        <v>0</v>
      </c>
      <c r="L185" s="249" t="n">
        <v>0</v>
      </c>
      <c r="M185" s="249" t="n">
        <v>0</v>
      </c>
      <c r="N185" s="249" t="n">
        <v>0</v>
      </c>
      <c r="O185" s="249" t="n">
        <v>0</v>
      </c>
      <c r="P185" s="249" t="n">
        <v>0</v>
      </c>
      <c r="Q185" s="249" t="n">
        <v>0</v>
      </c>
      <c r="R185" s="249" t="n">
        <v>0</v>
      </c>
      <c r="S185" s="249" t="n">
        <v>0</v>
      </c>
      <c r="T185" s="249" t="n">
        <v>0</v>
      </c>
      <c r="U185" s="249" t="n">
        <v>0</v>
      </c>
      <c r="V185" s="249" t="n">
        <v>0</v>
      </c>
      <c r="W185" s="249" t="n">
        <v>0</v>
      </c>
      <c r="X185" s="249" t="n">
        <v>0</v>
      </c>
      <c r="Y185" s="249" t="n">
        <v>0</v>
      </c>
      <c r="Z185" s="249" t="n">
        <v>0</v>
      </c>
      <c r="AA185" s="249" t="n">
        <v>0</v>
      </c>
      <c r="AB185" s="249" t="n">
        <v>0</v>
      </c>
      <c r="AC185" s="249" t="n">
        <v>0</v>
      </c>
      <c r="AD185" s="249" t="n">
        <v>0</v>
      </c>
      <c r="AE185" s="249" t="n">
        <v>0</v>
      </c>
      <c r="AF185" s="249" t="n">
        <v>0</v>
      </c>
      <c r="AG185" s="249" t="n">
        <v>0</v>
      </c>
    </row>
    <row r="186" customFormat="false" ht="16.5" hidden="true" customHeight="false" outlineLevel="0" collapsed="false">
      <c r="A186" s="252" t="s">
        <v>363</v>
      </c>
      <c r="B186" s="253" t="n">
        <f aca="false">VLOOKUP(A186,'TH theo khach hang'!$A$4:$C$309,2,FALSE())</f>
        <v>0</v>
      </c>
      <c r="C186" s="245" t="str">
        <f aca="false">IF(VLOOKUP(A186,'TH theo khach hang'!$A$4:$C$309,3,FALSE())=0, "", "x")</f>
        <v/>
      </c>
      <c r="D186" s="246" t="n">
        <f aca="false">F186-H186</f>
        <v>0</v>
      </c>
      <c r="E186" s="247" t="n">
        <f aca="false">G186-I186</f>
        <v>0</v>
      </c>
      <c r="F186" s="248" t="n">
        <f aca="false">VLOOKUP(A186,'TH theo khach hang'!$A$4:$G$309,4,FALSE())</f>
        <v>0</v>
      </c>
      <c r="G186" s="249" t="n">
        <f aca="false">VLOOKUP(A186,'TH theo khach hang'!$A$4:$G$309,5,FALSE())</f>
        <v>0</v>
      </c>
      <c r="H186" s="248" t="n">
        <f aca="false">J186+L186+N186+P186+R186+T186+V186+X186+Z186+AB186+AD186+AF186</f>
        <v>0</v>
      </c>
      <c r="I186" s="250" t="n">
        <f aca="false">K186+M186+O186+Q186+S186+U186+W186+Y186+AA186+AC186+AE186+AG186</f>
        <v>0</v>
      </c>
      <c r="J186" s="249" t="n">
        <v>0</v>
      </c>
      <c r="K186" s="249" t="n">
        <v>0</v>
      </c>
      <c r="L186" s="249" t="n">
        <v>0</v>
      </c>
      <c r="M186" s="249" t="n">
        <v>0</v>
      </c>
      <c r="N186" s="249" t="n">
        <v>0</v>
      </c>
      <c r="O186" s="249" t="n">
        <v>0</v>
      </c>
      <c r="P186" s="249" t="n">
        <v>0</v>
      </c>
      <c r="Q186" s="249" t="n">
        <v>0</v>
      </c>
      <c r="R186" s="249" t="n">
        <v>0</v>
      </c>
      <c r="S186" s="249" t="n">
        <v>0</v>
      </c>
      <c r="T186" s="249" t="n">
        <v>0</v>
      </c>
      <c r="U186" s="249" t="n">
        <v>0</v>
      </c>
      <c r="V186" s="249" t="n">
        <v>0</v>
      </c>
      <c r="W186" s="249" t="n">
        <v>0</v>
      </c>
      <c r="X186" s="249" t="n">
        <v>0</v>
      </c>
      <c r="Y186" s="249" t="n">
        <v>0</v>
      </c>
      <c r="Z186" s="254" t="n">
        <v>0</v>
      </c>
      <c r="AA186" s="249" t="n">
        <v>0</v>
      </c>
      <c r="AB186" s="249" t="n">
        <v>0</v>
      </c>
      <c r="AC186" s="249" t="n">
        <v>0</v>
      </c>
      <c r="AD186" s="249" t="n">
        <v>0</v>
      </c>
      <c r="AE186" s="249" t="n">
        <v>0</v>
      </c>
      <c r="AF186" s="249" t="n">
        <v>0</v>
      </c>
      <c r="AG186" s="249" t="n">
        <v>0</v>
      </c>
    </row>
    <row r="187" customFormat="false" ht="16.5" hidden="true" customHeight="false" outlineLevel="0" collapsed="false">
      <c r="A187" s="252" t="s">
        <v>364</v>
      </c>
      <c r="B187" s="214" t="n">
        <f aca="false">VLOOKUP(A187,'TH theo khach hang'!$A$4:$C$309,2,FALSE())</f>
        <v>0</v>
      </c>
      <c r="C187" s="245" t="str">
        <f aca="false">IF(VLOOKUP(A187,'TH theo khach hang'!$A$4:$C$309,3,FALSE())=0, "", "x")</f>
        <v/>
      </c>
      <c r="D187" s="246" t="n">
        <f aca="false">F187-H187</f>
        <v>0</v>
      </c>
      <c r="E187" s="247" t="n">
        <f aca="false">G187-I187</f>
        <v>0</v>
      </c>
      <c r="F187" s="248" t="n">
        <f aca="false">VLOOKUP(A187,'TH theo khach hang'!$A$4:$G$309,4,FALSE())</f>
        <v>0</v>
      </c>
      <c r="G187" s="249" t="n">
        <f aca="false">VLOOKUP(A187,'TH theo khach hang'!$A$4:$G$309,5,FALSE())</f>
        <v>0</v>
      </c>
      <c r="H187" s="248" t="n">
        <f aca="false">J187+L187+N187+P187+R187+T187+V187+X187+Z187+AB187+AD187+AF187</f>
        <v>0</v>
      </c>
      <c r="I187" s="250" t="n">
        <f aca="false">K187+M187+O187+Q187+S187+U187+W187+Y187+AA187+AC187+AE187+AG187</f>
        <v>0</v>
      </c>
      <c r="J187" s="249" t="n">
        <v>0</v>
      </c>
      <c r="K187" s="249" t="n">
        <v>0</v>
      </c>
      <c r="L187" s="249" t="n">
        <v>0</v>
      </c>
      <c r="M187" s="249" t="n">
        <v>0</v>
      </c>
      <c r="N187" s="249" t="n">
        <v>0</v>
      </c>
      <c r="O187" s="249" t="n">
        <v>0</v>
      </c>
      <c r="P187" s="249" t="n">
        <v>0</v>
      </c>
      <c r="Q187" s="249" t="n">
        <v>0</v>
      </c>
      <c r="R187" s="249" t="n">
        <v>0</v>
      </c>
      <c r="S187" s="249" t="n">
        <v>0</v>
      </c>
      <c r="T187" s="249" t="n">
        <v>0</v>
      </c>
      <c r="U187" s="249" t="n">
        <v>0</v>
      </c>
      <c r="V187" s="249" t="n">
        <v>0</v>
      </c>
      <c r="W187" s="249" t="n">
        <v>0</v>
      </c>
      <c r="X187" s="249" t="n">
        <v>0</v>
      </c>
      <c r="Y187" s="249" t="n">
        <v>0</v>
      </c>
      <c r="Z187" s="249" t="n">
        <v>0</v>
      </c>
      <c r="AA187" s="249" t="n">
        <v>0</v>
      </c>
      <c r="AB187" s="249" t="n">
        <v>0</v>
      </c>
      <c r="AC187" s="249" t="n">
        <v>0</v>
      </c>
      <c r="AD187" s="249" t="n">
        <v>0</v>
      </c>
      <c r="AE187" s="249" t="n">
        <v>0</v>
      </c>
      <c r="AF187" s="249" t="n">
        <v>0</v>
      </c>
      <c r="AG187" s="249" t="n">
        <v>0</v>
      </c>
    </row>
    <row r="188" customFormat="false" ht="16.5" hidden="true" customHeight="false" outlineLevel="0" collapsed="false">
      <c r="A188" s="252" t="s">
        <v>365</v>
      </c>
      <c r="B188" s="214" t="n">
        <f aca="false">VLOOKUP(A188,'TH theo khach hang'!$A$4:$C$309,2,FALSE())</f>
        <v>0</v>
      </c>
      <c r="C188" s="245" t="str">
        <f aca="false">IF(VLOOKUP(A188,'TH theo khach hang'!$A$4:$C$309,3,FALSE())=0, "", "x")</f>
        <v/>
      </c>
      <c r="D188" s="246" t="n">
        <f aca="false">F188-H188</f>
        <v>0</v>
      </c>
      <c r="E188" s="247" t="n">
        <f aca="false">G188-I188</f>
        <v>0</v>
      </c>
      <c r="F188" s="248" t="n">
        <f aca="false">VLOOKUP(A188,'TH theo khach hang'!$A$4:$G$309,4,FALSE())</f>
        <v>0</v>
      </c>
      <c r="G188" s="249" t="n">
        <f aca="false">VLOOKUP(A188,'TH theo khach hang'!$A$4:$G$309,5,FALSE())</f>
        <v>0</v>
      </c>
      <c r="H188" s="248" t="n">
        <f aca="false">J188+L188+N188+P188+R188+T188+V188+X188+Z188+AB188+AD188+AF188</f>
        <v>0</v>
      </c>
      <c r="I188" s="250" t="n">
        <f aca="false">K188+M188+O188+Q188+S188+U188+W188+Y188+AA188+AC188+AE188+AG188</f>
        <v>0</v>
      </c>
      <c r="J188" s="249" t="n">
        <v>0</v>
      </c>
      <c r="K188" s="249" t="n">
        <v>0</v>
      </c>
      <c r="L188" s="249" t="n">
        <v>0</v>
      </c>
      <c r="M188" s="249" t="n">
        <v>0</v>
      </c>
      <c r="N188" s="249" t="n">
        <v>0</v>
      </c>
      <c r="O188" s="249" t="n">
        <v>0</v>
      </c>
      <c r="P188" s="249" t="n">
        <v>0</v>
      </c>
      <c r="Q188" s="249" t="n">
        <v>0</v>
      </c>
      <c r="R188" s="249" t="n">
        <v>0</v>
      </c>
      <c r="S188" s="249" t="n">
        <v>0</v>
      </c>
      <c r="T188" s="249" t="n">
        <v>0</v>
      </c>
      <c r="U188" s="249" t="n">
        <v>0</v>
      </c>
      <c r="V188" s="249" t="n">
        <v>0</v>
      </c>
      <c r="W188" s="249" t="n">
        <v>0</v>
      </c>
      <c r="X188" s="249" t="n">
        <v>0</v>
      </c>
      <c r="Y188" s="249" t="n">
        <v>0</v>
      </c>
      <c r="Z188" s="249" t="n">
        <v>0</v>
      </c>
      <c r="AA188" s="249" t="n">
        <v>0</v>
      </c>
      <c r="AB188" s="249" t="n">
        <v>0</v>
      </c>
      <c r="AC188" s="249" t="n">
        <v>0</v>
      </c>
      <c r="AD188" s="249" t="n">
        <v>0</v>
      </c>
      <c r="AE188" s="249" t="n">
        <v>0</v>
      </c>
      <c r="AF188" s="249" t="n">
        <v>0</v>
      </c>
      <c r="AG188" s="249" t="n">
        <v>0</v>
      </c>
      <c r="AH188" s="251"/>
    </row>
    <row r="189" customFormat="false" ht="16.5" hidden="true" customHeight="false" outlineLevel="0" collapsed="false">
      <c r="A189" s="252" t="s">
        <v>366</v>
      </c>
      <c r="B189" s="214" t="n">
        <f aca="false">VLOOKUP(A189,'TH theo khach hang'!$A$4:$C$309,2,FALSE())</f>
        <v>0</v>
      </c>
      <c r="C189" s="245" t="str">
        <f aca="false">IF(VLOOKUP(A189,'TH theo khach hang'!$A$4:$C$309,3,FALSE())=0, "", "x")</f>
        <v/>
      </c>
      <c r="D189" s="246" t="n">
        <f aca="false">F189-H189</f>
        <v>0</v>
      </c>
      <c r="E189" s="247" t="n">
        <f aca="false">G189-I189</f>
        <v>0</v>
      </c>
      <c r="F189" s="248" t="n">
        <f aca="false">VLOOKUP(A189,'TH theo khach hang'!$A$4:$G$309,4,FALSE())</f>
        <v>0</v>
      </c>
      <c r="G189" s="249" t="n">
        <f aca="false">VLOOKUP(A189,'TH theo khach hang'!$A$4:$G$309,5,FALSE())</f>
        <v>0</v>
      </c>
      <c r="H189" s="248" t="n">
        <f aca="false">J189+L189+N189+P189+R189+T189+V189+X189+Z189+AB189+AD189+AF189</f>
        <v>0</v>
      </c>
      <c r="I189" s="250" t="n">
        <f aca="false">K189+M189+O189+Q189+S189+U189+W189+Y189+AA189+AC189+AE189+AG189</f>
        <v>0</v>
      </c>
      <c r="J189" s="249" t="n">
        <v>0</v>
      </c>
      <c r="K189" s="249" t="n">
        <v>0</v>
      </c>
      <c r="L189" s="249" t="n">
        <v>0</v>
      </c>
      <c r="M189" s="249" t="n">
        <v>0</v>
      </c>
      <c r="N189" s="249" t="n">
        <v>0</v>
      </c>
      <c r="O189" s="249" t="n">
        <v>0</v>
      </c>
      <c r="P189" s="249" t="n">
        <v>0</v>
      </c>
      <c r="Q189" s="249" t="n">
        <v>0</v>
      </c>
      <c r="R189" s="249" t="n">
        <v>0</v>
      </c>
      <c r="S189" s="249" t="n">
        <v>0</v>
      </c>
      <c r="T189" s="249" t="n">
        <v>0</v>
      </c>
      <c r="U189" s="249" t="n">
        <v>0</v>
      </c>
      <c r="V189" s="249" t="n">
        <v>0</v>
      </c>
      <c r="W189" s="249" t="n">
        <v>0</v>
      </c>
      <c r="X189" s="249" t="n">
        <v>0</v>
      </c>
      <c r="Y189" s="249" t="n">
        <v>0</v>
      </c>
      <c r="Z189" s="249" t="n">
        <v>0</v>
      </c>
      <c r="AA189" s="249" t="n">
        <v>0</v>
      </c>
      <c r="AB189" s="249" t="n">
        <v>0</v>
      </c>
      <c r="AC189" s="249" t="n">
        <v>0</v>
      </c>
      <c r="AD189" s="249" t="n">
        <v>0</v>
      </c>
      <c r="AE189" s="249" t="n">
        <v>0</v>
      </c>
      <c r="AF189" s="249" t="n">
        <v>0</v>
      </c>
      <c r="AG189" s="249" t="n">
        <v>0</v>
      </c>
    </row>
    <row r="190" customFormat="false" ht="16.5" hidden="true" customHeight="false" outlineLevel="0" collapsed="false">
      <c r="A190" s="252" t="s">
        <v>367</v>
      </c>
      <c r="B190" s="214" t="n">
        <f aca="false">VLOOKUP(A190,'TH theo khach hang'!$A$4:$C$309,2,FALSE())</f>
        <v>0</v>
      </c>
      <c r="C190" s="245" t="str">
        <f aca="false">IF(VLOOKUP(A190,'TH theo khach hang'!$A$4:$C$309,3,FALSE())=0, "", "x")</f>
        <v/>
      </c>
      <c r="D190" s="246" t="n">
        <f aca="false">F190-H190</f>
        <v>0</v>
      </c>
      <c r="E190" s="247" t="n">
        <f aca="false">G190-I190</f>
        <v>0</v>
      </c>
      <c r="F190" s="248" t="n">
        <f aca="false">VLOOKUP(A190,'TH theo khach hang'!$A$4:$G$309,4,FALSE())</f>
        <v>0</v>
      </c>
      <c r="G190" s="249" t="n">
        <f aca="false">VLOOKUP(A190,'TH theo khach hang'!$A$4:$G$309,5,FALSE())</f>
        <v>0</v>
      </c>
      <c r="H190" s="248" t="n">
        <f aca="false">J190+L190+N190+P190+R190+T190+V190+X190+Z190+AB190+AD190+AF190</f>
        <v>0</v>
      </c>
      <c r="I190" s="250" t="n">
        <f aca="false">K190+M190+O190+Q190+S190+U190+W190+Y190+AA190+AC190+AE190+AG190</f>
        <v>0</v>
      </c>
      <c r="J190" s="249" t="n">
        <v>0</v>
      </c>
      <c r="K190" s="249" t="n">
        <v>0</v>
      </c>
      <c r="L190" s="249" t="n">
        <v>0</v>
      </c>
      <c r="M190" s="249" t="n">
        <v>0</v>
      </c>
      <c r="N190" s="249" t="n">
        <v>0</v>
      </c>
      <c r="O190" s="249" t="n">
        <v>0</v>
      </c>
      <c r="P190" s="249" t="n">
        <v>0</v>
      </c>
      <c r="Q190" s="249" t="n">
        <v>0</v>
      </c>
      <c r="R190" s="249" t="n">
        <v>0</v>
      </c>
      <c r="S190" s="249" t="n">
        <v>0</v>
      </c>
      <c r="T190" s="249" t="n">
        <v>0</v>
      </c>
      <c r="U190" s="249" t="n">
        <v>0</v>
      </c>
      <c r="V190" s="249" t="n">
        <v>0</v>
      </c>
      <c r="W190" s="249" t="n">
        <v>0</v>
      </c>
      <c r="X190" s="249" t="n">
        <v>0</v>
      </c>
      <c r="Y190" s="249" t="n">
        <v>0</v>
      </c>
      <c r="Z190" s="249" t="n">
        <v>0</v>
      </c>
      <c r="AA190" s="249" t="n">
        <v>0</v>
      </c>
      <c r="AB190" s="249" t="n">
        <v>0</v>
      </c>
      <c r="AC190" s="249" t="n">
        <v>0</v>
      </c>
      <c r="AD190" s="249" t="n">
        <v>0</v>
      </c>
      <c r="AE190" s="249" t="n">
        <v>0</v>
      </c>
      <c r="AF190" s="249" t="n">
        <v>0</v>
      </c>
      <c r="AG190" s="249" t="n">
        <v>0</v>
      </c>
    </row>
    <row r="191" customFormat="false" ht="16.5" hidden="true" customHeight="false" outlineLevel="0" collapsed="false">
      <c r="A191" s="252" t="s">
        <v>368</v>
      </c>
      <c r="B191" s="214" t="n">
        <f aca="false">VLOOKUP(A191,'TH theo khach hang'!$A$4:$C$309,2,FALSE())</f>
        <v>0</v>
      </c>
      <c r="C191" s="245" t="str">
        <f aca="false">IF(VLOOKUP(A191,'TH theo khach hang'!$A$4:$C$309,3,FALSE())=0, "", "x")</f>
        <v/>
      </c>
      <c r="D191" s="246" t="n">
        <f aca="false">F191-H191</f>
        <v>0</v>
      </c>
      <c r="E191" s="247" t="n">
        <f aca="false">G191-I191</f>
        <v>0</v>
      </c>
      <c r="F191" s="248" t="n">
        <f aca="false">VLOOKUP(A191,'TH theo khach hang'!$A$4:$G$309,4,FALSE())</f>
        <v>0</v>
      </c>
      <c r="G191" s="249" t="n">
        <f aca="false">VLOOKUP(A191,'TH theo khach hang'!$A$4:$G$309,5,FALSE())</f>
        <v>0</v>
      </c>
      <c r="H191" s="248" t="n">
        <f aca="false">J191+L191+N191+P191+R191+T191+V191+X191+Z191+AB191+AD191+AF191</f>
        <v>0</v>
      </c>
      <c r="I191" s="250" t="n">
        <f aca="false">K191+M191+O191+Q191+S191+U191+W191+Y191+AA191+AC191+AE191+AG191</f>
        <v>0</v>
      </c>
      <c r="J191" s="249" t="n">
        <v>0</v>
      </c>
      <c r="K191" s="249" t="n">
        <v>0</v>
      </c>
      <c r="L191" s="249" t="n">
        <v>0</v>
      </c>
      <c r="M191" s="249" t="n">
        <v>0</v>
      </c>
      <c r="N191" s="249" t="n">
        <v>0</v>
      </c>
      <c r="O191" s="249" t="n">
        <v>0</v>
      </c>
      <c r="P191" s="249" t="n">
        <v>0</v>
      </c>
      <c r="Q191" s="249" t="n">
        <v>0</v>
      </c>
      <c r="R191" s="249" t="n">
        <v>0</v>
      </c>
      <c r="S191" s="249" t="n">
        <v>0</v>
      </c>
      <c r="T191" s="249" t="n">
        <v>0</v>
      </c>
      <c r="U191" s="249" t="n">
        <v>0</v>
      </c>
      <c r="V191" s="249" t="n">
        <v>0</v>
      </c>
      <c r="W191" s="249" t="n">
        <v>0</v>
      </c>
      <c r="X191" s="249" t="n">
        <v>0</v>
      </c>
      <c r="Y191" s="249" t="n">
        <v>0</v>
      </c>
      <c r="Z191" s="249" t="n">
        <v>0</v>
      </c>
      <c r="AA191" s="249" t="n">
        <v>0</v>
      </c>
      <c r="AB191" s="249" t="n">
        <v>0</v>
      </c>
      <c r="AC191" s="249" t="n">
        <v>0</v>
      </c>
      <c r="AD191" s="249" t="n">
        <v>0</v>
      </c>
      <c r="AE191" s="249" t="n">
        <v>0</v>
      </c>
      <c r="AF191" s="249" t="n">
        <v>0</v>
      </c>
      <c r="AG191" s="249" t="n">
        <v>0</v>
      </c>
      <c r="AH191" s="251"/>
    </row>
    <row r="192" customFormat="false" ht="16.5" hidden="true" customHeight="false" outlineLevel="0" collapsed="false">
      <c r="A192" s="252" t="s">
        <v>369</v>
      </c>
      <c r="B192" s="214" t="n">
        <f aca="false">VLOOKUP(A192,'TH theo khach hang'!$A$4:$C$309,2,FALSE())</f>
        <v>0</v>
      </c>
      <c r="C192" s="245" t="str">
        <f aca="false">IF(VLOOKUP(A192,'TH theo khach hang'!$A$4:$C$309,3,FALSE())=0, "", "x")</f>
        <v/>
      </c>
      <c r="D192" s="246" t="n">
        <f aca="false">F192-H192</f>
        <v>0</v>
      </c>
      <c r="E192" s="247" t="n">
        <f aca="false">G192-I192</f>
        <v>0</v>
      </c>
      <c r="F192" s="248" t="n">
        <f aca="false">VLOOKUP(A192,'TH theo khach hang'!$A$4:$G$309,4,FALSE())</f>
        <v>0</v>
      </c>
      <c r="G192" s="249" t="n">
        <f aca="false">VLOOKUP(A192,'TH theo khach hang'!$A$4:$G$309,5,FALSE())</f>
        <v>0</v>
      </c>
      <c r="H192" s="248" t="n">
        <f aca="false">J192+L192+N192+P192+R192+T192+V192+X192+Z192+AB192+AD192+AF192</f>
        <v>0</v>
      </c>
      <c r="I192" s="250" t="n">
        <f aca="false">K192+M192+O192+Q192+S192+U192+W192+Y192+AA192+AC192+AE192+AG192</f>
        <v>0</v>
      </c>
      <c r="J192" s="249" t="n">
        <v>0</v>
      </c>
      <c r="K192" s="249" t="n">
        <v>0</v>
      </c>
      <c r="L192" s="249" t="n">
        <v>0</v>
      </c>
      <c r="M192" s="249" t="n">
        <v>0</v>
      </c>
      <c r="N192" s="249" t="n">
        <v>0</v>
      </c>
      <c r="O192" s="249" t="n">
        <v>0</v>
      </c>
      <c r="P192" s="249" t="n">
        <v>0</v>
      </c>
      <c r="Q192" s="249" t="n">
        <v>0</v>
      </c>
      <c r="R192" s="249" t="n">
        <v>0</v>
      </c>
      <c r="S192" s="249" t="n">
        <v>0</v>
      </c>
      <c r="T192" s="249" t="n">
        <v>0</v>
      </c>
      <c r="U192" s="249" t="n">
        <v>0</v>
      </c>
      <c r="V192" s="249" t="n">
        <v>0</v>
      </c>
      <c r="W192" s="249" t="n">
        <v>0</v>
      </c>
      <c r="X192" s="249" t="n">
        <v>0</v>
      </c>
      <c r="Y192" s="249" t="n">
        <v>0</v>
      </c>
      <c r="Z192" s="249" t="n">
        <v>0</v>
      </c>
      <c r="AA192" s="249" t="n">
        <v>0</v>
      </c>
      <c r="AB192" s="249" t="n">
        <v>0</v>
      </c>
      <c r="AC192" s="249" t="n">
        <v>0</v>
      </c>
      <c r="AD192" s="249" t="n">
        <v>0</v>
      </c>
      <c r="AE192" s="249" t="n">
        <v>0</v>
      </c>
      <c r="AF192" s="249" t="n">
        <v>0</v>
      </c>
      <c r="AG192" s="249" t="n">
        <v>0</v>
      </c>
    </row>
    <row r="193" customFormat="false" ht="16.5" hidden="true" customHeight="false" outlineLevel="0" collapsed="false">
      <c r="A193" s="252" t="s">
        <v>370</v>
      </c>
      <c r="B193" s="214" t="n">
        <f aca="false">VLOOKUP(A193,'TH theo khach hang'!$A$4:$C$309,2,FALSE())</f>
        <v>0</v>
      </c>
      <c r="C193" s="245" t="str">
        <f aca="false">IF(VLOOKUP(A193,'TH theo khach hang'!$A$4:$C$309,3,FALSE())=0, "", "x")</f>
        <v/>
      </c>
      <c r="D193" s="246" t="n">
        <f aca="false">F193-H193</f>
        <v>0</v>
      </c>
      <c r="E193" s="247" t="n">
        <f aca="false">G193-I193</f>
        <v>0</v>
      </c>
      <c r="F193" s="248" t="n">
        <f aca="false">VLOOKUP(A193,'TH theo khach hang'!$A$4:$G$309,4,FALSE())</f>
        <v>0</v>
      </c>
      <c r="G193" s="249" t="n">
        <f aca="false">VLOOKUP(A193,'TH theo khach hang'!$A$4:$G$309,5,FALSE())</f>
        <v>0</v>
      </c>
      <c r="H193" s="248" t="n">
        <f aca="false">J193+L193+N193+P193+R193+T193+V193+X193+Z193+AB193+AD193+AF193</f>
        <v>0</v>
      </c>
      <c r="I193" s="250" t="n">
        <f aca="false">K193+M193+O193+Q193+S193+U193+W193+Y193+AA193+AC193+AE193+AG193</f>
        <v>0</v>
      </c>
      <c r="J193" s="249" t="n">
        <v>0</v>
      </c>
      <c r="K193" s="249" t="n">
        <v>0</v>
      </c>
      <c r="L193" s="249" t="n">
        <v>0</v>
      </c>
      <c r="M193" s="249" t="n">
        <v>0</v>
      </c>
      <c r="N193" s="249" t="n">
        <v>0</v>
      </c>
      <c r="O193" s="249" t="n">
        <v>0</v>
      </c>
      <c r="P193" s="249" t="n">
        <v>0</v>
      </c>
      <c r="Q193" s="249" t="n">
        <v>0</v>
      </c>
      <c r="R193" s="249" t="n">
        <v>0</v>
      </c>
      <c r="S193" s="249" t="n">
        <v>0</v>
      </c>
      <c r="T193" s="249" t="n">
        <v>0</v>
      </c>
      <c r="U193" s="249" t="n">
        <v>0</v>
      </c>
      <c r="V193" s="249" t="n">
        <v>0</v>
      </c>
      <c r="W193" s="249" t="n">
        <v>0</v>
      </c>
      <c r="X193" s="249" t="n">
        <v>0</v>
      </c>
      <c r="Y193" s="249" t="n">
        <v>0</v>
      </c>
      <c r="Z193" s="249" t="n">
        <v>0</v>
      </c>
      <c r="AA193" s="249" t="n">
        <v>0</v>
      </c>
      <c r="AB193" s="249" t="n">
        <v>0</v>
      </c>
      <c r="AC193" s="249" t="n">
        <v>0</v>
      </c>
      <c r="AD193" s="249" t="n">
        <v>0</v>
      </c>
      <c r="AE193" s="249" t="n">
        <v>0</v>
      </c>
      <c r="AF193" s="249" t="n">
        <v>0</v>
      </c>
      <c r="AG193" s="249" t="n">
        <v>0</v>
      </c>
    </row>
    <row r="194" customFormat="false" ht="16.5" hidden="true" customHeight="false" outlineLevel="0" collapsed="false">
      <c r="A194" s="252" t="s">
        <v>371</v>
      </c>
      <c r="B194" s="214" t="n">
        <f aca="false">VLOOKUP(A194,'TH theo khach hang'!$A$4:$C$309,2,FALSE())</f>
        <v>0</v>
      </c>
      <c r="C194" s="245" t="str">
        <f aca="false">IF(VLOOKUP(A194,'TH theo khach hang'!$A$4:$C$309,3,FALSE())=0, "", "x")</f>
        <v/>
      </c>
      <c r="D194" s="246" t="n">
        <f aca="false">F194-H194</f>
        <v>0</v>
      </c>
      <c r="E194" s="247" t="n">
        <f aca="false">G194-I194</f>
        <v>0</v>
      </c>
      <c r="F194" s="248" t="n">
        <f aca="false">VLOOKUP(A194,'TH theo khach hang'!$A$4:$G$309,4,FALSE())</f>
        <v>0</v>
      </c>
      <c r="G194" s="249" t="n">
        <f aca="false">VLOOKUP(A194,'TH theo khach hang'!$A$4:$G$309,5,FALSE())</f>
        <v>0</v>
      </c>
      <c r="H194" s="248" t="n">
        <f aca="false">J194+L194+N194+P194+R194+T194+V194+X194+Z194+AB194+AD194+AF194</f>
        <v>0</v>
      </c>
      <c r="I194" s="250" t="n">
        <f aca="false">K194+M194+O194+Q194+S194+U194+W194+Y194+AA194+AC194+AE194+AG194</f>
        <v>0</v>
      </c>
      <c r="J194" s="249" t="n">
        <v>0</v>
      </c>
      <c r="K194" s="249" t="n">
        <v>0</v>
      </c>
      <c r="L194" s="249" t="n">
        <v>0</v>
      </c>
      <c r="M194" s="249" t="n">
        <v>0</v>
      </c>
      <c r="N194" s="249" t="n">
        <v>0</v>
      </c>
      <c r="O194" s="249" t="n">
        <v>0</v>
      </c>
      <c r="P194" s="249" t="n">
        <v>0</v>
      </c>
      <c r="Q194" s="249" t="n">
        <v>0</v>
      </c>
      <c r="R194" s="249" t="n">
        <v>0</v>
      </c>
      <c r="S194" s="249" t="n">
        <v>0</v>
      </c>
      <c r="T194" s="249" t="n">
        <v>0</v>
      </c>
      <c r="U194" s="249" t="n">
        <v>0</v>
      </c>
      <c r="V194" s="249" t="n">
        <v>0</v>
      </c>
      <c r="W194" s="249" t="n">
        <v>0</v>
      </c>
      <c r="X194" s="249" t="n">
        <v>0</v>
      </c>
      <c r="Y194" s="249" t="n">
        <v>0</v>
      </c>
      <c r="Z194" s="249" t="n">
        <v>0</v>
      </c>
      <c r="AA194" s="249" t="n">
        <v>0</v>
      </c>
      <c r="AB194" s="249" t="n">
        <v>0</v>
      </c>
      <c r="AC194" s="249" t="n">
        <v>0</v>
      </c>
      <c r="AD194" s="249" t="n">
        <v>0</v>
      </c>
      <c r="AE194" s="249" t="n">
        <v>0</v>
      </c>
      <c r="AF194" s="249" t="n">
        <v>0</v>
      </c>
      <c r="AG194" s="249" t="n">
        <v>0</v>
      </c>
    </row>
    <row r="195" customFormat="false" ht="16.5" hidden="true" customHeight="false" outlineLevel="0" collapsed="false">
      <c r="A195" s="252" t="s">
        <v>372</v>
      </c>
      <c r="B195" s="214" t="n">
        <f aca="false">VLOOKUP(A195,'TH theo khach hang'!$A$4:$C$309,2,FALSE())</f>
        <v>0</v>
      </c>
      <c r="C195" s="245" t="str">
        <f aca="false">IF(VLOOKUP(A195,'TH theo khach hang'!$A$4:$C$309,3,FALSE())=0, "", "x")</f>
        <v/>
      </c>
      <c r="D195" s="246" t="n">
        <f aca="false">F195-H195</f>
        <v>0</v>
      </c>
      <c r="E195" s="247" t="n">
        <f aca="false">G195-I195</f>
        <v>0</v>
      </c>
      <c r="F195" s="248" t="n">
        <f aca="false">VLOOKUP(A195,'TH theo khach hang'!$A$4:$G$309,4,FALSE())</f>
        <v>0</v>
      </c>
      <c r="G195" s="249" t="n">
        <f aca="false">VLOOKUP(A195,'TH theo khach hang'!$A$4:$G$309,5,FALSE())</f>
        <v>0</v>
      </c>
      <c r="H195" s="248" t="n">
        <f aca="false">J195+L195+N195+P195+R195+T195+V195+X195+Z195+AB195+AD195+AF195</f>
        <v>0</v>
      </c>
      <c r="I195" s="250" t="n">
        <f aca="false">K195+M195+O195+Q195+S195+U195+W195+Y195+AA195+AC195+AE195+AG195</f>
        <v>0</v>
      </c>
      <c r="J195" s="249" t="n">
        <v>0</v>
      </c>
      <c r="K195" s="249" t="n">
        <v>0</v>
      </c>
      <c r="L195" s="249" t="n">
        <v>0</v>
      </c>
      <c r="M195" s="249" t="n">
        <v>0</v>
      </c>
      <c r="N195" s="249" t="n">
        <v>0</v>
      </c>
      <c r="O195" s="249" t="n">
        <v>0</v>
      </c>
      <c r="P195" s="249" t="n">
        <v>0</v>
      </c>
      <c r="Q195" s="249" t="n">
        <v>0</v>
      </c>
      <c r="R195" s="249" t="n">
        <v>0</v>
      </c>
      <c r="S195" s="249" t="n">
        <v>0</v>
      </c>
      <c r="T195" s="249" t="n">
        <v>0</v>
      </c>
      <c r="U195" s="249" t="n">
        <v>0</v>
      </c>
      <c r="V195" s="249" t="n">
        <v>0</v>
      </c>
      <c r="W195" s="249" t="n">
        <v>0</v>
      </c>
      <c r="X195" s="249" t="n">
        <v>0</v>
      </c>
      <c r="Y195" s="249" t="n">
        <v>0</v>
      </c>
      <c r="Z195" s="249" t="n">
        <v>0</v>
      </c>
      <c r="AA195" s="249" t="n">
        <v>0</v>
      </c>
      <c r="AB195" s="249" t="n">
        <v>0</v>
      </c>
      <c r="AC195" s="249" t="n">
        <v>0</v>
      </c>
      <c r="AD195" s="249" t="n">
        <v>0</v>
      </c>
      <c r="AE195" s="249" t="n">
        <v>0</v>
      </c>
      <c r="AF195" s="249" t="n">
        <v>0</v>
      </c>
      <c r="AG195" s="249" t="n">
        <v>0</v>
      </c>
    </row>
    <row r="196" customFormat="false" ht="16.5" hidden="true" customHeight="false" outlineLevel="0" collapsed="false">
      <c r="A196" s="252" t="s">
        <v>373</v>
      </c>
      <c r="B196" s="214" t="n">
        <f aca="false">VLOOKUP(A196,'TH theo khach hang'!$A$4:$C$309,2,FALSE())</f>
        <v>0</v>
      </c>
      <c r="C196" s="245" t="str">
        <f aca="false">IF(VLOOKUP(A196,'TH theo khach hang'!$A$4:$C$309,3,FALSE())=0, "", "x")</f>
        <v/>
      </c>
      <c r="D196" s="246" t="n">
        <f aca="false">F196-H196</f>
        <v>0</v>
      </c>
      <c r="E196" s="247" t="n">
        <f aca="false">G196-I196</f>
        <v>0</v>
      </c>
      <c r="F196" s="248" t="n">
        <f aca="false">VLOOKUP(A196,'TH theo khach hang'!$A$4:$G$309,4,FALSE())</f>
        <v>0</v>
      </c>
      <c r="G196" s="249" t="n">
        <f aca="false">VLOOKUP(A196,'TH theo khach hang'!$A$4:$G$309,5,FALSE())</f>
        <v>0</v>
      </c>
      <c r="H196" s="248" t="n">
        <f aca="false">J196+L196+N196+P196+R196+T196+V196+X196+Z196+AB196+AD196+AF196</f>
        <v>0</v>
      </c>
      <c r="I196" s="250" t="n">
        <f aca="false">K196+M196+O196+Q196+S196+U196+W196+Y196+AA196+AC196+AE196+AG196</f>
        <v>0</v>
      </c>
      <c r="J196" s="249" t="n">
        <v>0</v>
      </c>
      <c r="K196" s="249" t="n">
        <v>0</v>
      </c>
      <c r="L196" s="249" t="n">
        <v>0</v>
      </c>
      <c r="M196" s="249" t="n">
        <v>0</v>
      </c>
      <c r="N196" s="249" t="n">
        <v>0</v>
      </c>
      <c r="O196" s="249" t="n">
        <v>0</v>
      </c>
      <c r="P196" s="249" t="n">
        <v>0</v>
      </c>
      <c r="Q196" s="249" t="n">
        <v>0</v>
      </c>
      <c r="R196" s="249" t="n">
        <v>0</v>
      </c>
      <c r="S196" s="249" t="n">
        <v>0</v>
      </c>
      <c r="T196" s="249" t="n">
        <v>0</v>
      </c>
      <c r="U196" s="249" t="n">
        <v>0</v>
      </c>
      <c r="V196" s="249" t="n">
        <v>0</v>
      </c>
      <c r="W196" s="249" t="n">
        <v>0</v>
      </c>
      <c r="X196" s="249" t="n">
        <v>0</v>
      </c>
      <c r="Y196" s="249" t="n">
        <v>0</v>
      </c>
      <c r="Z196" s="249" t="n">
        <v>0</v>
      </c>
      <c r="AA196" s="249" t="n">
        <v>0</v>
      </c>
      <c r="AB196" s="249" t="n">
        <v>0</v>
      </c>
      <c r="AC196" s="249" t="n">
        <v>0</v>
      </c>
      <c r="AD196" s="249" t="n">
        <v>0</v>
      </c>
      <c r="AE196" s="249" t="n">
        <v>0</v>
      </c>
      <c r="AF196" s="249" t="n">
        <v>0</v>
      </c>
      <c r="AG196" s="249" t="n">
        <v>0</v>
      </c>
    </row>
    <row r="197" customFormat="false" ht="16.5" hidden="true" customHeight="false" outlineLevel="0" collapsed="false">
      <c r="A197" s="252" t="s">
        <v>374</v>
      </c>
      <c r="B197" s="214" t="n">
        <f aca="false">VLOOKUP(A197,'TH theo khach hang'!$A$4:$C$309,2,FALSE())</f>
        <v>0</v>
      </c>
      <c r="C197" s="245" t="str">
        <f aca="false">IF(VLOOKUP(A197,'TH theo khach hang'!$A$4:$C$309,3,FALSE())=0, "", "x")</f>
        <v/>
      </c>
      <c r="D197" s="246" t="n">
        <f aca="false">F197-H197</f>
        <v>0</v>
      </c>
      <c r="E197" s="247" t="n">
        <f aca="false">G197-I197</f>
        <v>0</v>
      </c>
      <c r="F197" s="248" t="n">
        <f aca="false">VLOOKUP(A197,'TH theo khach hang'!$A$4:$G$309,4,FALSE())</f>
        <v>0</v>
      </c>
      <c r="G197" s="249" t="n">
        <f aca="false">VLOOKUP(A197,'TH theo khach hang'!$A$4:$G$309,5,FALSE())</f>
        <v>0</v>
      </c>
      <c r="H197" s="248" t="n">
        <f aca="false">J197+L197+N197+P197+R197+T197+V197+X197+Z197+AB197+AD197+AF197</f>
        <v>0</v>
      </c>
      <c r="I197" s="250" t="n">
        <f aca="false">K197+M197+O197+Q197+S197+U197+W197+Y197+AA197+AC197+AE197+AG197</f>
        <v>0</v>
      </c>
      <c r="J197" s="249" t="n">
        <v>0</v>
      </c>
      <c r="K197" s="249" t="n">
        <v>0</v>
      </c>
      <c r="L197" s="249" t="n">
        <v>0</v>
      </c>
      <c r="M197" s="249" t="n">
        <v>0</v>
      </c>
      <c r="N197" s="249" t="n">
        <v>0</v>
      </c>
      <c r="O197" s="249" t="n">
        <v>0</v>
      </c>
      <c r="P197" s="249" t="n">
        <v>0</v>
      </c>
      <c r="Q197" s="249" t="n">
        <v>0</v>
      </c>
      <c r="R197" s="249" t="n">
        <v>0</v>
      </c>
      <c r="S197" s="249" t="n">
        <v>0</v>
      </c>
      <c r="T197" s="249" t="n">
        <v>0</v>
      </c>
      <c r="U197" s="249" t="n">
        <v>0</v>
      </c>
      <c r="V197" s="249" t="n">
        <v>0</v>
      </c>
      <c r="W197" s="249" t="n">
        <v>0</v>
      </c>
      <c r="X197" s="249" t="n">
        <v>0</v>
      </c>
      <c r="Y197" s="249" t="n">
        <v>0</v>
      </c>
      <c r="Z197" s="249" t="n">
        <v>0</v>
      </c>
      <c r="AA197" s="249" t="n">
        <v>0</v>
      </c>
      <c r="AB197" s="249" t="n">
        <v>0</v>
      </c>
      <c r="AC197" s="249" t="n">
        <v>0</v>
      </c>
      <c r="AD197" s="249" t="n">
        <v>0</v>
      </c>
      <c r="AE197" s="249" t="n">
        <v>0</v>
      </c>
      <c r="AF197" s="249" t="n">
        <v>0</v>
      </c>
      <c r="AG197" s="249" t="n">
        <v>0</v>
      </c>
      <c r="AH197" s="251"/>
    </row>
    <row r="198" customFormat="false" ht="16.5" hidden="true" customHeight="false" outlineLevel="0" collapsed="false">
      <c r="A198" s="252" t="s">
        <v>375</v>
      </c>
      <c r="B198" s="214" t="n">
        <f aca="false">VLOOKUP(A198,'TH theo khach hang'!$A$4:$C$309,2,FALSE())</f>
        <v>0</v>
      </c>
      <c r="C198" s="245" t="str">
        <f aca="false">IF(VLOOKUP(A198,'TH theo khach hang'!$A$4:$C$309,3,FALSE())=0, "", "x")</f>
        <v/>
      </c>
      <c r="D198" s="246" t="n">
        <f aca="false">F198-H198</f>
        <v>0</v>
      </c>
      <c r="E198" s="247" t="n">
        <f aca="false">G198-I198</f>
        <v>0</v>
      </c>
      <c r="F198" s="248" t="n">
        <f aca="false">VLOOKUP(A198,'TH theo khach hang'!$A$4:$G$309,4,FALSE())</f>
        <v>0</v>
      </c>
      <c r="G198" s="249" t="n">
        <f aca="false">VLOOKUP(A198,'TH theo khach hang'!$A$4:$G$309,5,FALSE())</f>
        <v>0</v>
      </c>
      <c r="H198" s="248" t="n">
        <f aca="false">J198+L198+N198+P198+R198+T198+V198+X198+Z198+AB198+AD198+AF198</f>
        <v>0</v>
      </c>
      <c r="I198" s="250" t="n">
        <f aca="false">K198+M198+O198+Q198+S198+U198+W198+Y198+AA198+AC198+AE198+AG198</f>
        <v>0</v>
      </c>
      <c r="J198" s="249" t="n">
        <v>0</v>
      </c>
      <c r="K198" s="249" t="n">
        <v>0</v>
      </c>
      <c r="L198" s="249" t="n">
        <v>0</v>
      </c>
      <c r="M198" s="249" t="n">
        <v>0</v>
      </c>
      <c r="N198" s="249" t="n">
        <v>0</v>
      </c>
      <c r="O198" s="249" t="n">
        <v>0</v>
      </c>
      <c r="P198" s="249" t="n">
        <v>0</v>
      </c>
      <c r="Q198" s="249" t="n">
        <v>0</v>
      </c>
      <c r="R198" s="249" t="n">
        <v>0</v>
      </c>
      <c r="S198" s="249" t="n">
        <v>0</v>
      </c>
      <c r="T198" s="249" t="n">
        <v>0</v>
      </c>
      <c r="U198" s="249" t="n">
        <v>0</v>
      </c>
      <c r="V198" s="249" t="n">
        <v>0</v>
      </c>
      <c r="W198" s="249" t="n">
        <v>0</v>
      </c>
      <c r="X198" s="249" t="n">
        <v>0</v>
      </c>
      <c r="Y198" s="249" t="n">
        <v>0</v>
      </c>
      <c r="Z198" s="249" t="n">
        <v>0</v>
      </c>
      <c r="AA198" s="249" t="n">
        <v>0</v>
      </c>
      <c r="AB198" s="249" t="n">
        <v>0</v>
      </c>
      <c r="AC198" s="249" t="n">
        <v>0</v>
      </c>
      <c r="AD198" s="249" t="n">
        <v>0</v>
      </c>
      <c r="AE198" s="249" t="n">
        <v>0</v>
      </c>
      <c r="AF198" s="249" t="n">
        <v>0</v>
      </c>
      <c r="AG198" s="249" t="n">
        <v>0</v>
      </c>
    </row>
    <row r="199" customFormat="false" ht="16.5" hidden="true" customHeight="false" outlineLevel="0" collapsed="false">
      <c r="A199" s="252" t="s">
        <v>376</v>
      </c>
      <c r="B199" s="214" t="n">
        <f aca="false">VLOOKUP(A199,'TH theo khach hang'!$A$4:$C$309,2,FALSE())</f>
        <v>0</v>
      </c>
      <c r="C199" s="245" t="str">
        <f aca="false">IF(VLOOKUP(A199,'TH theo khach hang'!$A$4:$C$309,3,FALSE())=0, "", "x")</f>
        <v/>
      </c>
      <c r="D199" s="246" t="n">
        <f aca="false">F199-H199</f>
        <v>0</v>
      </c>
      <c r="E199" s="247" t="n">
        <f aca="false">G199-I199</f>
        <v>0</v>
      </c>
      <c r="F199" s="248" t="n">
        <f aca="false">VLOOKUP(A199,'TH theo khach hang'!$A$4:$G$309,4,FALSE())</f>
        <v>0</v>
      </c>
      <c r="G199" s="249" t="n">
        <f aca="false">VLOOKUP(A199,'TH theo khach hang'!$A$4:$G$309,5,FALSE())</f>
        <v>0</v>
      </c>
      <c r="H199" s="248" t="n">
        <f aca="false">J199+L199+N199+P199+R199+T199+V199+X199+Z199+AB199+AD199+AF199</f>
        <v>0</v>
      </c>
      <c r="I199" s="250" t="n">
        <f aca="false">K199+M199+O199+Q199+S199+U199+W199+Y199+AA199+AC199+AE199+AG199</f>
        <v>0</v>
      </c>
      <c r="J199" s="249" t="n">
        <v>0</v>
      </c>
      <c r="K199" s="249" t="n">
        <v>0</v>
      </c>
      <c r="L199" s="249" t="n">
        <v>0</v>
      </c>
      <c r="M199" s="249" t="n">
        <v>0</v>
      </c>
      <c r="N199" s="249" t="n">
        <v>0</v>
      </c>
      <c r="O199" s="249" t="n">
        <v>0</v>
      </c>
      <c r="P199" s="249" t="n">
        <v>0</v>
      </c>
      <c r="Q199" s="249" t="n">
        <v>0</v>
      </c>
      <c r="R199" s="249" t="n">
        <v>0</v>
      </c>
      <c r="S199" s="249" t="n">
        <v>0</v>
      </c>
      <c r="T199" s="249" t="n">
        <v>0</v>
      </c>
      <c r="U199" s="249" t="n">
        <v>0</v>
      </c>
      <c r="V199" s="249" t="n">
        <v>0</v>
      </c>
      <c r="W199" s="249" t="n">
        <v>0</v>
      </c>
      <c r="X199" s="249" t="n">
        <v>0</v>
      </c>
      <c r="Y199" s="249" t="n">
        <v>0</v>
      </c>
      <c r="Z199" s="249" t="n">
        <v>0</v>
      </c>
      <c r="AA199" s="249" t="n">
        <v>0</v>
      </c>
      <c r="AB199" s="249" t="n">
        <v>0</v>
      </c>
      <c r="AC199" s="249" t="n">
        <v>0</v>
      </c>
      <c r="AD199" s="249" t="n">
        <v>0</v>
      </c>
      <c r="AE199" s="249" t="n">
        <v>0</v>
      </c>
      <c r="AF199" s="249" t="n">
        <v>0</v>
      </c>
      <c r="AG199" s="249" t="n">
        <v>0</v>
      </c>
    </row>
    <row r="200" customFormat="false" ht="16.5" hidden="true" customHeight="false" outlineLevel="0" collapsed="false">
      <c r="A200" s="252" t="s">
        <v>377</v>
      </c>
      <c r="B200" s="214" t="n">
        <f aca="false">VLOOKUP(A200,'TH theo khach hang'!$A$4:$C$309,2,FALSE())</f>
        <v>0</v>
      </c>
      <c r="C200" s="245" t="str">
        <f aca="false">IF(VLOOKUP(A200,'TH theo khach hang'!$A$4:$C$309,3,FALSE())=0, "", "x")</f>
        <v/>
      </c>
      <c r="D200" s="246" t="n">
        <f aca="false">F200-H200</f>
        <v>0</v>
      </c>
      <c r="E200" s="247" t="n">
        <f aca="false">G200-I200</f>
        <v>0</v>
      </c>
      <c r="F200" s="248" t="n">
        <f aca="false">VLOOKUP(A200,'TH theo khach hang'!$A$4:$G$309,4,FALSE())</f>
        <v>0</v>
      </c>
      <c r="G200" s="249" t="n">
        <f aca="false">VLOOKUP(A200,'TH theo khach hang'!$A$4:$G$309,5,FALSE())</f>
        <v>0</v>
      </c>
      <c r="H200" s="248" t="n">
        <f aca="false">J200+L200+N200+P200+R200+T200+V200+X200+Z200+AB200+AD200+AF200</f>
        <v>0</v>
      </c>
      <c r="I200" s="250" t="n">
        <f aca="false">K200+M200+O200+Q200+S200+U200+W200+Y200+AA200+AC200+AE200+AG200</f>
        <v>0</v>
      </c>
      <c r="J200" s="249" t="n">
        <v>0</v>
      </c>
      <c r="K200" s="249" t="n">
        <v>0</v>
      </c>
      <c r="L200" s="249" t="n">
        <v>0</v>
      </c>
      <c r="M200" s="249" t="n">
        <v>0</v>
      </c>
      <c r="N200" s="249" t="n">
        <v>0</v>
      </c>
      <c r="O200" s="249" t="n">
        <v>0</v>
      </c>
      <c r="P200" s="249" t="n">
        <v>0</v>
      </c>
      <c r="Q200" s="249" t="n">
        <v>0</v>
      </c>
      <c r="R200" s="249" t="n">
        <v>0</v>
      </c>
      <c r="S200" s="249" t="n">
        <v>0</v>
      </c>
      <c r="T200" s="249" t="n">
        <v>0</v>
      </c>
      <c r="U200" s="249" t="n">
        <v>0</v>
      </c>
      <c r="V200" s="249" t="n">
        <v>0</v>
      </c>
      <c r="W200" s="249" t="n">
        <v>0</v>
      </c>
      <c r="X200" s="249" t="n">
        <v>0</v>
      </c>
      <c r="Y200" s="249" t="n">
        <v>0</v>
      </c>
      <c r="Z200" s="249" t="n">
        <v>0</v>
      </c>
      <c r="AA200" s="249" t="n">
        <v>0</v>
      </c>
      <c r="AB200" s="249" t="n">
        <v>0</v>
      </c>
      <c r="AC200" s="249" t="n">
        <v>0</v>
      </c>
      <c r="AD200" s="249" t="n">
        <v>0</v>
      </c>
      <c r="AE200" s="249" t="n">
        <v>0</v>
      </c>
      <c r="AF200" s="249" t="n">
        <v>0</v>
      </c>
      <c r="AG200" s="249" t="n">
        <v>0</v>
      </c>
      <c r="AH200" s="251"/>
    </row>
    <row r="201" customFormat="false" ht="16.5" hidden="true" customHeight="false" outlineLevel="0" collapsed="false">
      <c r="A201" s="252" t="s">
        <v>378</v>
      </c>
      <c r="B201" s="214" t="n">
        <f aca="false">VLOOKUP(A201,'TH theo khach hang'!$A$4:$C$309,2,FALSE())</f>
        <v>0</v>
      </c>
      <c r="C201" s="245" t="str">
        <f aca="false">IF(VLOOKUP(A201,'TH theo khach hang'!$A$4:$C$309,3,FALSE())=0, "", "x")</f>
        <v/>
      </c>
      <c r="D201" s="246" t="n">
        <f aca="false">F201-H201</f>
        <v>0</v>
      </c>
      <c r="E201" s="247" t="n">
        <f aca="false">G201-I201</f>
        <v>0</v>
      </c>
      <c r="F201" s="248" t="n">
        <f aca="false">VLOOKUP(A201,'TH theo khach hang'!$A$4:$G$309,4,FALSE())</f>
        <v>0</v>
      </c>
      <c r="G201" s="249" t="n">
        <f aca="false">VLOOKUP(A201,'TH theo khach hang'!$A$4:$G$309,5,FALSE())</f>
        <v>0</v>
      </c>
      <c r="H201" s="248" t="n">
        <f aca="false">J201+L201+N201+P201+R201+T201+V201+X201+Z201+AB201+AD201+AF201</f>
        <v>0</v>
      </c>
      <c r="I201" s="250" t="n">
        <f aca="false">K201+M201+O201+Q201+S201+U201+W201+Y201+AA201+AC201+AE201+AG201</f>
        <v>0</v>
      </c>
      <c r="J201" s="249" t="n">
        <v>0</v>
      </c>
      <c r="K201" s="249" t="n">
        <v>0</v>
      </c>
      <c r="L201" s="249" t="n">
        <v>0</v>
      </c>
      <c r="M201" s="249" t="n">
        <v>0</v>
      </c>
      <c r="N201" s="249" t="n">
        <v>0</v>
      </c>
      <c r="O201" s="249" t="n">
        <v>0</v>
      </c>
      <c r="P201" s="249" t="n">
        <v>0</v>
      </c>
      <c r="Q201" s="249" t="n">
        <v>0</v>
      </c>
      <c r="R201" s="249" t="n">
        <v>0</v>
      </c>
      <c r="S201" s="249" t="n">
        <v>0</v>
      </c>
      <c r="T201" s="249" t="n">
        <v>0</v>
      </c>
      <c r="U201" s="249" t="n">
        <v>0</v>
      </c>
      <c r="V201" s="249" t="n">
        <v>0</v>
      </c>
      <c r="W201" s="249" t="n">
        <v>0</v>
      </c>
      <c r="X201" s="249" t="n">
        <v>0</v>
      </c>
      <c r="Y201" s="249" t="n">
        <v>0</v>
      </c>
      <c r="Z201" s="249" t="n">
        <v>0</v>
      </c>
      <c r="AA201" s="249" t="n">
        <v>0</v>
      </c>
      <c r="AB201" s="249" t="n">
        <v>0</v>
      </c>
      <c r="AC201" s="249" t="n">
        <v>0</v>
      </c>
      <c r="AD201" s="249" t="n">
        <v>0</v>
      </c>
      <c r="AE201" s="249" t="n">
        <v>0</v>
      </c>
      <c r="AF201" s="249" t="n">
        <v>0</v>
      </c>
      <c r="AG201" s="249" t="n">
        <v>0</v>
      </c>
    </row>
    <row r="202" customFormat="false" ht="16.5" hidden="true" customHeight="false" outlineLevel="0" collapsed="false">
      <c r="A202" s="252" t="s">
        <v>379</v>
      </c>
      <c r="B202" s="214" t="n">
        <f aca="false">VLOOKUP(A202,'TH theo khach hang'!$A$4:$C$309,2,FALSE())</f>
        <v>0</v>
      </c>
      <c r="C202" s="245" t="str">
        <f aca="false">IF(VLOOKUP(A202,'TH theo khach hang'!$A$4:$C$309,3,FALSE())=0, "", "x")</f>
        <v/>
      </c>
      <c r="D202" s="246" t="n">
        <f aca="false">F202-H202</f>
        <v>0</v>
      </c>
      <c r="E202" s="247" t="n">
        <f aca="false">G202-I202</f>
        <v>0</v>
      </c>
      <c r="F202" s="248" t="n">
        <f aca="false">VLOOKUP(A202,'TH theo khach hang'!$A$4:$G$309,4,FALSE())</f>
        <v>0</v>
      </c>
      <c r="G202" s="249" t="n">
        <f aca="false">VLOOKUP(A202,'TH theo khach hang'!$A$4:$G$309,5,FALSE())</f>
        <v>0</v>
      </c>
      <c r="H202" s="248" t="n">
        <f aca="false">J202+L202+N202+P202+R202+T202+V202+X202+Z202+AB202+AD202+AF202</f>
        <v>0</v>
      </c>
      <c r="I202" s="250" t="n">
        <f aca="false">K202+M202+O202+Q202+S202+U202+W202+Y202+AA202+AC202+AE202+AG202</f>
        <v>0</v>
      </c>
      <c r="J202" s="249" t="n">
        <v>0</v>
      </c>
      <c r="K202" s="249" t="n">
        <v>0</v>
      </c>
      <c r="L202" s="249" t="n">
        <v>0</v>
      </c>
      <c r="M202" s="249" t="n">
        <v>0</v>
      </c>
      <c r="N202" s="249" t="n">
        <v>0</v>
      </c>
      <c r="O202" s="249" t="n">
        <v>0</v>
      </c>
      <c r="P202" s="249" t="n">
        <v>0</v>
      </c>
      <c r="Q202" s="249" t="n">
        <v>0</v>
      </c>
      <c r="R202" s="249" t="n">
        <v>0</v>
      </c>
      <c r="S202" s="249" t="n">
        <v>0</v>
      </c>
      <c r="T202" s="249" t="n">
        <v>0</v>
      </c>
      <c r="U202" s="249" t="n">
        <v>0</v>
      </c>
      <c r="V202" s="249" t="n">
        <v>0</v>
      </c>
      <c r="W202" s="249" t="n">
        <v>0</v>
      </c>
      <c r="X202" s="249" t="n">
        <v>0</v>
      </c>
      <c r="Y202" s="249" t="n">
        <v>0</v>
      </c>
      <c r="Z202" s="249" t="n">
        <v>0</v>
      </c>
      <c r="AA202" s="249" t="n">
        <v>0</v>
      </c>
      <c r="AB202" s="249" t="n">
        <v>0</v>
      </c>
      <c r="AC202" s="249" t="n">
        <v>0</v>
      </c>
      <c r="AD202" s="249" t="n">
        <v>0</v>
      </c>
      <c r="AE202" s="249" t="n">
        <v>0</v>
      </c>
      <c r="AF202" s="249" t="n">
        <v>0</v>
      </c>
      <c r="AG202" s="249" t="n">
        <v>0</v>
      </c>
    </row>
    <row r="203" customFormat="false" ht="16.5" hidden="true" customHeight="false" outlineLevel="0" collapsed="false">
      <c r="A203" s="252" t="s">
        <v>380</v>
      </c>
      <c r="B203" s="214" t="n">
        <f aca="false">VLOOKUP(A203,'TH theo khach hang'!$A$4:$C$309,2,FALSE())</f>
        <v>0</v>
      </c>
      <c r="C203" s="245" t="str">
        <f aca="false">IF(VLOOKUP(A203,'TH theo khach hang'!$A$4:$C$309,3,FALSE())=0, "", "x")</f>
        <v/>
      </c>
      <c r="D203" s="246" t="n">
        <f aca="false">F203-H203</f>
        <v>0</v>
      </c>
      <c r="E203" s="247" t="n">
        <f aca="false">G203-I203</f>
        <v>0</v>
      </c>
      <c r="F203" s="248" t="n">
        <f aca="false">VLOOKUP(A203,'TH theo khach hang'!$A$4:$G$309,4,FALSE())</f>
        <v>0</v>
      </c>
      <c r="G203" s="249" t="n">
        <f aca="false">VLOOKUP(A203,'TH theo khach hang'!$A$4:$G$309,5,FALSE())</f>
        <v>0</v>
      </c>
      <c r="H203" s="248" t="n">
        <f aca="false">J203+L203+N203+P203+R203+T203+V203+X203+Z203+AB203+AD203+AF203</f>
        <v>0</v>
      </c>
      <c r="I203" s="250" t="n">
        <f aca="false">K203+M203+O203+Q203+S203+U203+W203+Y203+AA203+AC203+AE203+AG203</f>
        <v>0</v>
      </c>
      <c r="J203" s="249" t="n">
        <v>0</v>
      </c>
      <c r="K203" s="249" t="n">
        <v>0</v>
      </c>
      <c r="L203" s="249" t="n">
        <v>0</v>
      </c>
      <c r="M203" s="249" t="n">
        <v>0</v>
      </c>
      <c r="N203" s="249" t="n">
        <v>0</v>
      </c>
      <c r="O203" s="249" t="n">
        <v>0</v>
      </c>
      <c r="P203" s="249" t="n">
        <v>0</v>
      </c>
      <c r="Q203" s="249" t="n">
        <v>0</v>
      </c>
      <c r="R203" s="249" t="n">
        <v>0</v>
      </c>
      <c r="S203" s="249" t="n">
        <v>0</v>
      </c>
      <c r="T203" s="249" t="n">
        <v>0</v>
      </c>
      <c r="U203" s="249" t="n">
        <v>0</v>
      </c>
      <c r="V203" s="249" t="n">
        <v>0</v>
      </c>
      <c r="W203" s="249" t="n">
        <v>0</v>
      </c>
      <c r="X203" s="249" t="n">
        <v>0</v>
      </c>
      <c r="Y203" s="249" t="n">
        <v>0</v>
      </c>
      <c r="Z203" s="249" t="n">
        <v>0</v>
      </c>
      <c r="AA203" s="249" t="n">
        <v>0</v>
      </c>
      <c r="AB203" s="249" t="n">
        <v>0</v>
      </c>
      <c r="AC203" s="249" t="n">
        <v>0</v>
      </c>
      <c r="AD203" s="249" t="n">
        <v>0</v>
      </c>
      <c r="AE203" s="249" t="n">
        <v>0</v>
      </c>
      <c r="AF203" s="249" t="n">
        <v>0</v>
      </c>
      <c r="AG203" s="249" t="n">
        <v>0</v>
      </c>
      <c r="AH203" s="251"/>
    </row>
    <row r="204" customFormat="false" ht="16.5" hidden="true" customHeight="false" outlineLevel="0" collapsed="false">
      <c r="A204" s="252" t="s">
        <v>381</v>
      </c>
      <c r="B204" s="214" t="n">
        <f aca="false">VLOOKUP(A204,'TH theo khach hang'!$A$4:$C$309,2,FALSE())</f>
        <v>0</v>
      </c>
      <c r="C204" s="245" t="str">
        <f aca="false">IF(VLOOKUP(A204,'TH theo khach hang'!$A$4:$C$309,3,FALSE())=0, "", "x")</f>
        <v/>
      </c>
      <c r="D204" s="246" t="n">
        <f aca="false">F204-H204</f>
        <v>0</v>
      </c>
      <c r="E204" s="247" t="n">
        <f aca="false">G204-I204</f>
        <v>0</v>
      </c>
      <c r="F204" s="248" t="n">
        <f aca="false">VLOOKUP(A204,'TH theo khach hang'!$A$4:$G$309,4,FALSE())</f>
        <v>0</v>
      </c>
      <c r="G204" s="249" t="n">
        <f aca="false">VLOOKUP(A204,'TH theo khach hang'!$A$4:$G$309,5,FALSE())</f>
        <v>0</v>
      </c>
      <c r="H204" s="248" t="n">
        <f aca="false">J204+L204+N204+P204+R204+T204+V204+X204+Z204+AB204+AD204+AF204</f>
        <v>0</v>
      </c>
      <c r="I204" s="250" t="n">
        <f aca="false">K204+M204+O204+Q204+S204+U204+W204+Y204+AA204+AC204+AE204+AG204</f>
        <v>0</v>
      </c>
      <c r="J204" s="249" t="n">
        <v>0</v>
      </c>
      <c r="K204" s="249" t="n">
        <v>0</v>
      </c>
      <c r="L204" s="249" t="n">
        <v>0</v>
      </c>
      <c r="M204" s="249" t="n">
        <v>0</v>
      </c>
      <c r="N204" s="249" t="n">
        <v>0</v>
      </c>
      <c r="O204" s="249" t="n">
        <v>0</v>
      </c>
      <c r="P204" s="249" t="n">
        <v>0</v>
      </c>
      <c r="Q204" s="249" t="n">
        <v>0</v>
      </c>
      <c r="R204" s="249" t="n">
        <v>0</v>
      </c>
      <c r="S204" s="249" t="n">
        <v>0</v>
      </c>
      <c r="T204" s="249" t="n">
        <v>0</v>
      </c>
      <c r="U204" s="249" t="n">
        <v>0</v>
      </c>
      <c r="V204" s="249" t="n">
        <v>0</v>
      </c>
      <c r="W204" s="249" t="n">
        <v>0</v>
      </c>
      <c r="X204" s="249" t="n">
        <v>0</v>
      </c>
      <c r="Y204" s="249" t="n">
        <v>0</v>
      </c>
      <c r="Z204" s="249" t="n">
        <v>0</v>
      </c>
      <c r="AA204" s="249" t="n">
        <v>0</v>
      </c>
      <c r="AB204" s="249" t="n">
        <v>0</v>
      </c>
      <c r="AC204" s="249" t="n">
        <v>0</v>
      </c>
      <c r="AD204" s="249" t="n">
        <v>0</v>
      </c>
      <c r="AE204" s="249" t="n">
        <v>0</v>
      </c>
      <c r="AF204" s="249" t="n">
        <v>0</v>
      </c>
      <c r="AG204" s="249" t="n">
        <v>0</v>
      </c>
    </row>
    <row r="205" customFormat="false" ht="16.5" hidden="true" customHeight="false" outlineLevel="0" collapsed="false">
      <c r="A205" s="252" t="s">
        <v>382</v>
      </c>
      <c r="B205" s="214" t="n">
        <f aca="false">VLOOKUP(A205,'TH theo khach hang'!$A$4:$C$309,2,FALSE())</f>
        <v>0</v>
      </c>
      <c r="C205" s="245" t="str">
        <f aca="false">IF(VLOOKUP(A205,'TH theo khach hang'!$A$4:$C$309,3,FALSE())=0, "", "x")</f>
        <v/>
      </c>
      <c r="D205" s="246" t="n">
        <f aca="false">F205-H205</f>
        <v>0</v>
      </c>
      <c r="E205" s="247" t="n">
        <f aca="false">G205-I205</f>
        <v>0</v>
      </c>
      <c r="F205" s="248" t="n">
        <f aca="false">VLOOKUP(A205,'TH theo khach hang'!$A$4:$G$309,4,FALSE())</f>
        <v>0</v>
      </c>
      <c r="G205" s="249" t="n">
        <f aca="false">VLOOKUP(A205,'TH theo khach hang'!$A$4:$G$309,5,FALSE())</f>
        <v>0</v>
      </c>
      <c r="H205" s="248" t="n">
        <f aca="false">J205+L205+N205+P205+R205+T205+V205+X205+Z205+AB205+AD205+AF205</f>
        <v>0</v>
      </c>
      <c r="I205" s="250" t="n">
        <f aca="false">K205+M205+O205+Q205+S205+U205+W205+Y205+AA205+AC205+AE205+AG205</f>
        <v>0</v>
      </c>
      <c r="J205" s="249" t="n">
        <v>0</v>
      </c>
      <c r="K205" s="249" t="n">
        <v>0</v>
      </c>
      <c r="L205" s="249" t="n">
        <v>0</v>
      </c>
      <c r="M205" s="249" t="n">
        <v>0</v>
      </c>
      <c r="N205" s="249" t="n">
        <v>0</v>
      </c>
      <c r="O205" s="249" t="n">
        <v>0</v>
      </c>
      <c r="P205" s="249" t="n">
        <v>0</v>
      </c>
      <c r="Q205" s="249" t="n">
        <v>0</v>
      </c>
      <c r="R205" s="249" t="n">
        <v>0</v>
      </c>
      <c r="S205" s="249" t="n">
        <v>0</v>
      </c>
      <c r="T205" s="249" t="n">
        <v>0</v>
      </c>
      <c r="U205" s="249" t="n">
        <v>0</v>
      </c>
      <c r="V205" s="249" t="n">
        <v>0</v>
      </c>
      <c r="W205" s="249" t="n">
        <v>0</v>
      </c>
      <c r="X205" s="249" t="n">
        <v>0</v>
      </c>
      <c r="Y205" s="249" t="n">
        <v>0</v>
      </c>
      <c r="Z205" s="249" t="n">
        <v>0</v>
      </c>
      <c r="AA205" s="249" t="n">
        <v>0</v>
      </c>
      <c r="AB205" s="249" t="n">
        <v>0</v>
      </c>
      <c r="AC205" s="249" t="n">
        <v>0</v>
      </c>
      <c r="AD205" s="249" t="n">
        <v>0</v>
      </c>
      <c r="AE205" s="249" t="n">
        <v>0</v>
      </c>
      <c r="AF205" s="249" t="n">
        <v>0</v>
      </c>
      <c r="AG205" s="249" t="n">
        <v>0</v>
      </c>
    </row>
    <row r="206" customFormat="false" ht="16.5" hidden="true" customHeight="false" outlineLevel="0" collapsed="false">
      <c r="A206" s="252" t="s">
        <v>383</v>
      </c>
      <c r="B206" s="214" t="n">
        <f aca="false">VLOOKUP(A206,'TH theo khach hang'!$A$4:$C$309,2,FALSE())</f>
        <v>0</v>
      </c>
      <c r="C206" s="245" t="str">
        <f aca="false">IF(VLOOKUP(A206,'TH theo khach hang'!$A$4:$C$309,3,FALSE())=0, "", "x")</f>
        <v/>
      </c>
      <c r="D206" s="246" t="n">
        <f aca="false">F206-H206</f>
        <v>0</v>
      </c>
      <c r="E206" s="247" t="n">
        <f aca="false">G206-I206</f>
        <v>0</v>
      </c>
      <c r="F206" s="248" t="n">
        <f aca="false">VLOOKUP(A206,'TH theo khach hang'!$A$4:$G$309,4,FALSE())</f>
        <v>0</v>
      </c>
      <c r="G206" s="249" t="n">
        <f aca="false">VLOOKUP(A206,'TH theo khach hang'!$A$4:$G$309,5,FALSE())</f>
        <v>0</v>
      </c>
      <c r="H206" s="248" t="n">
        <f aca="false">J206+L206+N206+P206+R206+T206+V206+X206+Z206+AB206+AD206+AF206</f>
        <v>0</v>
      </c>
      <c r="I206" s="250" t="n">
        <f aca="false">K206+M206+O206+Q206+S206+U206+W206+Y206+AA206+AC206+AE206+AG206</f>
        <v>0</v>
      </c>
      <c r="J206" s="249" t="n">
        <v>0</v>
      </c>
      <c r="K206" s="249" t="n">
        <v>0</v>
      </c>
      <c r="L206" s="249" t="n">
        <v>0</v>
      </c>
      <c r="M206" s="249" t="n">
        <v>0</v>
      </c>
      <c r="N206" s="249" t="n">
        <v>0</v>
      </c>
      <c r="O206" s="249" t="n">
        <v>0</v>
      </c>
      <c r="P206" s="249" t="n">
        <v>0</v>
      </c>
      <c r="Q206" s="249" t="n">
        <v>0</v>
      </c>
      <c r="R206" s="249" t="n">
        <v>0</v>
      </c>
      <c r="S206" s="249" t="n">
        <v>0</v>
      </c>
      <c r="T206" s="249" t="n">
        <v>0</v>
      </c>
      <c r="U206" s="249" t="n">
        <v>0</v>
      </c>
      <c r="V206" s="249" t="n">
        <v>0</v>
      </c>
      <c r="W206" s="249" t="n">
        <v>0</v>
      </c>
      <c r="X206" s="249" t="n">
        <v>0</v>
      </c>
      <c r="Y206" s="249" t="n">
        <v>0</v>
      </c>
      <c r="Z206" s="249" t="n">
        <v>0</v>
      </c>
      <c r="AA206" s="249" t="n">
        <v>0</v>
      </c>
      <c r="AB206" s="249" t="n">
        <v>0</v>
      </c>
      <c r="AC206" s="249" t="n">
        <v>0</v>
      </c>
      <c r="AD206" s="249" t="n">
        <v>0</v>
      </c>
      <c r="AE206" s="249" t="n">
        <v>0</v>
      </c>
      <c r="AF206" s="249" t="n">
        <v>0</v>
      </c>
      <c r="AG206" s="249" t="n">
        <v>0</v>
      </c>
    </row>
    <row r="207" customFormat="false" ht="16.5" hidden="true" customHeight="false" outlineLevel="0" collapsed="false">
      <c r="A207" s="252" t="s">
        <v>384</v>
      </c>
      <c r="B207" s="214" t="n">
        <f aca="false">VLOOKUP(A207,'TH theo khach hang'!$A$4:$C$309,2,FALSE())</f>
        <v>0</v>
      </c>
      <c r="C207" s="245" t="str">
        <f aca="false">IF(VLOOKUP(A207,'TH theo khach hang'!$A$4:$C$309,3,FALSE())=0, "", "x")</f>
        <v/>
      </c>
      <c r="D207" s="246" t="n">
        <f aca="false">F207-H207</f>
        <v>0</v>
      </c>
      <c r="E207" s="247" t="n">
        <f aca="false">G207-I207</f>
        <v>0</v>
      </c>
      <c r="F207" s="248" t="n">
        <f aca="false">VLOOKUP(A207,'TH theo khach hang'!$A$4:$G$309,4,FALSE())</f>
        <v>0</v>
      </c>
      <c r="G207" s="249" t="n">
        <f aca="false">VLOOKUP(A207,'TH theo khach hang'!$A$4:$G$309,5,FALSE())</f>
        <v>0</v>
      </c>
      <c r="H207" s="248" t="n">
        <f aca="false">J207+L207+N207+P207+R207+T207+V207+X207+Z207+AB207+AD207+AF207</f>
        <v>0</v>
      </c>
      <c r="I207" s="250" t="n">
        <f aca="false">K207+M207+O207+Q207+S207+U207+W207+Y207+AA207+AC207+AE207+AG207</f>
        <v>0</v>
      </c>
      <c r="J207" s="249" t="n">
        <v>0</v>
      </c>
      <c r="K207" s="249" t="n">
        <v>0</v>
      </c>
      <c r="L207" s="249" t="n">
        <v>0</v>
      </c>
      <c r="M207" s="249" t="n">
        <v>0</v>
      </c>
      <c r="N207" s="249" t="n">
        <v>0</v>
      </c>
      <c r="O207" s="249" t="n">
        <v>0</v>
      </c>
      <c r="P207" s="249" t="n">
        <v>0</v>
      </c>
      <c r="Q207" s="249" t="n">
        <v>0</v>
      </c>
      <c r="R207" s="249" t="n">
        <v>0</v>
      </c>
      <c r="S207" s="249" t="n">
        <v>0</v>
      </c>
      <c r="T207" s="249" t="n">
        <v>0</v>
      </c>
      <c r="U207" s="249" t="n">
        <v>0</v>
      </c>
      <c r="V207" s="249" t="n">
        <v>0</v>
      </c>
      <c r="W207" s="249" t="n">
        <v>0</v>
      </c>
      <c r="X207" s="249" t="n">
        <v>0</v>
      </c>
      <c r="Y207" s="249" t="n">
        <v>0</v>
      </c>
      <c r="Z207" s="249" t="n">
        <v>0</v>
      </c>
      <c r="AA207" s="249" t="n">
        <v>0</v>
      </c>
      <c r="AB207" s="249" t="n">
        <v>0</v>
      </c>
      <c r="AC207" s="249" t="n">
        <v>0</v>
      </c>
      <c r="AD207" s="249" t="n">
        <v>0</v>
      </c>
      <c r="AE207" s="249" t="n">
        <v>0</v>
      </c>
      <c r="AF207" s="249" t="n">
        <v>0</v>
      </c>
      <c r="AG207" s="249" t="n">
        <v>0</v>
      </c>
    </row>
    <row r="208" customFormat="false" ht="16.5" hidden="false" customHeight="false" outlineLevel="0" collapsed="false">
      <c r="A208" s="240" t="s">
        <v>385</v>
      </c>
      <c r="B208" s="240"/>
      <c r="C208" s="241"/>
      <c r="D208" s="241"/>
      <c r="E208" s="241"/>
      <c r="F208" s="241"/>
      <c r="G208" s="241"/>
      <c r="H208" s="241"/>
      <c r="I208" s="243"/>
      <c r="J208" s="242" t="n">
        <f aca="false">SUM(J209:J308)</f>
        <v>0</v>
      </c>
      <c r="K208" s="242" t="n">
        <f aca="false">SUM(K209:K308)</f>
        <v>0</v>
      </c>
      <c r="L208" s="242" t="n">
        <f aca="false">SUM(L209:L308)</f>
        <v>0</v>
      </c>
      <c r="M208" s="242" t="n">
        <f aca="false">SUM(M209:M308)</f>
        <v>0</v>
      </c>
      <c r="N208" s="242" t="n">
        <f aca="false">SUM(N209:N308)</f>
        <v>0</v>
      </c>
      <c r="O208" s="242" t="n">
        <f aca="false">SUM(O209:O308)</f>
        <v>0</v>
      </c>
      <c r="P208" s="242" t="n">
        <f aca="false">SUM(P209:P308)</f>
        <v>0</v>
      </c>
      <c r="Q208" s="242" t="n">
        <f aca="false">SUM(Q209:Q308)</f>
        <v>0</v>
      </c>
      <c r="R208" s="242" t="n">
        <f aca="false">SUM(R209:R308)</f>
        <v>0</v>
      </c>
      <c r="S208" s="242" t="n">
        <f aca="false">SUM(S209:S308)</f>
        <v>0</v>
      </c>
      <c r="T208" s="242" t="n">
        <f aca="false">SUM(T209:T308)</f>
        <v>0</v>
      </c>
      <c r="U208" s="242" t="n">
        <f aca="false">SUM(U209:U308)</f>
        <v>0</v>
      </c>
      <c r="V208" s="242" t="n">
        <f aca="false">SUM(V209:V308)</f>
        <v>0</v>
      </c>
      <c r="W208" s="242" t="n">
        <f aca="false">SUM(W209:W308)</f>
        <v>0</v>
      </c>
      <c r="X208" s="242" t="n">
        <f aca="false">SUM(X209:X308)</f>
        <v>0</v>
      </c>
      <c r="Y208" s="242" t="n">
        <f aca="false">SUM(Y209:Y308)</f>
        <v>0</v>
      </c>
      <c r="Z208" s="242" t="n">
        <f aca="false">SUM(Z209:Z308)</f>
        <v>0</v>
      </c>
      <c r="AA208" s="242" t="n">
        <f aca="false">SUM(AA209:AA308)</f>
        <v>0</v>
      </c>
      <c r="AB208" s="242" t="n">
        <f aca="false">SUM(AB209:AB308)</f>
        <v>0</v>
      </c>
      <c r="AC208" s="242" t="n">
        <f aca="false">SUM(AC209:AC308)</f>
        <v>0</v>
      </c>
      <c r="AD208" s="242" t="n">
        <f aca="false">SUM(AD209:AD308)</f>
        <v>0</v>
      </c>
      <c r="AE208" s="242" t="n">
        <f aca="false">SUM(AE209:AE308)</f>
        <v>0</v>
      </c>
      <c r="AF208" s="242" t="n">
        <f aca="false">SUM(AF209:AF308)</f>
        <v>0</v>
      </c>
      <c r="AG208" s="242" t="n">
        <f aca="false">SUM(AG209:AG308)</f>
        <v>0</v>
      </c>
    </row>
    <row r="209" customFormat="false" ht="16.5" hidden="false" customHeight="false" outlineLevel="0" collapsed="false">
      <c r="A209" s="252" t="s">
        <v>386</v>
      </c>
      <c r="B209" s="214" t="n">
        <f aca="false">VLOOKUP(A209,'TH theo khach hang'!$A$4:$C$309,2,FALSE())</f>
        <v>0</v>
      </c>
      <c r="C209" s="245" t="str">
        <f aca="false">IF(VLOOKUP(A209,'TH theo khach hang'!$A$4:$C$309,3,FALSE())=0, "", "x")</f>
        <v/>
      </c>
      <c r="D209" s="246" t="n">
        <f aca="false">F209-H209</f>
        <v>0</v>
      </c>
      <c r="E209" s="247" t="n">
        <f aca="false">G209-I209</f>
        <v>0</v>
      </c>
      <c r="F209" s="248" t="n">
        <f aca="false">VLOOKUP(A209,'TH theo khach hang'!$A$4:$G$309,4,FALSE())</f>
        <v>0</v>
      </c>
      <c r="G209" s="249" t="n">
        <f aca="false">VLOOKUP(A209,'TH theo khach hang'!$A$4:$G$309,5,FALSE())</f>
        <v>0</v>
      </c>
      <c r="H209" s="248" t="n">
        <f aca="false">J209+L209+N209+P209+R209+T209+V209+X209+Z209+AB209+AD209+AF209</f>
        <v>0</v>
      </c>
      <c r="I209" s="250" t="n">
        <f aca="false">K209+M209+O209+Q209+S209+U209+W209+Y209+AA209+AC209+AE209+AG209</f>
        <v>0</v>
      </c>
      <c r="J209" s="249"/>
      <c r="K209" s="249"/>
      <c r="L209" s="249"/>
      <c r="M209" s="249"/>
      <c r="N209" s="249"/>
      <c r="O209" s="249"/>
      <c r="P209" s="249"/>
      <c r="Q209" s="249"/>
      <c r="R209" s="249"/>
      <c r="S209" s="249"/>
      <c r="T209" s="249"/>
      <c r="U209" s="249"/>
      <c r="V209" s="249"/>
      <c r="W209" s="249"/>
      <c r="X209" s="249"/>
      <c r="Y209" s="249"/>
      <c r="Z209" s="249"/>
      <c r="AA209" s="249"/>
      <c r="AB209" s="249"/>
      <c r="AC209" s="249"/>
      <c r="AD209" s="249"/>
      <c r="AE209" s="249"/>
      <c r="AF209" s="249"/>
      <c r="AG209" s="249"/>
      <c r="AH209" s="251"/>
    </row>
    <row r="210" customFormat="false" ht="16.5" hidden="false" customHeight="false" outlineLevel="0" collapsed="false">
      <c r="A210" s="252" t="s">
        <v>387</v>
      </c>
      <c r="B210" s="214" t="n">
        <f aca="false">VLOOKUP(A210,'TH theo khach hang'!$A$4:$C$309,2,FALSE())</f>
        <v>0</v>
      </c>
      <c r="C210" s="245" t="str">
        <f aca="false">IF(VLOOKUP(A210,'TH theo khach hang'!$A$4:$C$309,3,FALSE())=0, "", "x")</f>
        <v/>
      </c>
      <c r="D210" s="246" t="n">
        <f aca="false">F210-H210</f>
        <v>0</v>
      </c>
      <c r="E210" s="247" t="n">
        <f aca="false">G210-I210</f>
        <v>0</v>
      </c>
      <c r="F210" s="248" t="n">
        <f aca="false">VLOOKUP(A210,'TH theo khach hang'!$A$4:$G$309,4,FALSE())</f>
        <v>0</v>
      </c>
      <c r="G210" s="249" t="n">
        <f aca="false">VLOOKUP(A210,'TH theo khach hang'!$A$4:$G$309,5,FALSE())</f>
        <v>0</v>
      </c>
      <c r="H210" s="248" t="n">
        <f aca="false">J210+L210+N210+P210+R210+T210+V210+X210+Z210+AB210+AD210+AF210</f>
        <v>0</v>
      </c>
      <c r="I210" s="250" t="n">
        <f aca="false">K210+M210+O210+Q210+S210+U210+W210+Y210+AA210+AC210+AE210+AG210</f>
        <v>0</v>
      </c>
      <c r="J210" s="249"/>
      <c r="K210" s="249"/>
      <c r="L210" s="249"/>
      <c r="M210" s="249"/>
      <c r="N210" s="249"/>
      <c r="O210" s="249"/>
      <c r="P210" s="249"/>
      <c r="Q210" s="249"/>
      <c r="R210" s="249"/>
      <c r="S210" s="249"/>
      <c r="T210" s="249"/>
      <c r="U210" s="249"/>
      <c r="V210" s="249"/>
      <c r="W210" s="249"/>
      <c r="X210" s="249"/>
      <c r="Y210" s="249"/>
      <c r="Z210" s="249"/>
      <c r="AA210" s="249"/>
      <c r="AB210" s="249"/>
      <c r="AC210" s="249"/>
      <c r="AD210" s="249"/>
      <c r="AE210" s="249"/>
      <c r="AF210" s="249"/>
      <c r="AG210" s="249"/>
      <c r="AH210" s="251"/>
    </row>
    <row r="211" customFormat="false" ht="16.5" hidden="false" customHeight="false" outlineLevel="0" collapsed="false">
      <c r="A211" s="252" t="s">
        <v>388</v>
      </c>
      <c r="B211" s="214" t="n">
        <f aca="false">VLOOKUP(A211,'TH theo khach hang'!$A$4:$C$309,2,FALSE())</f>
        <v>0</v>
      </c>
      <c r="C211" s="245" t="str">
        <f aca="false">IF(VLOOKUP(A211,'TH theo khach hang'!$A$4:$C$309,3,FALSE())=0, "", "x")</f>
        <v/>
      </c>
      <c r="D211" s="246" t="n">
        <f aca="false">F211-H211</f>
        <v>0</v>
      </c>
      <c r="E211" s="247" t="n">
        <f aca="false">G211-I211</f>
        <v>0</v>
      </c>
      <c r="F211" s="248" t="n">
        <f aca="false">VLOOKUP(A211,'TH theo khach hang'!$A$4:$G$309,4,FALSE())</f>
        <v>0</v>
      </c>
      <c r="G211" s="249" t="n">
        <f aca="false">VLOOKUP(A211,'TH theo khach hang'!$A$4:$G$309,5,FALSE())</f>
        <v>0</v>
      </c>
      <c r="H211" s="248" t="n">
        <f aca="false">J211+L211+N211+P211+R211+T211+V211+X211+Z211+AB211+AD211+AF211</f>
        <v>0</v>
      </c>
      <c r="I211" s="250" t="n">
        <f aca="false">K211+M211+O211+Q211+S211+U211+W211+Y211+AA211+AC211+AE211+AG211</f>
        <v>0</v>
      </c>
      <c r="J211" s="249"/>
      <c r="K211" s="249"/>
      <c r="L211" s="249"/>
      <c r="M211" s="249"/>
      <c r="N211" s="249"/>
      <c r="O211" s="249"/>
      <c r="P211" s="249"/>
      <c r="Q211" s="249"/>
      <c r="R211" s="249"/>
      <c r="S211" s="249"/>
      <c r="T211" s="249"/>
      <c r="U211" s="249"/>
      <c r="V211" s="249"/>
      <c r="W211" s="249"/>
      <c r="X211" s="249"/>
      <c r="Y211" s="249"/>
      <c r="Z211" s="249"/>
      <c r="AA211" s="249"/>
      <c r="AB211" s="249"/>
      <c r="AC211" s="249"/>
      <c r="AD211" s="249"/>
      <c r="AE211" s="249"/>
      <c r="AF211" s="249"/>
      <c r="AG211" s="249"/>
      <c r="AH211" s="251"/>
    </row>
    <row r="212" customFormat="false" ht="18.75" hidden="false" customHeight="true" outlineLevel="0" collapsed="false">
      <c r="A212" s="252" t="s">
        <v>389</v>
      </c>
      <c r="B212" s="214" t="n">
        <f aca="false">VLOOKUP(A212,'TH theo khach hang'!$A$4:$C$309,2,FALSE())</f>
        <v>0</v>
      </c>
      <c r="C212" s="245" t="str">
        <f aca="false">IF(VLOOKUP(A212,'TH theo khach hang'!$A$4:$C$309,3,FALSE())=0, "", "x")</f>
        <v/>
      </c>
      <c r="D212" s="246" t="n">
        <f aca="false">F212-H212</f>
        <v>0</v>
      </c>
      <c r="E212" s="247" t="n">
        <f aca="false">G212-I212</f>
        <v>0</v>
      </c>
      <c r="F212" s="248" t="n">
        <f aca="false">VLOOKUP(A212,'TH theo khach hang'!$A$4:$G$309,4,FALSE())</f>
        <v>0</v>
      </c>
      <c r="G212" s="249" t="n">
        <f aca="false">VLOOKUP(A212,'TH theo khach hang'!$A$4:$G$309,5,FALSE())</f>
        <v>0</v>
      </c>
      <c r="H212" s="248" t="n">
        <f aca="false">J212+L212+N212+P212+R212+T212+V212+X212+Z212+AB212+AD212+AF212</f>
        <v>0</v>
      </c>
      <c r="I212" s="250" t="n">
        <f aca="false">K212+M212+O212+Q212+S212+U212+W212+Y212+AA212+AC212+AE212+AG212</f>
        <v>0</v>
      </c>
      <c r="J212" s="249"/>
      <c r="K212" s="249"/>
      <c r="L212" s="249"/>
      <c r="M212" s="249"/>
      <c r="N212" s="249"/>
      <c r="O212" s="249"/>
      <c r="P212" s="249"/>
      <c r="Q212" s="249"/>
      <c r="R212" s="249"/>
      <c r="S212" s="249"/>
      <c r="T212" s="249"/>
      <c r="U212" s="249"/>
      <c r="V212" s="249"/>
      <c r="W212" s="249"/>
      <c r="X212" s="249"/>
      <c r="Y212" s="249"/>
      <c r="Z212" s="249"/>
      <c r="AA212" s="249"/>
      <c r="AB212" s="249"/>
      <c r="AC212" s="249"/>
      <c r="AD212" s="249"/>
      <c r="AE212" s="249"/>
      <c r="AF212" s="249"/>
      <c r="AG212" s="249"/>
      <c r="AH212" s="251"/>
    </row>
    <row r="213" customFormat="false" ht="17.25" hidden="false" customHeight="true" outlineLevel="0" collapsed="false">
      <c r="A213" s="252" t="s">
        <v>390</v>
      </c>
      <c r="B213" s="214" t="n">
        <f aca="false">VLOOKUP(A213,'TH theo khach hang'!$A$4:$C$309,2,FALSE())</f>
        <v>0</v>
      </c>
      <c r="C213" s="245" t="str">
        <f aca="false">IF(VLOOKUP(A213,'TH theo khach hang'!$A$4:$C$309,3,FALSE())=0, "", "x")</f>
        <v/>
      </c>
      <c r="D213" s="246" t="n">
        <f aca="false">F213-H213</f>
        <v>0</v>
      </c>
      <c r="E213" s="247" t="n">
        <f aca="false">G213-I213</f>
        <v>0</v>
      </c>
      <c r="F213" s="248" t="n">
        <f aca="false">VLOOKUP(A213,'TH theo khach hang'!$A$4:$G$309,4,FALSE())</f>
        <v>0</v>
      </c>
      <c r="G213" s="249" t="n">
        <f aca="false">VLOOKUP(A213,'TH theo khach hang'!$A$4:$G$309,5,FALSE())</f>
        <v>0</v>
      </c>
      <c r="H213" s="248" t="n">
        <f aca="false">J213+L213+N213+P213+R213+T213+V213+X213+Z213+AB213+AD213+AF213</f>
        <v>0</v>
      </c>
      <c r="I213" s="250" t="n">
        <f aca="false">K213+M213+O213+Q213+S213+U213+W213+Y213+AA213+AC213+AE213+AG213</f>
        <v>0</v>
      </c>
      <c r="J213" s="249"/>
      <c r="K213" s="249"/>
      <c r="L213" s="249"/>
      <c r="M213" s="249"/>
      <c r="N213" s="249"/>
      <c r="O213" s="249"/>
      <c r="P213" s="249"/>
      <c r="Q213" s="249"/>
      <c r="R213" s="249"/>
      <c r="S213" s="249"/>
      <c r="T213" s="249"/>
      <c r="U213" s="249"/>
      <c r="V213" s="249"/>
      <c r="W213" s="249"/>
      <c r="X213" s="249"/>
      <c r="Y213" s="249"/>
      <c r="Z213" s="249"/>
      <c r="AA213" s="249"/>
      <c r="AB213" s="249"/>
      <c r="AC213" s="249"/>
      <c r="AD213" s="249"/>
      <c r="AE213" s="249"/>
      <c r="AF213" s="249"/>
      <c r="AG213" s="249"/>
    </row>
    <row r="214" customFormat="false" ht="16.5" hidden="false" customHeight="false" outlineLevel="0" collapsed="false">
      <c r="A214" s="252" t="s">
        <v>391</v>
      </c>
      <c r="B214" s="214" t="n">
        <f aca="false">VLOOKUP(A214,'TH theo khach hang'!$A$4:$C$309,2,FALSE())</f>
        <v>0</v>
      </c>
      <c r="C214" s="245" t="str">
        <f aca="false">IF(VLOOKUP(A214,'TH theo khach hang'!$A$4:$C$309,3,FALSE())=0, "", "x")</f>
        <v/>
      </c>
      <c r="D214" s="246" t="n">
        <f aca="false">F214-H214</f>
        <v>0</v>
      </c>
      <c r="E214" s="247" t="n">
        <f aca="false">G214-I214</f>
        <v>0</v>
      </c>
      <c r="F214" s="248" t="n">
        <f aca="false">VLOOKUP(A214,'TH theo khach hang'!$A$4:$G$309,4,FALSE())</f>
        <v>0</v>
      </c>
      <c r="G214" s="249" t="n">
        <f aca="false">VLOOKUP(A214,'TH theo khach hang'!$A$4:$G$309,5,FALSE())</f>
        <v>0</v>
      </c>
      <c r="H214" s="248" t="n">
        <f aca="false">J214+L214+N214+P214+R214+T214+V214+X214+Z214+AB214+AD214+AF214</f>
        <v>0</v>
      </c>
      <c r="I214" s="250" t="n">
        <f aca="false">K214+M214+O214+Q214+S214+U214+W214+Y214+AA214+AC214+AE214+AG214</f>
        <v>0</v>
      </c>
      <c r="J214" s="249"/>
      <c r="K214" s="249"/>
      <c r="L214" s="249"/>
      <c r="M214" s="249"/>
      <c r="N214" s="249"/>
      <c r="O214" s="249"/>
      <c r="P214" s="249"/>
      <c r="Q214" s="249"/>
      <c r="R214" s="249"/>
      <c r="S214" s="249"/>
      <c r="T214" s="249"/>
      <c r="U214" s="249"/>
      <c r="V214" s="249"/>
      <c r="W214" s="249"/>
      <c r="X214" s="249"/>
      <c r="Y214" s="249"/>
      <c r="Z214" s="249"/>
      <c r="AA214" s="249"/>
      <c r="AB214" s="249"/>
      <c r="AC214" s="249"/>
      <c r="AD214" s="249"/>
      <c r="AE214" s="249"/>
      <c r="AF214" s="249"/>
      <c r="AG214" s="249"/>
    </row>
    <row r="215" customFormat="false" ht="16.5" hidden="false" customHeight="false" outlineLevel="0" collapsed="false">
      <c r="A215" s="252" t="s">
        <v>392</v>
      </c>
      <c r="B215" s="214" t="n">
        <f aca="false">VLOOKUP(A215,'TH theo khach hang'!$A$4:$C$309,2,FALSE())</f>
        <v>0</v>
      </c>
      <c r="C215" s="245" t="str">
        <f aca="false">IF(VLOOKUP(A215,'TH theo khach hang'!$A$4:$C$309,3,FALSE())=0, "", "x")</f>
        <v/>
      </c>
      <c r="D215" s="246" t="n">
        <f aca="false">F215-H215</f>
        <v>0</v>
      </c>
      <c r="E215" s="247" t="n">
        <f aca="false">G215-I215</f>
        <v>0</v>
      </c>
      <c r="F215" s="248" t="n">
        <f aca="false">VLOOKUP(A215,'TH theo khach hang'!$A$4:$G$309,4,FALSE())</f>
        <v>0</v>
      </c>
      <c r="G215" s="249" t="n">
        <f aca="false">VLOOKUP(A215,'TH theo khach hang'!$A$4:$G$309,5,FALSE())</f>
        <v>0</v>
      </c>
      <c r="H215" s="248" t="n">
        <f aca="false">J215+L215+N215+P215+R215+T215+V215+X215+Z215+AB215+AD215+AF215</f>
        <v>0</v>
      </c>
      <c r="I215" s="250" t="n">
        <f aca="false">K215+M215+O215+Q215+S215+U215+W215+Y215+AA215+AC215+AE215+AG215</f>
        <v>0</v>
      </c>
      <c r="J215" s="249"/>
      <c r="K215" s="249"/>
      <c r="L215" s="249"/>
      <c r="M215" s="249"/>
      <c r="N215" s="249"/>
      <c r="O215" s="249"/>
      <c r="P215" s="249"/>
      <c r="Q215" s="249"/>
      <c r="R215" s="249"/>
      <c r="S215" s="249"/>
      <c r="T215" s="249"/>
      <c r="U215" s="249"/>
      <c r="V215" s="249"/>
      <c r="W215" s="249"/>
      <c r="X215" s="249"/>
      <c r="Y215" s="249"/>
      <c r="Z215" s="249"/>
      <c r="AA215" s="249"/>
      <c r="AB215" s="249"/>
      <c r="AC215" s="249"/>
      <c r="AD215" s="249"/>
      <c r="AE215" s="249"/>
      <c r="AF215" s="249"/>
      <c r="AG215" s="249"/>
      <c r="AH215" s="251"/>
    </row>
    <row r="216" customFormat="false" ht="16.5" hidden="false" customHeight="false" outlineLevel="0" collapsed="false">
      <c r="A216" s="252" t="s">
        <v>393</v>
      </c>
      <c r="B216" s="214" t="n">
        <f aca="false">VLOOKUP(A216,'TH theo khach hang'!$A$4:$C$309,2,FALSE())</f>
        <v>0</v>
      </c>
      <c r="C216" s="245" t="str">
        <f aca="false">IF(VLOOKUP(A216,'TH theo khach hang'!$A$4:$C$309,3,FALSE())=0, "", "x")</f>
        <v/>
      </c>
      <c r="D216" s="246" t="n">
        <f aca="false">F216-H216</f>
        <v>0</v>
      </c>
      <c r="E216" s="247" t="n">
        <f aca="false">G216-I216</f>
        <v>0</v>
      </c>
      <c r="F216" s="248" t="n">
        <f aca="false">VLOOKUP(A216,'TH theo khach hang'!$A$4:$G$309,4,FALSE())</f>
        <v>0</v>
      </c>
      <c r="G216" s="249" t="n">
        <f aca="false">VLOOKUP(A216,'TH theo khach hang'!$A$4:$G$309,5,FALSE())</f>
        <v>0</v>
      </c>
      <c r="H216" s="248" t="n">
        <f aca="false">J216+L216+N216+P216+R216+T216+V216+X216+Z216+AB216+AD216+AF216</f>
        <v>0</v>
      </c>
      <c r="I216" s="250" t="n">
        <f aca="false">K216+M216+O216+Q216+S216+U216+W216+Y216+AA216+AC216+AE216+AG216</f>
        <v>0</v>
      </c>
      <c r="J216" s="249"/>
      <c r="K216" s="249"/>
      <c r="L216" s="249"/>
      <c r="M216" s="249"/>
      <c r="N216" s="249"/>
      <c r="O216" s="249"/>
      <c r="P216" s="249"/>
      <c r="Q216" s="249"/>
      <c r="R216" s="249"/>
      <c r="S216" s="249"/>
      <c r="T216" s="249"/>
      <c r="U216" s="249"/>
      <c r="V216" s="249"/>
      <c r="W216" s="249"/>
      <c r="X216" s="249"/>
      <c r="Y216" s="249"/>
      <c r="Z216" s="249"/>
      <c r="AA216" s="249"/>
      <c r="AB216" s="249"/>
      <c r="AC216" s="249"/>
      <c r="AD216" s="249"/>
      <c r="AE216" s="249"/>
      <c r="AF216" s="249"/>
      <c r="AG216" s="249"/>
    </row>
    <row r="217" customFormat="false" ht="16.5" hidden="false" customHeight="false" outlineLevel="0" collapsed="false">
      <c r="A217" s="252" t="s">
        <v>394</v>
      </c>
      <c r="B217" s="214" t="n">
        <f aca="false">VLOOKUP(A217,'TH theo khach hang'!$A$4:$C$309,2,FALSE())</f>
        <v>0</v>
      </c>
      <c r="C217" s="245" t="str">
        <f aca="false">IF(VLOOKUP(A217,'TH theo khach hang'!$A$4:$C$309,3,FALSE())=0, "", "x")</f>
        <v/>
      </c>
      <c r="D217" s="246" t="n">
        <f aca="false">F217-H217</f>
        <v>0</v>
      </c>
      <c r="E217" s="247" t="n">
        <f aca="false">G217-I217</f>
        <v>0</v>
      </c>
      <c r="F217" s="248" t="n">
        <f aca="false">VLOOKUP(A217,'TH theo khach hang'!$A$4:$G$309,4,FALSE())</f>
        <v>0</v>
      </c>
      <c r="G217" s="249" t="n">
        <f aca="false">VLOOKUP(A217,'TH theo khach hang'!$A$4:$G$309,5,FALSE())</f>
        <v>0</v>
      </c>
      <c r="H217" s="248" t="n">
        <f aca="false">J217+L217+N217+P217+R217+T217+V217+X217+Z217+AB217+AD217+AF217</f>
        <v>0</v>
      </c>
      <c r="I217" s="250" t="n">
        <f aca="false">K217+M217+O217+Q217+S217+U217+W217+Y217+AA217+AC217+AE217+AG217</f>
        <v>0</v>
      </c>
      <c r="J217" s="249"/>
      <c r="K217" s="249"/>
      <c r="L217" s="249"/>
      <c r="M217" s="249"/>
      <c r="N217" s="249"/>
      <c r="O217" s="249"/>
      <c r="P217" s="249"/>
      <c r="Q217" s="249"/>
      <c r="R217" s="249"/>
      <c r="S217" s="249"/>
      <c r="T217" s="249"/>
      <c r="U217" s="249"/>
      <c r="V217" s="249"/>
      <c r="W217" s="249"/>
      <c r="X217" s="249"/>
      <c r="Y217" s="249"/>
      <c r="Z217" s="249"/>
      <c r="AA217" s="249"/>
      <c r="AB217" s="249"/>
      <c r="AC217" s="249"/>
      <c r="AD217" s="249"/>
      <c r="AE217" s="249"/>
      <c r="AF217" s="249"/>
      <c r="AG217" s="249"/>
    </row>
    <row r="218" customFormat="false" ht="16.5" hidden="false" customHeight="true" outlineLevel="0" collapsed="false">
      <c r="A218" s="252" t="s">
        <v>395</v>
      </c>
      <c r="B218" s="214" t="n">
        <f aca="false">VLOOKUP(A218,'TH theo khach hang'!$A$4:$C$309,2,FALSE())</f>
        <v>0</v>
      </c>
      <c r="C218" s="245" t="str">
        <f aca="false">IF(VLOOKUP(A218,'TH theo khach hang'!$A$4:$C$309,3,FALSE())=0, "", "x")</f>
        <v/>
      </c>
      <c r="D218" s="246" t="n">
        <f aca="false">F218-H218</f>
        <v>0</v>
      </c>
      <c r="E218" s="247" t="n">
        <f aca="false">G218-I218</f>
        <v>0</v>
      </c>
      <c r="F218" s="248" t="n">
        <f aca="false">VLOOKUP(A218,'TH theo khach hang'!$A$4:$G$309,4,FALSE())</f>
        <v>0</v>
      </c>
      <c r="G218" s="249" t="n">
        <f aca="false">VLOOKUP(A218,'TH theo khach hang'!$A$4:$G$309,5,FALSE())</f>
        <v>0</v>
      </c>
      <c r="H218" s="248" t="n">
        <f aca="false">J218+L218+N218+P218+R218+T218+V218+X218+Z218+AB218+AD218+AF218</f>
        <v>0</v>
      </c>
      <c r="I218" s="250" t="n">
        <f aca="false">K218+M218+O218+Q218+S218+U218+W218+Y218+AA218+AC218+AE218+AG218</f>
        <v>0</v>
      </c>
      <c r="J218" s="249"/>
      <c r="K218" s="249"/>
      <c r="L218" s="249"/>
      <c r="M218" s="249"/>
      <c r="N218" s="249"/>
      <c r="O218" s="249"/>
      <c r="P218" s="249"/>
      <c r="Q218" s="249"/>
      <c r="R218" s="249"/>
      <c r="S218" s="249"/>
      <c r="T218" s="249"/>
      <c r="U218" s="249"/>
      <c r="V218" s="249"/>
      <c r="W218" s="249"/>
      <c r="X218" s="249"/>
      <c r="Y218" s="249"/>
      <c r="Z218" s="249"/>
      <c r="AA218" s="249"/>
      <c r="AB218" s="249"/>
      <c r="AC218" s="249"/>
      <c r="AD218" s="249"/>
      <c r="AE218" s="249"/>
      <c r="AF218" s="249"/>
      <c r="AG218" s="249"/>
      <c r="AH218" s="251"/>
    </row>
    <row r="219" customFormat="false" ht="16.5" hidden="false" customHeight="false" outlineLevel="0" collapsed="false">
      <c r="A219" s="252" t="s">
        <v>396</v>
      </c>
      <c r="B219" s="214" t="n">
        <f aca="false">VLOOKUP(A219,'TH theo khach hang'!$A$4:$C$309,2,FALSE())</f>
        <v>0</v>
      </c>
      <c r="C219" s="245" t="str">
        <f aca="false">IF(VLOOKUP(A219,'TH theo khach hang'!$A$4:$C$309,3,FALSE())=0, "", "x")</f>
        <v/>
      </c>
      <c r="D219" s="246" t="n">
        <f aca="false">F219-H219</f>
        <v>0</v>
      </c>
      <c r="E219" s="247" t="n">
        <f aca="false">G219-I219</f>
        <v>0</v>
      </c>
      <c r="F219" s="248" t="n">
        <f aca="false">VLOOKUP(A219,'TH theo khach hang'!$A$4:$G$309,4,FALSE())</f>
        <v>0</v>
      </c>
      <c r="G219" s="249" t="n">
        <f aca="false">VLOOKUP(A219,'TH theo khach hang'!$A$4:$G$309,5,FALSE())</f>
        <v>0</v>
      </c>
      <c r="H219" s="248" t="n">
        <f aca="false">J219+L219+N219+P219+R219+T219+V219+X219+Z219+AB219+AD219+AF219</f>
        <v>0</v>
      </c>
      <c r="I219" s="250" t="n">
        <f aca="false">K219+M219+O219+Q219+S219+U219+W219+Y219+AA219+AC219+AE219+AG219</f>
        <v>0</v>
      </c>
      <c r="J219" s="249"/>
      <c r="K219" s="249"/>
      <c r="L219" s="249"/>
      <c r="M219" s="249"/>
      <c r="N219" s="249"/>
      <c r="O219" s="249"/>
      <c r="P219" s="249"/>
      <c r="Q219" s="249"/>
      <c r="R219" s="249"/>
      <c r="S219" s="249"/>
      <c r="T219" s="249"/>
      <c r="U219" s="249"/>
      <c r="V219" s="249"/>
      <c r="W219" s="249"/>
      <c r="X219" s="249"/>
      <c r="Y219" s="249"/>
      <c r="Z219" s="249"/>
      <c r="AA219" s="249"/>
      <c r="AB219" s="249"/>
      <c r="AC219" s="249"/>
      <c r="AD219" s="249"/>
      <c r="AE219" s="249"/>
      <c r="AF219" s="249"/>
      <c r="AG219" s="249"/>
    </row>
    <row r="220" customFormat="false" ht="18.75" hidden="false" customHeight="true" outlineLevel="0" collapsed="false">
      <c r="A220" s="252" t="s">
        <v>397</v>
      </c>
      <c r="B220" s="214" t="n">
        <f aca="false">VLOOKUP(A220,'TH theo khach hang'!$A$4:$C$309,2,FALSE())</f>
        <v>0</v>
      </c>
      <c r="C220" s="245" t="str">
        <f aca="false">IF(VLOOKUP(A220,'TH theo khach hang'!$A$4:$C$309,3,FALSE())=0, "", "x")</f>
        <v/>
      </c>
      <c r="D220" s="246" t="n">
        <f aca="false">F220-H220</f>
        <v>0</v>
      </c>
      <c r="E220" s="247" t="n">
        <f aca="false">G220-I220</f>
        <v>0</v>
      </c>
      <c r="F220" s="248" t="n">
        <f aca="false">VLOOKUP(A220,'TH theo khach hang'!$A$4:$G$309,4,FALSE())</f>
        <v>0</v>
      </c>
      <c r="G220" s="249" t="n">
        <f aca="false">VLOOKUP(A220,'TH theo khach hang'!$A$4:$G$309,5,FALSE())</f>
        <v>0</v>
      </c>
      <c r="H220" s="248" t="n">
        <f aca="false">J220+L220+N220+P220+R220+T220+V220+X220+Z220+AB220+AD220+AF220</f>
        <v>0</v>
      </c>
      <c r="I220" s="250" t="n">
        <f aca="false">K220+M220+O220+Q220+S220+U220+W220+Y220+AA220+AC220+AE220+AG220</f>
        <v>0</v>
      </c>
      <c r="J220" s="249"/>
      <c r="K220" s="249"/>
      <c r="L220" s="249"/>
      <c r="M220" s="249"/>
      <c r="N220" s="249"/>
      <c r="O220" s="249"/>
      <c r="P220" s="249"/>
      <c r="Q220" s="249"/>
      <c r="R220" s="249"/>
      <c r="S220" s="249"/>
      <c r="T220" s="249"/>
      <c r="U220" s="249"/>
      <c r="V220" s="249"/>
      <c r="W220" s="249"/>
      <c r="X220" s="249"/>
      <c r="Y220" s="249"/>
      <c r="Z220" s="249"/>
      <c r="AA220" s="249"/>
      <c r="AB220" s="249"/>
      <c r="AC220" s="249"/>
      <c r="AD220" s="249"/>
      <c r="AE220" s="249"/>
      <c r="AF220" s="249"/>
      <c r="AG220" s="249"/>
    </row>
    <row r="221" customFormat="false" ht="18" hidden="false" customHeight="true" outlineLevel="0" collapsed="false">
      <c r="A221" s="252" t="s">
        <v>398</v>
      </c>
      <c r="B221" s="214" t="n">
        <f aca="false">VLOOKUP(A221,'TH theo khach hang'!$A$4:$C$309,2,FALSE())</f>
        <v>0</v>
      </c>
      <c r="C221" s="245" t="str">
        <f aca="false">IF(VLOOKUP(A221,'TH theo khach hang'!$A$4:$C$309,3,FALSE())=0, "", "x")</f>
        <v/>
      </c>
      <c r="D221" s="246" t="n">
        <f aca="false">F221-H221</f>
        <v>0</v>
      </c>
      <c r="E221" s="247" t="n">
        <f aca="false">G221-I221</f>
        <v>0</v>
      </c>
      <c r="F221" s="248" t="n">
        <f aca="false">VLOOKUP(A221,'TH theo khach hang'!$A$4:$G$309,4,FALSE())</f>
        <v>0</v>
      </c>
      <c r="G221" s="249" t="n">
        <f aca="false">VLOOKUP(A221,'TH theo khach hang'!$A$4:$G$309,5,FALSE())</f>
        <v>0</v>
      </c>
      <c r="H221" s="248" t="n">
        <f aca="false">J221+L221+N221+P221+R221+T221+V221+X221+Z221+AB221+AD221+AF221</f>
        <v>0</v>
      </c>
      <c r="I221" s="250" t="n">
        <f aca="false">K221+M221+O221+Q221+S221+U221+W221+Y221+AA221+AC221+AE221+AG221</f>
        <v>0</v>
      </c>
      <c r="J221" s="249"/>
      <c r="K221" s="249"/>
      <c r="L221" s="249"/>
      <c r="M221" s="249"/>
      <c r="N221" s="249"/>
      <c r="O221" s="249"/>
      <c r="P221" s="249"/>
      <c r="Q221" s="249"/>
      <c r="R221" s="249"/>
      <c r="S221" s="249"/>
      <c r="T221" s="249"/>
      <c r="U221" s="249"/>
      <c r="V221" s="249"/>
      <c r="W221" s="249"/>
      <c r="X221" s="249"/>
      <c r="Y221" s="249"/>
      <c r="Z221" s="249"/>
      <c r="AA221" s="249"/>
      <c r="AB221" s="249"/>
      <c r="AC221" s="249"/>
      <c r="AD221" s="249"/>
      <c r="AE221" s="254"/>
      <c r="AF221" s="249"/>
      <c r="AG221" s="249"/>
    </row>
    <row r="222" customFormat="false" ht="17.25" hidden="false" customHeight="true" outlineLevel="0" collapsed="false">
      <c r="A222" s="252" t="s">
        <v>399</v>
      </c>
      <c r="B222" s="214" t="n">
        <f aca="false">VLOOKUP(A222,'TH theo khach hang'!$A$4:$C$309,2,FALSE())</f>
        <v>0</v>
      </c>
      <c r="C222" s="245" t="str">
        <f aca="false">IF(VLOOKUP(A222,'TH theo khach hang'!$A$4:$C$309,3,FALSE())=0, "", "x")</f>
        <v/>
      </c>
      <c r="D222" s="246" t="n">
        <f aca="false">F222-H222</f>
        <v>0</v>
      </c>
      <c r="E222" s="247" t="n">
        <f aca="false">G222-I222</f>
        <v>0</v>
      </c>
      <c r="F222" s="248" t="n">
        <f aca="false">VLOOKUP(A222,'TH theo khach hang'!$A$4:$G$309,4,FALSE())</f>
        <v>0</v>
      </c>
      <c r="G222" s="249" t="n">
        <f aca="false">VLOOKUP(A222,'TH theo khach hang'!$A$4:$G$309,5,FALSE())</f>
        <v>0</v>
      </c>
      <c r="H222" s="248" t="n">
        <f aca="false">J222+L222+N222+P222+R222+T222+V222+X222+Z222+AB222+AD222+AF222</f>
        <v>0</v>
      </c>
      <c r="I222" s="250" t="n">
        <f aca="false">K222+M222+O222+Q222+S222+U222+W222+Y222+AA222+AC222+AE222+AG222</f>
        <v>0</v>
      </c>
      <c r="J222" s="249"/>
      <c r="K222" s="249"/>
      <c r="L222" s="249"/>
      <c r="M222" s="249"/>
      <c r="N222" s="249"/>
      <c r="O222" s="249"/>
      <c r="P222" s="249"/>
      <c r="Q222" s="249"/>
      <c r="R222" s="249"/>
      <c r="S222" s="249"/>
      <c r="T222" s="249"/>
      <c r="U222" s="249"/>
      <c r="V222" s="249"/>
      <c r="W222" s="249"/>
      <c r="X222" s="249"/>
      <c r="Y222" s="249"/>
      <c r="Z222" s="249"/>
      <c r="AA222" s="249"/>
      <c r="AB222" s="249"/>
      <c r="AC222" s="249"/>
      <c r="AD222" s="249"/>
      <c r="AE222" s="249"/>
      <c r="AF222" s="249"/>
      <c r="AG222" s="249"/>
    </row>
    <row r="223" customFormat="false" ht="16.5" hidden="false" customHeight="false" outlineLevel="0" collapsed="false">
      <c r="A223" s="252" t="s">
        <v>400</v>
      </c>
      <c r="B223" s="214" t="n">
        <f aca="false">VLOOKUP(A223,'TH theo khach hang'!$A$4:$C$309,2,FALSE())</f>
        <v>0</v>
      </c>
      <c r="C223" s="245" t="str">
        <f aca="false">IF(VLOOKUP(A223,'TH theo khach hang'!$A$4:$C$309,3,FALSE())=0, "", "x")</f>
        <v/>
      </c>
      <c r="D223" s="246" t="n">
        <f aca="false">F223-H223</f>
        <v>0</v>
      </c>
      <c r="E223" s="247" t="n">
        <f aca="false">G223-I223</f>
        <v>0</v>
      </c>
      <c r="F223" s="248" t="n">
        <f aca="false">VLOOKUP(A223,'TH theo khach hang'!$A$4:$G$309,4,FALSE())</f>
        <v>0</v>
      </c>
      <c r="G223" s="249" t="n">
        <f aca="false">VLOOKUP(A223,'TH theo khach hang'!$A$4:$G$309,5,FALSE())</f>
        <v>0</v>
      </c>
      <c r="H223" s="248" t="n">
        <f aca="false">J223+L223+N223+P223+R223+T223+V223+X223+Z223+AB223+AD223+AF223</f>
        <v>0</v>
      </c>
      <c r="I223" s="250" t="n">
        <f aca="false">K223+M223+O223+Q223+S223+U223+W223+Y223+AA223+AC223+AE223+AG223</f>
        <v>0</v>
      </c>
      <c r="J223" s="249"/>
      <c r="K223" s="249"/>
      <c r="L223" s="249"/>
      <c r="M223" s="249"/>
      <c r="N223" s="249"/>
      <c r="O223" s="249"/>
      <c r="P223" s="249"/>
      <c r="Q223" s="249"/>
      <c r="R223" s="249"/>
      <c r="S223" s="249"/>
      <c r="T223" s="249"/>
      <c r="U223" s="249"/>
      <c r="V223" s="249"/>
      <c r="W223" s="249"/>
      <c r="X223" s="249"/>
      <c r="Y223" s="249"/>
      <c r="Z223" s="254"/>
      <c r="AA223" s="249"/>
      <c r="AB223" s="249"/>
      <c r="AC223" s="254"/>
      <c r="AD223" s="249"/>
      <c r="AE223" s="249"/>
      <c r="AF223" s="249"/>
      <c r="AG223" s="249"/>
    </row>
    <row r="224" customFormat="false" ht="18.75" hidden="false" customHeight="true" outlineLevel="0" collapsed="false">
      <c r="A224" s="252" t="s">
        <v>401</v>
      </c>
      <c r="B224" s="214" t="n">
        <f aca="false">VLOOKUP(A224,'TH theo khach hang'!$A$4:$C$309,2,FALSE())</f>
        <v>0</v>
      </c>
      <c r="C224" s="245" t="str">
        <f aca="false">IF(VLOOKUP(A224,'TH theo khach hang'!$A$4:$C$309,3,FALSE())=0, "", "x")</f>
        <v/>
      </c>
      <c r="D224" s="246" t="n">
        <f aca="false">F224-H224</f>
        <v>0</v>
      </c>
      <c r="E224" s="247" t="n">
        <f aca="false">G224-I224</f>
        <v>0</v>
      </c>
      <c r="F224" s="248" t="n">
        <f aca="false">VLOOKUP(A224,'TH theo khach hang'!$A$4:$G$309,4,FALSE())</f>
        <v>0</v>
      </c>
      <c r="G224" s="249" t="n">
        <f aca="false">VLOOKUP(A224,'TH theo khach hang'!$A$4:$G$309,5,FALSE())</f>
        <v>0</v>
      </c>
      <c r="H224" s="248" t="n">
        <f aca="false">J224+L224+N224+P224+R224+T224+V224+X224+Z224+AB224+AD224+AF224</f>
        <v>0</v>
      </c>
      <c r="I224" s="250" t="n">
        <f aca="false">K224+M224+O224+Q224+S224+U224+W224+Y224+AA224+AC224+AE224+AG224</f>
        <v>0</v>
      </c>
      <c r="J224" s="249"/>
      <c r="K224" s="249"/>
      <c r="L224" s="249"/>
      <c r="M224" s="249"/>
      <c r="N224" s="249"/>
      <c r="O224" s="249"/>
      <c r="P224" s="249"/>
      <c r="Q224" s="249"/>
      <c r="R224" s="249"/>
      <c r="S224" s="249"/>
      <c r="T224" s="249"/>
      <c r="U224" s="249"/>
      <c r="V224" s="249"/>
      <c r="W224" s="249"/>
      <c r="X224" s="249"/>
      <c r="Y224" s="249"/>
      <c r="Z224" s="249"/>
      <c r="AA224" s="249"/>
      <c r="AB224" s="249"/>
      <c r="AC224" s="249"/>
      <c r="AD224" s="249"/>
      <c r="AE224" s="249"/>
      <c r="AF224" s="249"/>
      <c r="AG224" s="249"/>
      <c r="AH224" s="251"/>
    </row>
    <row r="225" customFormat="false" ht="18" hidden="false" customHeight="true" outlineLevel="0" collapsed="false">
      <c r="A225" s="252" t="s">
        <v>402</v>
      </c>
      <c r="B225" s="214" t="n">
        <f aca="false">VLOOKUP(A225,'TH theo khach hang'!$A$4:$C$309,2,FALSE())</f>
        <v>0</v>
      </c>
      <c r="C225" s="245" t="str">
        <f aca="false">IF(VLOOKUP(A225,'TH theo khach hang'!$A$4:$C$309,3,FALSE())=0, "", "x")</f>
        <v/>
      </c>
      <c r="D225" s="246" t="n">
        <f aca="false">F225-H225</f>
        <v>0</v>
      </c>
      <c r="E225" s="247" t="n">
        <f aca="false">G225-I225</f>
        <v>0</v>
      </c>
      <c r="F225" s="248" t="n">
        <f aca="false">VLOOKUP(A225,'TH theo khach hang'!$A$4:$G$309,4,FALSE())</f>
        <v>0</v>
      </c>
      <c r="G225" s="249" t="n">
        <f aca="false">VLOOKUP(A225,'TH theo khach hang'!$A$4:$G$309,5,FALSE())</f>
        <v>0</v>
      </c>
      <c r="H225" s="248" t="n">
        <f aca="false">J225+L225+N225+P225+R225+T225+V225+X225+Z225+AB225+AD225+AF225</f>
        <v>0</v>
      </c>
      <c r="I225" s="250" t="n">
        <f aca="false">K225+M225+O225+Q225+S225+U225+W225+Y225+AA225+AC225+AE225+AG225</f>
        <v>0</v>
      </c>
      <c r="J225" s="249"/>
      <c r="K225" s="249"/>
      <c r="L225" s="249"/>
      <c r="M225" s="249"/>
      <c r="N225" s="249"/>
      <c r="O225" s="249"/>
      <c r="P225" s="249"/>
      <c r="Q225" s="249"/>
      <c r="R225" s="249"/>
      <c r="S225" s="249"/>
      <c r="T225" s="249"/>
      <c r="U225" s="249"/>
      <c r="V225" s="249"/>
      <c r="W225" s="249"/>
      <c r="X225" s="249"/>
      <c r="Y225" s="249"/>
      <c r="Z225" s="249"/>
      <c r="AA225" s="249"/>
      <c r="AB225" s="249"/>
      <c r="AC225" s="249"/>
      <c r="AD225" s="249"/>
      <c r="AE225" s="249"/>
      <c r="AF225" s="249"/>
      <c r="AG225" s="249"/>
    </row>
    <row r="226" customFormat="false" ht="16.5" hidden="false" customHeight="true" outlineLevel="0" collapsed="false">
      <c r="A226" s="252" t="s">
        <v>403</v>
      </c>
      <c r="B226" s="214" t="n">
        <f aca="false">VLOOKUP(A226,'TH theo khach hang'!$A$4:$C$309,2,FALSE())</f>
        <v>0</v>
      </c>
      <c r="C226" s="245" t="str">
        <f aca="false">IF(VLOOKUP(A226,'TH theo khach hang'!$A$4:$C$309,3,FALSE())=0, "", "x")</f>
        <v/>
      </c>
      <c r="D226" s="246" t="n">
        <f aca="false">F226-H226</f>
        <v>0</v>
      </c>
      <c r="E226" s="247" t="n">
        <f aca="false">G226-I226</f>
        <v>0</v>
      </c>
      <c r="F226" s="248" t="n">
        <f aca="false">VLOOKUP(A226,'TH theo khach hang'!$A$4:$G$309,4,FALSE())</f>
        <v>0</v>
      </c>
      <c r="G226" s="249" t="n">
        <f aca="false">VLOOKUP(A226,'TH theo khach hang'!$A$4:$G$309,5,FALSE())</f>
        <v>0</v>
      </c>
      <c r="H226" s="248" t="n">
        <f aca="false">J226+L226+N226+P226+R226+T226+V226+X226+Z226+AB226+AD226+AF226</f>
        <v>0</v>
      </c>
      <c r="I226" s="250" t="n">
        <f aca="false">K226+M226+O226+Q226+S226+U226+W226+Y226+AA226+AC226+AE226+AG226</f>
        <v>0</v>
      </c>
      <c r="J226" s="249"/>
      <c r="K226" s="249"/>
      <c r="L226" s="249"/>
      <c r="M226" s="249"/>
      <c r="N226" s="249"/>
      <c r="O226" s="249"/>
      <c r="P226" s="249"/>
      <c r="Q226" s="249"/>
      <c r="R226" s="249"/>
      <c r="S226" s="249"/>
      <c r="T226" s="249"/>
      <c r="U226" s="249"/>
      <c r="V226" s="249"/>
      <c r="W226" s="249"/>
      <c r="X226" s="249"/>
      <c r="Y226" s="249"/>
      <c r="Z226" s="249"/>
      <c r="AA226" s="249"/>
      <c r="AB226" s="249"/>
      <c r="AC226" s="249"/>
      <c r="AD226" s="249"/>
      <c r="AE226" s="249"/>
      <c r="AF226" s="249"/>
      <c r="AG226" s="249"/>
    </row>
    <row r="227" customFormat="false" ht="16.5" hidden="false" customHeight="false" outlineLevel="0" collapsed="false">
      <c r="A227" s="252" t="s">
        <v>404</v>
      </c>
      <c r="B227" s="214" t="n">
        <f aca="false">VLOOKUP(A227,'TH theo khach hang'!$A$4:$C$309,2,FALSE())</f>
        <v>0</v>
      </c>
      <c r="C227" s="245" t="str">
        <f aca="false">IF(VLOOKUP(A227,'TH theo khach hang'!$A$4:$C$309,3,FALSE())=0, "", "x")</f>
        <v/>
      </c>
      <c r="D227" s="246" t="n">
        <f aca="false">F227-H227</f>
        <v>0</v>
      </c>
      <c r="E227" s="247" t="n">
        <f aca="false">G227-I227</f>
        <v>0</v>
      </c>
      <c r="F227" s="248" t="n">
        <f aca="false">VLOOKUP(A227,'TH theo khach hang'!$A$4:$G$309,4,FALSE())</f>
        <v>0</v>
      </c>
      <c r="G227" s="249" t="n">
        <f aca="false">VLOOKUP(A227,'TH theo khach hang'!$A$4:$G$309,5,FALSE())</f>
        <v>0</v>
      </c>
      <c r="H227" s="248" t="n">
        <f aca="false">J227+L227+N227+P227+R227+T227+V227+X227+Z227+AB227+AD227+AF227</f>
        <v>0</v>
      </c>
      <c r="I227" s="250" t="n">
        <f aca="false">K227+M227+O227+Q227+S227+U227+W227+Y227+AA227+AC227+AE227+AG227</f>
        <v>0</v>
      </c>
      <c r="J227" s="249"/>
      <c r="K227" s="249"/>
      <c r="L227" s="249"/>
      <c r="M227" s="249"/>
      <c r="N227" s="249"/>
      <c r="O227" s="249"/>
      <c r="P227" s="249"/>
      <c r="Q227" s="249"/>
      <c r="R227" s="249"/>
      <c r="S227" s="249"/>
      <c r="T227" s="249"/>
      <c r="U227" s="249"/>
      <c r="V227" s="249"/>
      <c r="W227" s="249"/>
      <c r="X227" s="249"/>
      <c r="Y227" s="249"/>
      <c r="Z227" s="249"/>
      <c r="AA227" s="249"/>
      <c r="AB227" s="249"/>
      <c r="AC227" s="249"/>
      <c r="AD227" s="249"/>
      <c r="AE227" s="249"/>
      <c r="AF227" s="249"/>
      <c r="AG227" s="249"/>
      <c r="AH227" s="251"/>
    </row>
    <row r="228" customFormat="false" ht="16.5" hidden="false" customHeight="false" outlineLevel="0" collapsed="false">
      <c r="A228" s="252" t="s">
        <v>405</v>
      </c>
      <c r="B228" s="214" t="n">
        <f aca="false">VLOOKUP(A228,'TH theo khach hang'!$A$4:$C$309,2,FALSE())</f>
        <v>0</v>
      </c>
      <c r="C228" s="245" t="str">
        <f aca="false">IF(VLOOKUP(A228,'TH theo khach hang'!$A$4:$C$309,3,FALSE())=0, "", "x")</f>
        <v/>
      </c>
      <c r="D228" s="246" t="n">
        <f aca="false">F228-H228</f>
        <v>0</v>
      </c>
      <c r="E228" s="247" t="n">
        <f aca="false">G228-I228</f>
        <v>0</v>
      </c>
      <c r="F228" s="248" t="n">
        <f aca="false">VLOOKUP(A228,'TH theo khach hang'!$A$4:$G$309,4,FALSE())</f>
        <v>0</v>
      </c>
      <c r="G228" s="249" t="n">
        <f aca="false">VLOOKUP(A228,'TH theo khach hang'!$A$4:$G$309,5,FALSE())</f>
        <v>0</v>
      </c>
      <c r="H228" s="248" t="n">
        <f aca="false">J228+L228+N228+P228+R228+T228+V228+X228+Z228+AB228+AD228+AF228</f>
        <v>0</v>
      </c>
      <c r="I228" s="250" t="n">
        <f aca="false">K228+M228+O228+Q228+S228+U228+W228+Y228+AA228+AC228+AE228+AG228</f>
        <v>0</v>
      </c>
      <c r="J228" s="249"/>
      <c r="K228" s="249"/>
      <c r="L228" s="249"/>
      <c r="M228" s="249"/>
      <c r="N228" s="249"/>
      <c r="O228" s="249"/>
      <c r="P228" s="249"/>
      <c r="Q228" s="249"/>
      <c r="R228" s="249"/>
      <c r="S228" s="249"/>
      <c r="T228" s="249"/>
      <c r="U228" s="249"/>
      <c r="V228" s="249"/>
      <c r="W228" s="249"/>
      <c r="X228" s="249"/>
      <c r="Y228" s="249"/>
      <c r="Z228" s="249"/>
      <c r="AA228" s="249"/>
      <c r="AB228" s="249"/>
      <c r="AC228" s="249"/>
      <c r="AD228" s="249"/>
      <c r="AE228" s="249"/>
      <c r="AF228" s="249"/>
      <c r="AG228" s="249"/>
    </row>
    <row r="229" customFormat="false" ht="16.5" hidden="false" customHeight="false" outlineLevel="0" collapsed="false">
      <c r="A229" s="252" t="s">
        <v>406</v>
      </c>
      <c r="B229" s="214" t="n">
        <f aca="false">VLOOKUP(A229,'TH theo khach hang'!$A$4:$C$309,2,FALSE())</f>
        <v>0</v>
      </c>
      <c r="C229" s="245" t="str">
        <f aca="false">IF(VLOOKUP(A229,'TH theo khach hang'!$A$4:$C$309,3,FALSE())=0, "", "x")</f>
        <v/>
      </c>
      <c r="D229" s="246" t="n">
        <f aca="false">F229-H229</f>
        <v>0</v>
      </c>
      <c r="E229" s="247" t="n">
        <f aca="false">G229-I229</f>
        <v>0</v>
      </c>
      <c r="F229" s="248" t="n">
        <f aca="false">VLOOKUP(A229,'TH theo khach hang'!$A$4:$G$309,4,FALSE())</f>
        <v>0</v>
      </c>
      <c r="G229" s="249" t="n">
        <f aca="false">VLOOKUP(A229,'TH theo khach hang'!$A$4:$G$309,5,FALSE())</f>
        <v>0</v>
      </c>
      <c r="H229" s="248" t="n">
        <f aca="false">J229+L229+N229+P229+R229+T229+V229+X229+Z229+AB229+AD229+AF229</f>
        <v>0</v>
      </c>
      <c r="I229" s="250" t="n">
        <f aca="false">K229+M229+O229+Q229+S229+U229+W229+Y229+AA229+AC229+AE229+AG229</f>
        <v>0</v>
      </c>
      <c r="J229" s="249"/>
      <c r="K229" s="249"/>
      <c r="L229" s="249"/>
      <c r="M229" s="249"/>
      <c r="N229" s="249"/>
      <c r="O229" s="249"/>
      <c r="P229" s="249"/>
      <c r="Q229" s="249"/>
      <c r="R229" s="249"/>
      <c r="S229" s="249"/>
      <c r="T229" s="249"/>
      <c r="U229" s="249"/>
      <c r="V229" s="249"/>
      <c r="W229" s="249"/>
      <c r="X229" s="249"/>
      <c r="Y229" s="249"/>
      <c r="Z229" s="249"/>
      <c r="AA229" s="249"/>
      <c r="AB229" s="249"/>
      <c r="AC229" s="249"/>
      <c r="AD229" s="249"/>
      <c r="AE229" s="249"/>
      <c r="AF229" s="249"/>
      <c r="AG229" s="249"/>
    </row>
    <row r="230" customFormat="false" ht="16.5" hidden="false" customHeight="false" outlineLevel="0" collapsed="false">
      <c r="A230" s="252" t="s">
        <v>407</v>
      </c>
      <c r="B230" s="214" t="n">
        <f aca="false">VLOOKUP(A230,'TH theo khach hang'!$A$4:$C$309,2,FALSE())</f>
        <v>0</v>
      </c>
      <c r="C230" s="245" t="str">
        <f aca="false">IF(VLOOKUP(A230,'TH theo khach hang'!$A$4:$C$309,3,FALSE())=0, "", "x")</f>
        <v/>
      </c>
      <c r="D230" s="246" t="n">
        <f aca="false">F230-H230</f>
        <v>0</v>
      </c>
      <c r="E230" s="247" t="n">
        <f aca="false">G230-I230</f>
        <v>0</v>
      </c>
      <c r="F230" s="248" t="n">
        <f aca="false">VLOOKUP(A230,'TH theo khach hang'!$A$4:$G$309,4,FALSE())</f>
        <v>0</v>
      </c>
      <c r="G230" s="249" t="n">
        <f aca="false">VLOOKUP(A230,'TH theo khach hang'!$A$4:$G$309,5,FALSE())</f>
        <v>0</v>
      </c>
      <c r="H230" s="248" t="n">
        <f aca="false">J230+L230+N230+P230+R230+T230+V230+X230+Z230+AB230+AD230+AF230</f>
        <v>0</v>
      </c>
      <c r="I230" s="250" t="n">
        <f aca="false">K230+M230+O230+Q230+S230+U230+W230+Y230+AA230+AC230+AE230+AG230</f>
        <v>0</v>
      </c>
      <c r="J230" s="249"/>
      <c r="K230" s="249"/>
      <c r="L230" s="249"/>
      <c r="M230" s="249"/>
      <c r="N230" s="249"/>
      <c r="O230" s="249"/>
      <c r="P230" s="249"/>
      <c r="Q230" s="249"/>
      <c r="R230" s="249"/>
      <c r="S230" s="249"/>
      <c r="T230" s="249"/>
      <c r="U230" s="249"/>
      <c r="V230" s="249"/>
      <c r="W230" s="249"/>
      <c r="X230" s="249"/>
      <c r="Y230" s="249"/>
      <c r="Z230" s="249"/>
      <c r="AA230" s="249"/>
      <c r="AB230" s="249"/>
      <c r="AC230" s="249"/>
      <c r="AD230" s="249"/>
      <c r="AE230" s="249"/>
      <c r="AF230" s="249"/>
      <c r="AG230" s="249"/>
      <c r="AH230" s="251"/>
    </row>
    <row r="231" customFormat="false" ht="16.5" hidden="false" customHeight="false" outlineLevel="0" collapsed="false">
      <c r="A231" s="252" t="s">
        <v>408</v>
      </c>
      <c r="B231" s="214" t="n">
        <f aca="false">VLOOKUP(A231,'TH theo khach hang'!$A$4:$C$309,2,FALSE())</f>
        <v>0</v>
      </c>
      <c r="C231" s="245" t="str">
        <f aca="false">IF(VLOOKUP(A231,'TH theo khach hang'!$A$4:$C$309,3,FALSE())=0, "", "x")</f>
        <v/>
      </c>
      <c r="D231" s="246" t="n">
        <f aca="false">F231-H231</f>
        <v>0</v>
      </c>
      <c r="E231" s="247" t="n">
        <f aca="false">G231-I231</f>
        <v>0</v>
      </c>
      <c r="F231" s="248" t="n">
        <f aca="false">VLOOKUP(A231,'TH theo khach hang'!$A$4:$G$309,4,FALSE())</f>
        <v>0</v>
      </c>
      <c r="G231" s="249" t="n">
        <f aca="false">VLOOKUP(A231,'TH theo khach hang'!$A$4:$G$309,5,FALSE())</f>
        <v>0</v>
      </c>
      <c r="H231" s="248" t="n">
        <f aca="false">J231+L231+N231+P231+R231+T231+V231+X231+Z231+AB231+AD231+AF231</f>
        <v>0</v>
      </c>
      <c r="I231" s="250" t="n">
        <f aca="false">K231+M231+O231+Q231+S231+U231+W231+Y231+AA231+AC231+AE231+AG231</f>
        <v>0</v>
      </c>
      <c r="J231" s="249"/>
      <c r="K231" s="249"/>
      <c r="L231" s="249"/>
      <c r="M231" s="249"/>
      <c r="N231" s="249"/>
      <c r="O231" s="249"/>
      <c r="P231" s="249"/>
      <c r="Q231" s="249"/>
      <c r="R231" s="249"/>
      <c r="S231" s="249"/>
      <c r="T231" s="249"/>
      <c r="U231" s="249"/>
      <c r="V231" s="249"/>
      <c r="W231" s="249"/>
      <c r="X231" s="249"/>
      <c r="Y231" s="249"/>
      <c r="Z231" s="249"/>
      <c r="AA231" s="249"/>
      <c r="AB231" s="249"/>
      <c r="AC231" s="249"/>
      <c r="AD231" s="249"/>
      <c r="AE231" s="249"/>
      <c r="AF231" s="249"/>
      <c r="AG231" s="249"/>
    </row>
    <row r="232" customFormat="false" ht="16.5" hidden="false" customHeight="false" outlineLevel="0" collapsed="false">
      <c r="A232" s="252" t="s">
        <v>409</v>
      </c>
      <c r="B232" s="214" t="n">
        <f aca="false">VLOOKUP(A232,'TH theo khach hang'!$A$4:$C$309,2,FALSE())</f>
        <v>0</v>
      </c>
      <c r="C232" s="245" t="str">
        <f aca="false">IF(VLOOKUP(A232,'TH theo khach hang'!$A$4:$C$309,3,FALSE())=0, "", "x")</f>
        <v/>
      </c>
      <c r="D232" s="246" t="n">
        <f aca="false">F232-H232</f>
        <v>0</v>
      </c>
      <c r="E232" s="247" t="n">
        <f aca="false">G232-I232</f>
        <v>0</v>
      </c>
      <c r="F232" s="248" t="n">
        <f aca="false">VLOOKUP(A232,'TH theo khach hang'!$A$4:$G$309,4,FALSE())</f>
        <v>0</v>
      </c>
      <c r="G232" s="249" t="n">
        <f aca="false">VLOOKUP(A232,'TH theo khach hang'!$A$4:$G$309,5,FALSE())</f>
        <v>0</v>
      </c>
      <c r="H232" s="248" t="n">
        <f aca="false">J232+L232+N232+P232+R232+T232+V232+X232+Z232+AB232+AD232+AF232</f>
        <v>0</v>
      </c>
      <c r="I232" s="250" t="n">
        <f aca="false">K232+M232+O232+Q232+S232+U232+W232+Y232+AA232+AC232+AE232+AG232</f>
        <v>0</v>
      </c>
      <c r="J232" s="249"/>
      <c r="K232" s="249"/>
      <c r="L232" s="249"/>
      <c r="M232" s="249"/>
      <c r="N232" s="249"/>
      <c r="O232" s="249"/>
      <c r="P232" s="249"/>
      <c r="Q232" s="249"/>
      <c r="R232" s="249"/>
      <c r="S232" s="249"/>
      <c r="T232" s="249"/>
      <c r="U232" s="249"/>
      <c r="V232" s="249"/>
      <c r="W232" s="249"/>
      <c r="X232" s="249"/>
      <c r="Y232" s="249"/>
      <c r="Z232" s="249"/>
      <c r="AA232" s="249"/>
      <c r="AB232" s="249"/>
      <c r="AC232" s="249"/>
      <c r="AD232" s="249"/>
      <c r="AE232" s="249"/>
      <c r="AF232" s="249"/>
      <c r="AG232" s="249"/>
    </row>
    <row r="233" customFormat="false" ht="16.5" hidden="false" customHeight="false" outlineLevel="0" collapsed="false">
      <c r="A233" s="252" t="s">
        <v>410</v>
      </c>
      <c r="B233" s="214" t="n">
        <f aca="false">VLOOKUP(A233,'TH theo khach hang'!$A$4:$C$309,2,FALSE())</f>
        <v>0</v>
      </c>
      <c r="C233" s="245" t="str">
        <f aca="false">IF(VLOOKUP(A233,'TH theo khach hang'!$A$4:$C$309,3,FALSE())=0, "", "x")</f>
        <v/>
      </c>
      <c r="D233" s="246" t="n">
        <f aca="false">F233-H233</f>
        <v>0</v>
      </c>
      <c r="E233" s="247" t="n">
        <f aca="false">G233-I233</f>
        <v>0</v>
      </c>
      <c r="F233" s="248" t="n">
        <f aca="false">VLOOKUP(A233,'TH theo khach hang'!$A$4:$G$309,4,FALSE())</f>
        <v>0</v>
      </c>
      <c r="G233" s="249" t="n">
        <f aca="false">VLOOKUP(A233,'TH theo khach hang'!$A$4:$G$309,5,FALSE())</f>
        <v>0</v>
      </c>
      <c r="H233" s="248" t="n">
        <f aca="false">J233+L233+N233+P233+R233+T233+V233+X233+Z233+AB233+AD233+AF233</f>
        <v>0</v>
      </c>
      <c r="I233" s="250" t="n">
        <f aca="false">K233+M233+O233+Q233+S233+U233+W233+Y233+AA233+AC233+AE233+AG233</f>
        <v>0</v>
      </c>
      <c r="J233" s="249"/>
      <c r="K233" s="249"/>
      <c r="L233" s="249"/>
      <c r="M233" s="249"/>
      <c r="N233" s="249"/>
      <c r="O233" s="249"/>
      <c r="P233" s="249"/>
      <c r="Q233" s="249"/>
      <c r="R233" s="249"/>
      <c r="S233" s="249"/>
      <c r="T233" s="249"/>
      <c r="U233" s="249"/>
      <c r="V233" s="249"/>
      <c r="W233" s="249"/>
      <c r="X233" s="249"/>
      <c r="Y233" s="249"/>
      <c r="Z233" s="249"/>
      <c r="AA233" s="249"/>
      <c r="AB233" s="249"/>
      <c r="AC233" s="249"/>
      <c r="AD233" s="249"/>
      <c r="AE233" s="249"/>
      <c r="AF233" s="249"/>
      <c r="AG233" s="249"/>
    </row>
    <row r="234" customFormat="false" ht="16.5" hidden="false" customHeight="false" outlineLevel="0" collapsed="false">
      <c r="A234" s="252" t="s">
        <v>411</v>
      </c>
      <c r="B234" s="214" t="n">
        <f aca="false">VLOOKUP(A234,'TH theo khach hang'!$A$4:$C$309,2,FALSE())</f>
        <v>0</v>
      </c>
      <c r="C234" s="245" t="str">
        <f aca="false">IF(VLOOKUP(A234,'TH theo khach hang'!$A$4:$C$309,3,FALSE())=0, "", "x")</f>
        <v/>
      </c>
      <c r="D234" s="246" t="n">
        <f aca="false">F234-H234</f>
        <v>0</v>
      </c>
      <c r="E234" s="247" t="n">
        <f aca="false">G234-I234</f>
        <v>0</v>
      </c>
      <c r="F234" s="248" t="n">
        <f aca="false">VLOOKUP(A234,'TH theo khach hang'!$A$4:$G$309,4,FALSE())</f>
        <v>0</v>
      </c>
      <c r="G234" s="249" t="n">
        <f aca="false">VLOOKUP(A234,'TH theo khach hang'!$A$4:$G$309,5,FALSE())</f>
        <v>0</v>
      </c>
      <c r="H234" s="248" t="n">
        <f aca="false">J234+L234+N234+P234+R234+T234+V234+X234+Z234+AB234+AD234+AF234</f>
        <v>0</v>
      </c>
      <c r="I234" s="250" t="n">
        <f aca="false">K234+M234+O234+Q234+S234+U234+W234+Y234+AA234+AC234+AE234+AG234</f>
        <v>0</v>
      </c>
      <c r="J234" s="249"/>
      <c r="K234" s="249"/>
      <c r="L234" s="249"/>
      <c r="M234" s="249"/>
      <c r="N234" s="249"/>
      <c r="O234" s="249"/>
      <c r="P234" s="249"/>
      <c r="Q234" s="249"/>
      <c r="R234" s="249"/>
      <c r="S234" s="249"/>
      <c r="T234" s="249"/>
      <c r="U234" s="249"/>
      <c r="V234" s="249"/>
      <c r="W234" s="249"/>
      <c r="X234" s="249"/>
      <c r="Y234" s="249"/>
      <c r="Z234" s="249"/>
      <c r="AA234" s="249"/>
      <c r="AB234" s="249"/>
      <c r="AC234" s="249"/>
      <c r="AD234" s="249"/>
      <c r="AE234" s="249"/>
      <c r="AF234" s="249"/>
      <c r="AG234" s="249"/>
    </row>
    <row r="235" customFormat="false" ht="16.5" hidden="false" customHeight="false" outlineLevel="0" collapsed="false">
      <c r="A235" s="252" t="s">
        <v>412</v>
      </c>
      <c r="B235" s="214" t="n">
        <f aca="false">VLOOKUP(A235,'TH theo khach hang'!$A$4:$C$309,2,FALSE())</f>
        <v>0</v>
      </c>
      <c r="C235" s="245" t="str">
        <f aca="false">IF(VLOOKUP(A235,'TH theo khach hang'!$A$4:$C$309,3,FALSE())=0, "", "x")</f>
        <v/>
      </c>
      <c r="D235" s="246" t="n">
        <f aca="false">F235-H235</f>
        <v>0</v>
      </c>
      <c r="E235" s="247" t="n">
        <f aca="false">G235-I235</f>
        <v>0</v>
      </c>
      <c r="F235" s="248" t="n">
        <f aca="false">VLOOKUP(A235,'TH theo khach hang'!$A$4:$G$309,4,FALSE())</f>
        <v>0</v>
      </c>
      <c r="G235" s="249" t="n">
        <f aca="false">VLOOKUP(A235,'TH theo khach hang'!$A$4:$G$309,5,FALSE())</f>
        <v>0</v>
      </c>
      <c r="H235" s="248" t="n">
        <f aca="false">J235+L235+N235+P235+R235+T235+V235+X235+Z235+AB235+AD235+AF235</f>
        <v>0</v>
      </c>
      <c r="I235" s="250" t="n">
        <f aca="false">K235+M235+O235+Q235+S235+U235+W235+Y235+AA235+AC235+AE235+AG235</f>
        <v>0</v>
      </c>
      <c r="J235" s="249"/>
      <c r="K235" s="249"/>
      <c r="L235" s="249"/>
      <c r="M235" s="249"/>
      <c r="N235" s="249"/>
      <c r="O235" s="249"/>
      <c r="P235" s="249"/>
      <c r="Q235" s="249"/>
      <c r="R235" s="249"/>
      <c r="S235" s="249"/>
      <c r="T235" s="249"/>
      <c r="U235" s="249"/>
      <c r="V235" s="249"/>
      <c r="W235" s="249"/>
      <c r="X235" s="249"/>
      <c r="Y235" s="249"/>
      <c r="Z235" s="249"/>
      <c r="AA235" s="249"/>
      <c r="AB235" s="249"/>
      <c r="AC235" s="249"/>
      <c r="AD235" s="249"/>
      <c r="AE235" s="249"/>
      <c r="AF235" s="249"/>
      <c r="AG235" s="249"/>
    </row>
    <row r="236" customFormat="false" ht="16.5" hidden="false" customHeight="false" outlineLevel="0" collapsed="false">
      <c r="A236" s="252" t="s">
        <v>413</v>
      </c>
      <c r="B236" s="214" t="n">
        <f aca="false">VLOOKUP(A236,'TH theo khach hang'!$A$4:$C$309,2,FALSE())</f>
        <v>0</v>
      </c>
      <c r="C236" s="245" t="str">
        <f aca="false">IF(VLOOKUP(A236,'TH theo khach hang'!$A$4:$C$309,3,FALSE())=0, "", "x")</f>
        <v/>
      </c>
      <c r="D236" s="246" t="n">
        <f aca="false">F236-H236</f>
        <v>0</v>
      </c>
      <c r="E236" s="247" t="n">
        <f aca="false">G236-I236</f>
        <v>0</v>
      </c>
      <c r="F236" s="248" t="n">
        <f aca="false">VLOOKUP(A236,'TH theo khach hang'!$A$4:$G$309,4,FALSE())</f>
        <v>0</v>
      </c>
      <c r="G236" s="249" t="n">
        <f aca="false">VLOOKUP(A236,'TH theo khach hang'!$A$4:$G$309,5,FALSE())</f>
        <v>0</v>
      </c>
      <c r="H236" s="248" t="n">
        <f aca="false">J236+L236+N236+P236+R236+T236+V236+X236+Z236+AB236+AD236+AF236</f>
        <v>0</v>
      </c>
      <c r="I236" s="250" t="n">
        <f aca="false">K236+M236+O236+Q236+S236+U236+W236+Y236+AA236+AC236+AE236+AG236</f>
        <v>0</v>
      </c>
      <c r="J236" s="249"/>
      <c r="K236" s="249"/>
      <c r="L236" s="249"/>
      <c r="M236" s="249"/>
      <c r="N236" s="249"/>
      <c r="O236" s="249"/>
      <c r="P236" s="249"/>
      <c r="Q236" s="249"/>
      <c r="R236" s="249"/>
      <c r="S236" s="249"/>
      <c r="T236" s="249"/>
      <c r="U236" s="249"/>
      <c r="V236" s="249"/>
      <c r="W236" s="249"/>
      <c r="X236" s="249"/>
      <c r="Y236" s="249"/>
      <c r="Z236" s="249"/>
      <c r="AA236" s="249"/>
      <c r="AB236" s="249"/>
      <c r="AC236" s="249"/>
      <c r="AD236" s="249"/>
      <c r="AE236" s="249"/>
      <c r="AF236" s="249"/>
      <c r="AG236" s="249"/>
    </row>
    <row r="237" customFormat="false" ht="16.5" hidden="false" customHeight="false" outlineLevel="0" collapsed="false">
      <c r="A237" s="252" t="s">
        <v>414</v>
      </c>
      <c r="B237" s="214" t="n">
        <f aca="false">VLOOKUP(A237,'TH theo khach hang'!$A$4:$C$309,2,FALSE())</f>
        <v>0</v>
      </c>
      <c r="C237" s="245" t="str">
        <f aca="false">IF(VLOOKUP(A237,'TH theo khach hang'!$A$4:$C$309,3,FALSE())=0, "", "x")</f>
        <v/>
      </c>
      <c r="D237" s="246" t="n">
        <f aca="false">F237-H237</f>
        <v>0</v>
      </c>
      <c r="E237" s="247" t="n">
        <f aca="false">G237-I237</f>
        <v>0</v>
      </c>
      <c r="F237" s="248" t="n">
        <f aca="false">VLOOKUP(A237,'TH theo khach hang'!$A$4:$G$309,4,FALSE())</f>
        <v>0</v>
      </c>
      <c r="G237" s="249" t="n">
        <f aca="false">VLOOKUP(A237,'TH theo khach hang'!$A$4:$G$309,5,FALSE())</f>
        <v>0</v>
      </c>
      <c r="H237" s="248" t="n">
        <f aca="false">J237+L237+N237+P237+R237+T237+V237+X237+Z237+AB237+AD237+AF237</f>
        <v>0</v>
      </c>
      <c r="I237" s="250" t="n">
        <f aca="false">K237+M237+O237+Q237+S237+U237+W237+Y237+AA237+AC237+AE237+AG237</f>
        <v>0</v>
      </c>
      <c r="J237" s="249"/>
      <c r="K237" s="249"/>
      <c r="L237" s="249"/>
      <c r="M237" s="249"/>
      <c r="N237" s="249"/>
      <c r="O237" s="249"/>
      <c r="P237" s="249"/>
      <c r="Q237" s="249"/>
      <c r="R237" s="249"/>
      <c r="S237" s="249"/>
      <c r="T237" s="249"/>
      <c r="U237" s="249"/>
      <c r="V237" s="249"/>
      <c r="W237" s="249"/>
      <c r="X237" s="249"/>
      <c r="Y237" s="249"/>
      <c r="Z237" s="249"/>
      <c r="AA237" s="249"/>
      <c r="AB237" s="249"/>
      <c r="AC237" s="249"/>
      <c r="AD237" s="249"/>
      <c r="AE237" s="249"/>
      <c r="AF237" s="249"/>
      <c r="AG237" s="249"/>
      <c r="AH237" s="251"/>
    </row>
    <row r="238" customFormat="false" ht="16.5" hidden="false" customHeight="false" outlineLevel="0" collapsed="false">
      <c r="A238" s="252" t="s">
        <v>415</v>
      </c>
      <c r="B238" s="214" t="n">
        <f aca="false">VLOOKUP(A238,'TH theo khach hang'!$A$4:$C$309,2,FALSE())</f>
        <v>0</v>
      </c>
      <c r="C238" s="245" t="str">
        <f aca="false">IF(VLOOKUP(A238,'TH theo khach hang'!$A$4:$C$309,3,FALSE())=0, "", "x")</f>
        <v/>
      </c>
      <c r="D238" s="246" t="n">
        <f aca="false">F238-H238</f>
        <v>0</v>
      </c>
      <c r="E238" s="247" t="n">
        <f aca="false">G238-I238</f>
        <v>0</v>
      </c>
      <c r="F238" s="248" t="n">
        <f aca="false">VLOOKUP(A238,'TH theo khach hang'!$A$4:$G$309,4,FALSE())</f>
        <v>0</v>
      </c>
      <c r="G238" s="249" t="n">
        <f aca="false">VLOOKUP(A238,'TH theo khach hang'!$A$4:$G$309,5,FALSE())</f>
        <v>0</v>
      </c>
      <c r="H238" s="248" t="n">
        <f aca="false">J238+L238+N238+P238+R238+T238+V238+X238+Z238+AB238+AD238+AF238</f>
        <v>0</v>
      </c>
      <c r="I238" s="250" t="n">
        <f aca="false">K238+M238+O238+Q238+S238+U238+W238+Y238+AA238+AC238+AE238+AG238</f>
        <v>0</v>
      </c>
      <c r="J238" s="249"/>
      <c r="K238" s="249"/>
      <c r="L238" s="249"/>
      <c r="M238" s="249"/>
      <c r="N238" s="249"/>
      <c r="O238" s="249"/>
      <c r="P238" s="249"/>
      <c r="Q238" s="249"/>
      <c r="R238" s="249"/>
      <c r="S238" s="249"/>
      <c r="T238" s="249"/>
      <c r="U238" s="249"/>
      <c r="V238" s="249"/>
      <c r="W238" s="249"/>
      <c r="X238" s="249"/>
      <c r="Y238" s="249"/>
      <c r="Z238" s="249"/>
      <c r="AA238" s="249"/>
      <c r="AB238" s="249"/>
      <c r="AC238" s="249"/>
      <c r="AD238" s="249"/>
      <c r="AE238" s="249"/>
      <c r="AF238" s="249"/>
      <c r="AG238" s="249"/>
    </row>
    <row r="239" customFormat="false" ht="16.5" hidden="false" customHeight="false" outlineLevel="0" collapsed="false">
      <c r="A239" s="252" t="s">
        <v>416</v>
      </c>
      <c r="B239" s="214" t="n">
        <f aca="false">VLOOKUP(A239,'TH theo khach hang'!$A$4:$C$309,2,FALSE())</f>
        <v>0</v>
      </c>
      <c r="C239" s="245" t="str">
        <f aca="false">IF(VLOOKUP(A239,'TH theo khach hang'!$A$4:$C$309,3,FALSE())=0, "", "x")</f>
        <v/>
      </c>
      <c r="D239" s="246" t="n">
        <f aca="false">F239-H239</f>
        <v>0</v>
      </c>
      <c r="E239" s="247" t="n">
        <f aca="false">G239-I239</f>
        <v>0</v>
      </c>
      <c r="F239" s="248" t="n">
        <f aca="false">VLOOKUP(A239,'TH theo khach hang'!$A$4:$G$309,4,FALSE())</f>
        <v>0</v>
      </c>
      <c r="G239" s="249" t="n">
        <f aca="false">VLOOKUP(A239,'TH theo khach hang'!$A$4:$G$309,5,FALSE())</f>
        <v>0</v>
      </c>
      <c r="H239" s="248" t="n">
        <f aca="false">J239+L239+N239+P239+R239+T239+V239+X239+Z239+AB239+AD239+AF239</f>
        <v>0</v>
      </c>
      <c r="I239" s="250" t="n">
        <f aca="false">K239+M239+O239+Q239+S239+U239+W239+Y239+AA239+AC239+AE239+AG239</f>
        <v>0</v>
      </c>
      <c r="J239" s="249"/>
      <c r="K239" s="249"/>
      <c r="L239" s="249"/>
      <c r="M239" s="249"/>
      <c r="N239" s="249"/>
      <c r="O239" s="249"/>
      <c r="P239" s="249"/>
      <c r="Q239" s="249"/>
      <c r="R239" s="249"/>
      <c r="S239" s="249"/>
      <c r="T239" s="249"/>
      <c r="U239" s="249"/>
      <c r="V239" s="249"/>
      <c r="W239" s="249"/>
      <c r="X239" s="249"/>
      <c r="Y239" s="249"/>
      <c r="Z239" s="249"/>
      <c r="AA239" s="249"/>
      <c r="AB239" s="249"/>
      <c r="AC239" s="249"/>
      <c r="AD239" s="249"/>
      <c r="AE239" s="249"/>
      <c r="AF239" s="249"/>
      <c r="AG239" s="249"/>
    </row>
    <row r="240" customFormat="false" ht="16.5" hidden="false" customHeight="false" outlineLevel="0" collapsed="false">
      <c r="A240" s="252" t="s">
        <v>417</v>
      </c>
      <c r="B240" s="214" t="n">
        <f aca="false">VLOOKUP(A240,'TH theo khach hang'!$A$4:$C$309,2,FALSE())</f>
        <v>0</v>
      </c>
      <c r="C240" s="245" t="str">
        <f aca="false">IF(VLOOKUP(A240,'TH theo khach hang'!$A$4:$C$309,3,FALSE())=0, "", "x")</f>
        <v/>
      </c>
      <c r="D240" s="246" t="n">
        <f aca="false">F240-H240</f>
        <v>0</v>
      </c>
      <c r="E240" s="247" t="n">
        <f aca="false">G240-I240</f>
        <v>0</v>
      </c>
      <c r="F240" s="248" t="n">
        <f aca="false">VLOOKUP(A240,'TH theo khach hang'!$A$4:$G$309,4,FALSE())</f>
        <v>0</v>
      </c>
      <c r="G240" s="249" t="n">
        <f aca="false">VLOOKUP(A240,'TH theo khach hang'!$A$4:$G$309,5,FALSE())</f>
        <v>0</v>
      </c>
      <c r="H240" s="248" t="n">
        <f aca="false">J240+L240+N240+P240+R240+T240+V240+X240+Z240+AB240+AD240+AF240</f>
        <v>0</v>
      </c>
      <c r="I240" s="250" t="n">
        <f aca="false">K240+M240+O240+Q240+S240+U240+W240+Y240+AA240+AC240+AE240+AG240</f>
        <v>0</v>
      </c>
      <c r="J240" s="249"/>
      <c r="K240" s="249"/>
      <c r="L240" s="249"/>
      <c r="M240" s="249"/>
      <c r="N240" s="249"/>
      <c r="O240" s="249"/>
      <c r="P240" s="249"/>
      <c r="Q240" s="249"/>
      <c r="R240" s="249"/>
      <c r="S240" s="249"/>
      <c r="T240" s="249"/>
      <c r="U240" s="249"/>
      <c r="V240" s="249"/>
      <c r="W240" s="249"/>
      <c r="X240" s="249"/>
      <c r="Y240" s="249"/>
      <c r="Z240" s="249"/>
      <c r="AA240" s="249"/>
      <c r="AB240" s="249"/>
      <c r="AC240" s="249"/>
      <c r="AD240" s="249"/>
      <c r="AE240" s="249"/>
      <c r="AF240" s="249"/>
      <c r="AG240" s="249"/>
      <c r="AH240" s="251"/>
    </row>
    <row r="241" customFormat="false" ht="16.5" hidden="false" customHeight="false" outlineLevel="0" collapsed="false">
      <c r="A241" s="252" t="s">
        <v>418</v>
      </c>
      <c r="B241" s="214" t="n">
        <f aca="false">VLOOKUP(A241,'TH theo khach hang'!$A$4:$C$309,2,FALSE())</f>
        <v>0</v>
      </c>
      <c r="C241" s="245" t="str">
        <f aca="false">IF(VLOOKUP(A241,'TH theo khach hang'!$A$4:$C$309,3,FALSE())=0, "", "x")</f>
        <v/>
      </c>
      <c r="D241" s="246" t="n">
        <f aca="false">F241-H241</f>
        <v>0</v>
      </c>
      <c r="E241" s="247" t="n">
        <f aca="false">G241-I241</f>
        <v>0</v>
      </c>
      <c r="F241" s="248" t="n">
        <f aca="false">VLOOKUP(A241,'TH theo khach hang'!$A$4:$G$309,4,FALSE())</f>
        <v>0</v>
      </c>
      <c r="G241" s="249" t="n">
        <f aca="false">VLOOKUP(A241,'TH theo khach hang'!$A$4:$G$309,5,FALSE())</f>
        <v>0</v>
      </c>
      <c r="H241" s="248" t="n">
        <f aca="false">J241+L241+N241+P241+R241+T241+V241+X241+Z241+AB241+AD241+AF241</f>
        <v>0</v>
      </c>
      <c r="I241" s="250" t="n">
        <f aca="false">K241+M241+O241+Q241+S241+U241+W241+Y241+AA241+AC241+AE241+AG241</f>
        <v>0</v>
      </c>
      <c r="J241" s="249"/>
      <c r="K241" s="249"/>
      <c r="L241" s="249"/>
      <c r="M241" s="249"/>
      <c r="N241" s="249"/>
      <c r="O241" s="249"/>
      <c r="P241" s="249"/>
      <c r="Q241" s="249"/>
      <c r="R241" s="249"/>
      <c r="S241" s="249"/>
      <c r="T241" s="249"/>
      <c r="U241" s="249"/>
      <c r="V241" s="249"/>
      <c r="W241" s="249"/>
      <c r="X241" s="249"/>
      <c r="Y241" s="249"/>
      <c r="Z241" s="249"/>
      <c r="AA241" s="249"/>
      <c r="AB241" s="249"/>
      <c r="AC241" s="249"/>
      <c r="AD241" s="249"/>
      <c r="AE241" s="249"/>
      <c r="AF241" s="249"/>
      <c r="AG241" s="249"/>
    </row>
    <row r="242" customFormat="false" ht="16.5" hidden="false" customHeight="false" outlineLevel="0" collapsed="false">
      <c r="A242" s="252" t="s">
        <v>419</v>
      </c>
      <c r="B242" s="214" t="n">
        <f aca="false">VLOOKUP(A242,'TH theo khach hang'!$A$4:$C$309,2,FALSE())</f>
        <v>0</v>
      </c>
      <c r="C242" s="245" t="str">
        <f aca="false">IF(VLOOKUP(A242,'TH theo khach hang'!$A$4:$C$309,3,FALSE())=0, "", "x")</f>
        <v/>
      </c>
      <c r="D242" s="246" t="n">
        <f aca="false">F242-H242</f>
        <v>0</v>
      </c>
      <c r="E242" s="247" t="n">
        <f aca="false">G242-I242</f>
        <v>0</v>
      </c>
      <c r="F242" s="248" t="n">
        <f aca="false">VLOOKUP(A242,'TH theo khach hang'!$A$4:$G$309,4,FALSE())</f>
        <v>0</v>
      </c>
      <c r="G242" s="249" t="n">
        <f aca="false">VLOOKUP(A242,'TH theo khach hang'!$A$4:$G$309,5,FALSE())</f>
        <v>0</v>
      </c>
      <c r="H242" s="248" t="n">
        <f aca="false">J242+L242+N242+P242+R242+T242+V242+X242+Z242+AB242+AD242+AF242</f>
        <v>0</v>
      </c>
      <c r="I242" s="250" t="n">
        <f aca="false">K242+M242+O242+Q242+S242+U242+W242+Y242+AA242+AC242+AE242+AG242</f>
        <v>0</v>
      </c>
      <c r="J242" s="249"/>
      <c r="K242" s="249"/>
      <c r="L242" s="249"/>
      <c r="M242" s="249"/>
      <c r="N242" s="249"/>
      <c r="O242" s="249"/>
      <c r="P242" s="249"/>
      <c r="Q242" s="249"/>
      <c r="R242" s="249"/>
      <c r="S242" s="249"/>
      <c r="T242" s="249"/>
      <c r="U242" s="249"/>
      <c r="V242" s="249"/>
      <c r="W242" s="249"/>
      <c r="X242" s="249"/>
      <c r="Y242" s="249"/>
      <c r="Z242" s="249"/>
      <c r="AA242" s="249"/>
      <c r="AB242" s="249"/>
      <c r="AC242" s="249"/>
      <c r="AD242" s="249"/>
      <c r="AE242" s="249"/>
      <c r="AF242" s="249"/>
      <c r="AG242" s="249"/>
    </row>
    <row r="243" customFormat="false" ht="16.5" hidden="false" customHeight="false" outlineLevel="0" collapsed="false">
      <c r="A243" s="252" t="s">
        <v>420</v>
      </c>
      <c r="B243" s="214" t="n">
        <f aca="false">VLOOKUP(A243,'TH theo khach hang'!$A$4:$C$309,2,FALSE())</f>
        <v>0</v>
      </c>
      <c r="C243" s="245" t="str">
        <f aca="false">IF(VLOOKUP(A243,'TH theo khach hang'!$A$4:$C$309,3,FALSE())=0, "", "x")</f>
        <v/>
      </c>
      <c r="D243" s="246" t="n">
        <f aca="false">F243-H243</f>
        <v>0</v>
      </c>
      <c r="E243" s="247" t="n">
        <f aca="false">G243-I243</f>
        <v>0</v>
      </c>
      <c r="F243" s="248" t="n">
        <f aca="false">VLOOKUP(A243,'TH theo khach hang'!$A$4:$G$309,4,FALSE())</f>
        <v>0</v>
      </c>
      <c r="G243" s="249" t="n">
        <f aca="false">VLOOKUP(A243,'TH theo khach hang'!$A$4:$G$309,5,FALSE())</f>
        <v>0</v>
      </c>
      <c r="H243" s="248" t="n">
        <f aca="false">J243+L243+N243+P243+R243+T243+V243+X243+Z243+AB243+AD243+AF243</f>
        <v>0</v>
      </c>
      <c r="I243" s="250" t="n">
        <f aca="false">K243+M243+O243+Q243+S243+U243+W243+Y243+AA243+AC243+AE243+AG243</f>
        <v>0</v>
      </c>
      <c r="J243" s="249"/>
      <c r="K243" s="249"/>
      <c r="L243" s="249"/>
      <c r="M243" s="249"/>
      <c r="N243" s="249"/>
      <c r="O243" s="249"/>
      <c r="P243" s="249"/>
      <c r="Q243" s="249"/>
      <c r="R243" s="249"/>
      <c r="S243" s="249"/>
      <c r="T243" s="249"/>
      <c r="U243" s="249"/>
      <c r="V243" s="249"/>
      <c r="W243" s="249"/>
      <c r="X243" s="249"/>
      <c r="Y243" s="249"/>
      <c r="Z243" s="249"/>
      <c r="AA243" s="249"/>
      <c r="AB243" s="249"/>
      <c r="AC243" s="249"/>
      <c r="AD243" s="249"/>
      <c r="AE243" s="249"/>
      <c r="AF243" s="249"/>
      <c r="AG243" s="249"/>
      <c r="AH243" s="251"/>
    </row>
    <row r="244" customFormat="false" ht="16.5" hidden="false" customHeight="false" outlineLevel="0" collapsed="false">
      <c r="A244" s="252" t="s">
        <v>421</v>
      </c>
      <c r="B244" s="214" t="n">
        <f aca="false">VLOOKUP(A244,'TH theo khach hang'!$A$4:$C$309,2,FALSE())</f>
        <v>0</v>
      </c>
      <c r="C244" s="245" t="str">
        <f aca="false">IF(VLOOKUP(A244,'TH theo khach hang'!$A$4:$C$309,3,FALSE())=0, "", "x")</f>
        <v/>
      </c>
      <c r="D244" s="246" t="n">
        <f aca="false">F244-H244</f>
        <v>0</v>
      </c>
      <c r="E244" s="247" t="n">
        <f aca="false">G244-I244</f>
        <v>0</v>
      </c>
      <c r="F244" s="248" t="n">
        <f aca="false">VLOOKUP(A244,'TH theo khach hang'!$A$4:$G$309,4,FALSE())</f>
        <v>0</v>
      </c>
      <c r="G244" s="249" t="n">
        <f aca="false">VLOOKUP(A244,'TH theo khach hang'!$A$4:$G$309,5,FALSE())</f>
        <v>0</v>
      </c>
      <c r="H244" s="248" t="n">
        <f aca="false">J244+L244+N244+P244+R244+T244+V244+X244+Z244+AB244+AD244+AF244</f>
        <v>0</v>
      </c>
      <c r="I244" s="250" t="n">
        <f aca="false">K244+M244+O244+Q244+S244+U244+W244+Y244+AA244+AC244+AE244+AG244</f>
        <v>0</v>
      </c>
      <c r="J244" s="249"/>
      <c r="K244" s="249"/>
      <c r="L244" s="249"/>
      <c r="M244" s="249"/>
      <c r="N244" s="249"/>
      <c r="O244" s="249"/>
      <c r="P244" s="249"/>
      <c r="Q244" s="249"/>
      <c r="R244" s="249"/>
      <c r="S244" s="249"/>
      <c r="T244" s="249"/>
      <c r="U244" s="249"/>
      <c r="V244" s="249"/>
      <c r="W244" s="249"/>
      <c r="X244" s="249"/>
      <c r="Y244" s="249"/>
      <c r="Z244" s="249"/>
      <c r="AA244" s="249"/>
      <c r="AB244" s="249"/>
      <c r="AC244" s="249"/>
      <c r="AD244" s="249"/>
      <c r="AE244" s="249"/>
      <c r="AF244" s="249"/>
      <c r="AG244" s="249"/>
    </row>
    <row r="245" customFormat="false" ht="16.5" hidden="false" customHeight="false" outlineLevel="0" collapsed="false">
      <c r="A245" s="252" t="s">
        <v>422</v>
      </c>
      <c r="B245" s="214" t="n">
        <f aca="false">VLOOKUP(A245,'TH theo khach hang'!$A$4:$C$309,2,FALSE())</f>
        <v>0</v>
      </c>
      <c r="C245" s="245" t="str">
        <f aca="false">IF(VLOOKUP(A245,'TH theo khach hang'!$A$4:$C$309,3,FALSE())=0, "", "x")</f>
        <v/>
      </c>
      <c r="D245" s="246" t="n">
        <f aca="false">F245-H245</f>
        <v>0</v>
      </c>
      <c r="E245" s="247" t="n">
        <f aca="false">G245-I245</f>
        <v>0</v>
      </c>
      <c r="F245" s="248" t="n">
        <f aca="false">VLOOKUP(A245,'TH theo khach hang'!$A$4:$G$309,4,FALSE())</f>
        <v>0</v>
      </c>
      <c r="G245" s="249" t="n">
        <f aca="false">VLOOKUP(A245,'TH theo khach hang'!$A$4:$G$309,5,FALSE())</f>
        <v>0</v>
      </c>
      <c r="H245" s="248" t="n">
        <f aca="false">J245+L245+N245+P245+R245+T245+V245+X245+Z245+AB245+AD245+AF245</f>
        <v>0</v>
      </c>
      <c r="I245" s="250" t="n">
        <f aca="false">K245+M245+O245+Q245+S245+U245+W245+Y245+AA245+AC245+AE245+AG245</f>
        <v>0</v>
      </c>
      <c r="J245" s="249"/>
      <c r="K245" s="249"/>
      <c r="L245" s="249"/>
      <c r="M245" s="249"/>
      <c r="N245" s="249"/>
      <c r="O245" s="249"/>
      <c r="P245" s="249"/>
      <c r="Q245" s="249"/>
      <c r="R245" s="249"/>
      <c r="S245" s="249"/>
      <c r="T245" s="249"/>
      <c r="U245" s="249"/>
      <c r="V245" s="249"/>
      <c r="W245" s="249"/>
      <c r="X245" s="249"/>
      <c r="Y245" s="249"/>
      <c r="Z245" s="249"/>
      <c r="AA245" s="249"/>
      <c r="AB245" s="249"/>
      <c r="AC245" s="249"/>
      <c r="AD245" s="249"/>
      <c r="AE245" s="249"/>
      <c r="AF245" s="249"/>
      <c r="AG245" s="249"/>
    </row>
    <row r="246" customFormat="false" ht="16.5" hidden="false" customHeight="false" outlineLevel="0" collapsed="false">
      <c r="A246" s="252" t="s">
        <v>423</v>
      </c>
      <c r="B246" s="214" t="n">
        <f aca="false">VLOOKUP(A246,'TH theo khach hang'!$A$4:$C$309,2,FALSE())</f>
        <v>0</v>
      </c>
      <c r="C246" s="245" t="str">
        <f aca="false">IF(VLOOKUP(A246,'TH theo khach hang'!$A$4:$C$309,3,FALSE())=0, "", "x")</f>
        <v/>
      </c>
      <c r="D246" s="246" t="n">
        <f aca="false">F246-H246</f>
        <v>0</v>
      </c>
      <c r="E246" s="247" t="n">
        <f aca="false">G246-I246</f>
        <v>0</v>
      </c>
      <c r="F246" s="248" t="n">
        <f aca="false">VLOOKUP(A246,'TH theo khach hang'!$A$4:$G$309,4,FALSE())</f>
        <v>0</v>
      </c>
      <c r="G246" s="249" t="n">
        <f aca="false">VLOOKUP(A246,'TH theo khach hang'!$A$4:$G$309,5,FALSE())</f>
        <v>0</v>
      </c>
      <c r="H246" s="248" t="n">
        <f aca="false">J246+L246+N246+P246+R246+T246+V246+X246+Z246+AB246+AD246+AF246</f>
        <v>0</v>
      </c>
      <c r="I246" s="250" t="n">
        <f aca="false">K246+M246+O246+Q246+S246+U246+W246+Y246+AA246+AC246+AE246+AG246</f>
        <v>0</v>
      </c>
      <c r="J246" s="249"/>
      <c r="K246" s="249"/>
      <c r="L246" s="249"/>
      <c r="M246" s="249"/>
      <c r="N246" s="249"/>
      <c r="O246" s="249"/>
      <c r="P246" s="249"/>
      <c r="Q246" s="249"/>
      <c r="R246" s="249"/>
      <c r="S246" s="249"/>
      <c r="T246" s="249"/>
      <c r="U246" s="249"/>
      <c r="V246" s="249"/>
      <c r="W246" s="249"/>
      <c r="X246" s="249"/>
      <c r="Y246" s="249"/>
      <c r="Z246" s="249"/>
      <c r="AA246" s="249"/>
      <c r="AB246" s="249"/>
      <c r="AC246" s="249"/>
      <c r="AD246" s="249"/>
      <c r="AE246" s="249"/>
      <c r="AF246" s="249"/>
      <c r="AG246" s="249"/>
    </row>
    <row r="247" customFormat="false" ht="16.5" hidden="false" customHeight="false" outlineLevel="0" collapsed="false">
      <c r="A247" s="252" t="s">
        <v>424</v>
      </c>
      <c r="B247" s="214" t="n">
        <f aca="false">VLOOKUP(A247,'TH theo khach hang'!$A$4:$C$309,2,FALSE())</f>
        <v>0</v>
      </c>
      <c r="C247" s="245" t="str">
        <f aca="false">IF(VLOOKUP(A247,'TH theo khach hang'!$A$4:$C$309,3,FALSE())=0, "", "x")</f>
        <v/>
      </c>
      <c r="D247" s="246" t="n">
        <f aca="false">F247-H247</f>
        <v>0</v>
      </c>
      <c r="E247" s="247" t="n">
        <f aca="false">G247-I247</f>
        <v>0</v>
      </c>
      <c r="F247" s="248" t="n">
        <f aca="false">VLOOKUP(A247,'TH theo khach hang'!$A$4:$G$309,4,FALSE())</f>
        <v>0</v>
      </c>
      <c r="G247" s="249" t="n">
        <f aca="false">VLOOKUP(A247,'TH theo khach hang'!$A$4:$G$309,5,FALSE())</f>
        <v>0</v>
      </c>
      <c r="H247" s="248" t="n">
        <f aca="false">J247+L247+N247+P247+R247+T247+V247+X247+Z247+AB247+AD247+AF247</f>
        <v>0</v>
      </c>
      <c r="I247" s="250" t="n">
        <f aca="false">K247+M247+O247+Q247+S247+U247+W247+Y247+AA247+AC247+AE247+AG247</f>
        <v>0</v>
      </c>
      <c r="J247" s="249"/>
      <c r="K247" s="249"/>
      <c r="L247" s="249"/>
      <c r="M247" s="249"/>
      <c r="N247" s="249"/>
      <c r="O247" s="249"/>
      <c r="P247" s="249"/>
      <c r="Q247" s="249"/>
      <c r="R247" s="249"/>
      <c r="S247" s="249"/>
      <c r="T247" s="249"/>
      <c r="U247" s="249"/>
      <c r="V247" s="249"/>
      <c r="W247" s="249"/>
      <c r="X247" s="249"/>
      <c r="Y247" s="249"/>
      <c r="Z247" s="249"/>
      <c r="AA247" s="249"/>
      <c r="AB247" s="249"/>
      <c r="AC247" s="249"/>
      <c r="AD247" s="249"/>
      <c r="AE247" s="249"/>
      <c r="AF247" s="249"/>
      <c r="AG247" s="249"/>
    </row>
    <row r="248" customFormat="false" ht="16.5" hidden="false" customHeight="false" outlineLevel="0" collapsed="false">
      <c r="A248" s="252" t="s">
        <v>425</v>
      </c>
      <c r="B248" s="214" t="n">
        <f aca="false">VLOOKUP(A248,'TH theo khach hang'!$A$4:$C$309,2,FALSE())</f>
        <v>0</v>
      </c>
      <c r="C248" s="245" t="str">
        <f aca="false">IF(VLOOKUP(A248,'TH theo khach hang'!$A$4:$C$309,3,FALSE())=0, "", "x")</f>
        <v/>
      </c>
      <c r="D248" s="246" t="n">
        <f aca="false">F248-H248</f>
        <v>0</v>
      </c>
      <c r="E248" s="247" t="n">
        <f aca="false">G248-I248</f>
        <v>0</v>
      </c>
      <c r="F248" s="248" t="n">
        <f aca="false">VLOOKUP(A248,'TH theo khach hang'!$A$4:$G$309,4,FALSE())</f>
        <v>0</v>
      </c>
      <c r="G248" s="249" t="n">
        <f aca="false">VLOOKUP(A248,'TH theo khach hang'!$A$4:$G$309,5,FALSE())</f>
        <v>0</v>
      </c>
      <c r="H248" s="248" t="n">
        <f aca="false">J248+L248+N248+P248+R248+T248+V248+X248+Z248+AB248+AD248+AF248</f>
        <v>0</v>
      </c>
      <c r="I248" s="250" t="n">
        <f aca="false">K248+M248+O248+Q248+S248+U248+W248+Y248+AA248+AC248+AE248+AG248</f>
        <v>0</v>
      </c>
      <c r="J248" s="249"/>
      <c r="K248" s="249"/>
      <c r="L248" s="249"/>
      <c r="M248" s="249"/>
      <c r="N248" s="249"/>
      <c r="O248" s="249"/>
      <c r="P248" s="249"/>
      <c r="Q248" s="249"/>
      <c r="R248" s="249"/>
      <c r="S248" s="249"/>
      <c r="T248" s="249"/>
      <c r="U248" s="249"/>
      <c r="V248" s="249"/>
      <c r="W248" s="249"/>
      <c r="X248" s="249"/>
      <c r="Y248" s="249"/>
      <c r="Z248" s="249"/>
      <c r="AA248" s="249"/>
      <c r="AB248" s="249"/>
      <c r="AC248" s="249"/>
      <c r="AD248" s="249"/>
      <c r="AE248" s="249"/>
      <c r="AF248" s="249"/>
      <c r="AG248" s="249"/>
    </row>
    <row r="249" customFormat="false" ht="16.5" hidden="false" customHeight="false" outlineLevel="0" collapsed="false">
      <c r="A249" s="252" t="s">
        <v>426</v>
      </c>
      <c r="B249" s="214" t="n">
        <f aca="false">VLOOKUP(A249,'TH theo khach hang'!$A$4:$C$309,2,FALSE())</f>
        <v>0</v>
      </c>
      <c r="C249" s="245" t="str">
        <f aca="false">IF(VLOOKUP(A249,'TH theo khach hang'!$A$4:$C$309,3,FALSE())=0, "", "x")</f>
        <v/>
      </c>
      <c r="D249" s="246" t="n">
        <f aca="false">F249-H249</f>
        <v>0</v>
      </c>
      <c r="E249" s="247" t="n">
        <f aca="false">G249-I249</f>
        <v>0</v>
      </c>
      <c r="F249" s="248" t="n">
        <f aca="false">VLOOKUP(A249,'TH theo khach hang'!$A$4:$G$309,4,FALSE())</f>
        <v>0</v>
      </c>
      <c r="G249" s="249" t="n">
        <f aca="false">VLOOKUP(A249,'TH theo khach hang'!$A$4:$G$309,5,FALSE())</f>
        <v>0</v>
      </c>
      <c r="H249" s="248" t="n">
        <f aca="false">J249+L249+N249+P249+R249+T249+V249+X249+Z249+AB249+AD249+AF249</f>
        <v>0</v>
      </c>
      <c r="I249" s="250" t="n">
        <f aca="false">K249+M249+O249+Q249+S249+U249+W249+Y249+AA249+AC249+AE249+AG249</f>
        <v>0</v>
      </c>
      <c r="J249" s="249"/>
      <c r="K249" s="249"/>
      <c r="L249" s="249"/>
      <c r="M249" s="249"/>
      <c r="N249" s="249"/>
      <c r="O249" s="249"/>
      <c r="P249" s="249"/>
      <c r="Q249" s="249"/>
      <c r="R249" s="249"/>
      <c r="S249" s="249"/>
      <c r="T249" s="249"/>
      <c r="U249" s="249"/>
      <c r="V249" s="249"/>
      <c r="W249" s="249"/>
      <c r="X249" s="249"/>
      <c r="Y249" s="249"/>
      <c r="Z249" s="249"/>
      <c r="AA249" s="249"/>
      <c r="AB249" s="249"/>
      <c r="AC249" s="249"/>
      <c r="AD249" s="249"/>
      <c r="AE249" s="249"/>
      <c r="AF249" s="249"/>
      <c r="AG249" s="249"/>
    </row>
    <row r="250" customFormat="false" ht="16.5" hidden="false" customHeight="false" outlineLevel="0" collapsed="false">
      <c r="A250" s="252" t="s">
        <v>427</v>
      </c>
      <c r="B250" s="214" t="n">
        <f aca="false">VLOOKUP(A250,'TH theo khach hang'!$A$4:$C$309,2,FALSE())</f>
        <v>0</v>
      </c>
      <c r="C250" s="245" t="str">
        <f aca="false">IF(VLOOKUP(A250,'TH theo khach hang'!$A$4:$C$309,3,FALSE())=0, "", "x")</f>
        <v/>
      </c>
      <c r="D250" s="246" t="n">
        <f aca="false">F250-H250</f>
        <v>0</v>
      </c>
      <c r="E250" s="247" t="n">
        <f aca="false">G250-I250</f>
        <v>0</v>
      </c>
      <c r="F250" s="248" t="n">
        <f aca="false">VLOOKUP(A250,'TH theo khach hang'!$A$4:$G$309,4,FALSE())</f>
        <v>0</v>
      </c>
      <c r="G250" s="249" t="n">
        <f aca="false">VLOOKUP(A250,'TH theo khach hang'!$A$4:$G$309,5,FALSE())</f>
        <v>0</v>
      </c>
      <c r="H250" s="248" t="n">
        <f aca="false">J250+L250+N250+P250+R250+T250+V250+X250+Z250+AB250+AD250+AF250</f>
        <v>0</v>
      </c>
      <c r="I250" s="250" t="n">
        <f aca="false">K250+M250+O250+Q250+S250+U250+W250+Y250+AA250+AC250+AE250+AG250</f>
        <v>0</v>
      </c>
      <c r="J250" s="249"/>
      <c r="K250" s="249"/>
      <c r="L250" s="249"/>
      <c r="M250" s="249"/>
      <c r="N250" s="249"/>
      <c r="O250" s="249"/>
      <c r="P250" s="249"/>
      <c r="Q250" s="249"/>
      <c r="R250" s="249"/>
      <c r="S250" s="249"/>
      <c r="T250" s="249"/>
      <c r="U250" s="249"/>
      <c r="V250" s="249"/>
      <c r="W250" s="249"/>
      <c r="X250" s="249"/>
      <c r="Y250" s="249"/>
      <c r="Z250" s="249"/>
      <c r="AA250" s="249"/>
      <c r="AB250" s="249"/>
      <c r="AC250" s="249"/>
      <c r="AD250" s="249"/>
      <c r="AE250" s="249"/>
      <c r="AF250" s="249"/>
      <c r="AG250" s="249"/>
    </row>
    <row r="251" customFormat="false" ht="16.5" hidden="false" customHeight="false" outlineLevel="0" collapsed="false">
      <c r="A251" s="252" t="s">
        <v>428</v>
      </c>
      <c r="B251" s="214" t="n">
        <f aca="false">VLOOKUP(A251,'TH theo khach hang'!$A$4:$C$309,2,FALSE())</f>
        <v>0</v>
      </c>
      <c r="C251" s="245" t="str">
        <f aca="false">IF(VLOOKUP(A251,'TH theo khach hang'!$A$4:$C$309,3,FALSE())=0, "", "x")</f>
        <v/>
      </c>
      <c r="D251" s="246" t="n">
        <f aca="false">F251-H251</f>
        <v>0</v>
      </c>
      <c r="E251" s="247" t="n">
        <f aca="false">G251-I251</f>
        <v>0</v>
      </c>
      <c r="F251" s="248" t="n">
        <f aca="false">VLOOKUP(A251,'TH theo khach hang'!$A$4:$G$309,4,FALSE())</f>
        <v>0</v>
      </c>
      <c r="G251" s="249" t="n">
        <f aca="false">VLOOKUP(A251,'TH theo khach hang'!$A$4:$G$309,5,FALSE())</f>
        <v>0</v>
      </c>
      <c r="H251" s="248" t="n">
        <f aca="false">J251+L251+N251+P251+R251+T251+V251+X251+Z251+AB251+AD251+AF251</f>
        <v>0</v>
      </c>
      <c r="I251" s="250" t="n">
        <f aca="false">K251+M251+O251+Q251+S251+U251+W251+Y251+AA251+AC251+AE251+AG251</f>
        <v>0</v>
      </c>
      <c r="J251" s="249"/>
      <c r="K251" s="249"/>
      <c r="L251" s="249"/>
      <c r="M251" s="249"/>
      <c r="N251" s="249"/>
      <c r="O251" s="249"/>
      <c r="P251" s="249"/>
      <c r="Q251" s="249"/>
      <c r="R251" s="249"/>
      <c r="S251" s="249"/>
      <c r="T251" s="249"/>
      <c r="U251" s="249"/>
      <c r="V251" s="249"/>
      <c r="W251" s="249"/>
      <c r="X251" s="249"/>
      <c r="Y251" s="249"/>
      <c r="Z251" s="249"/>
      <c r="AA251" s="249"/>
      <c r="AB251" s="249"/>
      <c r="AC251" s="249"/>
      <c r="AD251" s="249"/>
      <c r="AE251" s="249"/>
      <c r="AF251" s="249"/>
      <c r="AG251" s="249"/>
    </row>
    <row r="252" customFormat="false" ht="16.5" hidden="false" customHeight="false" outlineLevel="0" collapsed="false">
      <c r="A252" s="252" t="s">
        <v>429</v>
      </c>
      <c r="B252" s="214" t="n">
        <f aca="false">VLOOKUP(A252,'TH theo khach hang'!$A$4:$C$309,2,FALSE())</f>
        <v>0</v>
      </c>
      <c r="C252" s="245" t="str">
        <f aca="false">IF(VLOOKUP(A252,'TH theo khach hang'!$A$4:$C$309,3,FALSE())=0, "", "x")</f>
        <v/>
      </c>
      <c r="D252" s="246" t="n">
        <f aca="false">F252-H252</f>
        <v>0</v>
      </c>
      <c r="E252" s="247" t="n">
        <f aca="false">G252-I252</f>
        <v>0</v>
      </c>
      <c r="F252" s="248" t="n">
        <f aca="false">VLOOKUP(A252,'TH theo khach hang'!$A$4:$G$309,4,FALSE())</f>
        <v>0</v>
      </c>
      <c r="G252" s="249" t="n">
        <f aca="false">VLOOKUP(A252,'TH theo khach hang'!$A$4:$G$309,5,FALSE())</f>
        <v>0</v>
      </c>
      <c r="H252" s="248" t="n">
        <f aca="false">J252+L252+N252+P252+R252+T252+V252+X252+Z252+AB252+AD252+AF252</f>
        <v>0</v>
      </c>
      <c r="I252" s="250" t="n">
        <f aca="false">K252+M252+O252+Q252+S252+U252+W252+Y252+AA252+AC252+AE252+AG252</f>
        <v>0</v>
      </c>
      <c r="J252" s="249"/>
      <c r="K252" s="249"/>
      <c r="L252" s="249"/>
      <c r="M252" s="249"/>
      <c r="N252" s="249"/>
      <c r="O252" s="249"/>
      <c r="P252" s="249"/>
      <c r="Q252" s="249"/>
      <c r="R252" s="249"/>
      <c r="S252" s="249"/>
      <c r="T252" s="249"/>
      <c r="U252" s="249"/>
      <c r="V252" s="249"/>
      <c r="W252" s="249"/>
      <c r="X252" s="249"/>
      <c r="Y252" s="249"/>
      <c r="Z252" s="249"/>
      <c r="AA252" s="249"/>
      <c r="AB252" s="249"/>
      <c r="AC252" s="249"/>
      <c r="AD252" s="249"/>
      <c r="AE252" s="249"/>
      <c r="AF252" s="249"/>
      <c r="AG252" s="249"/>
    </row>
    <row r="253" customFormat="false" ht="16.5" hidden="false" customHeight="false" outlineLevel="0" collapsed="false">
      <c r="A253" s="252" t="s">
        <v>430</v>
      </c>
      <c r="B253" s="214" t="n">
        <f aca="false">VLOOKUP(A253,'TH theo khach hang'!$A$4:$C$309,2,FALSE())</f>
        <v>0</v>
      </c>
      <c r="C253" s="245" t="str">
        <f aca="false">IF(VLOOKUP(A253,'TH theo khach hang'!$A$4:$C$309,3,FALSE())=0, "", "x")</f>
        <v/>
      </c>
      <c r="D253" s="246" t="n">
        <f aca="false">F253-H253</f>
        <v>0</v>
      </c>
      <c r="E253" s="247" t="n">
        <f aca="false">G253-I253</f>
        <v>0</v>
      </c>
      <c r="F253" s="248" t="n">
        <f aca="false">VLOOKUP(A253,'TH theo khach hang'!$A$4:$G$309,4,FALSE())</f>
        <v>0</v>
      </c>
      <c r="G253" s="249" t="n">
        <f aca="false">VLOOKUP(A253,'TH theo khach hang'!$A$4:$G$309,5,FALSE())</f>
        <v>0</v>
      </c>
      <c r="H253" s="248" t="n">
        <f aca="false">J253+L253+N253+P253+R253+T253+V253+X253+Z253+AB253+AD253+AF253</f>
        <v>0</v>
      </c>
      <c r="I253" s="250" t="n">
        <f aca="false">K253+M253+O253+Q253+S253+U253+W253+Y253+AA253+AC253+AE253+AG253</f>
        <v>0</v>
      </c>
      <c r="J253" s="249"/>
      <c r="K253" s="249"/>
      <c r="L253" s="249"/>
      <c r="M253" s="249"/>
      <c r="N253" s="249"/>
      <c r="O253" s="249"/>
      <c r="P253" s="249"/>
      <c r="Q253" s="249"/>
      <c r="R253" s="249"/>
      <c r="S253" s="249"/>
      <c r="T253" s="249"/>
      <c r="U253" s="249"/>
      <c r="V253" s="249"/>
      <c r="W253" s="249"/>
      <c r="X253" s="249"/>
      <c r="Y253" s="249"/>
      <c r="Z253" s="249"/>
      <c r="AA253" s="249"/>
      <c r="AB253" s="249"/>
      <c r="AC253" s="249"/>
      <c r="AD253" s="249"/>
      <c r="AE253" s="249"/>
      <c r="AF253" s="249"/>
      <c r="AG253" s="249"/>
    </row>
    <row r="254" customFormat="false" ht="16.5" hidden="false" customHeight="false" outlineLevel="0" collapsed="false">
      <c r="A254" s="252" t="s">
        <v>431</v>
      </c>
      <c r="B254" s="214" t="n">
        <f aca="false">VLOOKUP(A254,'TH theo khach hang'!$A$4:$C$309,2,FALSE())</f>
        <v>0</v>
      </c>
      <c r="C254" s="245" t="str">
        <f aca="false">IF(VLOOKUP(A254,'TH theo khach hang'!$A$4:$C$309,3,FALSE())=0, "", "x")</f>
        <v/>
      </c>
      <c r="D254" s="246" t="n">
        <f aca="false">F254-H254</f>
        <v>0</v>
      </c>
      <c r="E254" s="247" t="n">
        <f aca="false">G254-I254</f>
        <v>0</v>
      </c>
      <c r="F254" s="248" t="n">
        <f aca="false">VLOOKUP(A254,'TH theo khach hang'!$A$4:$G$309,4,FALSE())</f>
        <v>0</v>
      </c>
      <c r="G254" s="249" t="n">
        <f aca="false">VLOOKUP(A254,'TH theo khach hang'!$A$4:$G$309,5,FALSE())</f>
        <v>0</v>
      </c>
      <c r="H254" s="248" t="n">
        <f aca="false">J254+L254+N254+P254+R254+T254+V254+X254+Z254+AB254+AD254+AF254</f>
        <v>0</v>
      </c>
      <c r="I254" s="250" t="n">
        <f aca="false">K254+M254+O254+Q254+S254+U254+W254+Y254+AA254+AC254+AE254+AG254</f>
        <v>0</v>
      </c>
      <c r="J254" s="249"/>
      <c r="K254" s="249"/>
      <c r="L254" s="249"/>
      <c r="M254" s="249"/>
      <c r="N254" s="249"/>
      <c r="O254" s="249"/>
      <c r="P254" s="249"/>
      <c r="Q254" s="249"/>
      <c r="R254" s="249"/>
      <c r="S254" s="249"/>
      <c r="T254" s="249"/>
      <c r="U254" s="249"/>
      <c r="V254" s="249"/>
      <c r="W254" s="249"/>
      <c r="X254" s="249"/>
      <c r="Y254" s="249"/>
      <c r="Z254" s="249"/>
      <c r="AA254" s="249"/>
      <c r="AB254" s="249"/>
      <c r="AC254" s="249"/>
      <c r="AD254" s="249"/>
      <c r="AE254" s="249"/>
      <c r="AF254" s="249"/>
      <c r="AG254" s="249"/>
    </row>
    <row r="255" customFormat="false" ht="16.5" hidden="false" customHeight="false" outlineLevel="0" collapsed="false">
      <c r="A255" s="252" t="s">
        <v>432</v>
      </c>
      <c r="B255" s="214" t="n">
        <f aca="false">VLOOKUP(A255,'TH theo khach hang'!$A$4:$C$309,2,FALSE())</f>
        <v>0</v>
      </c>
      <c r="C255" s="245" t="str">
        <f aca="false">IF(VLOOKUP(A255,'TH theo khach hang'!$A$4:$C$309,3,FALSE())=0, "", "x")</f>
        <v/>
      </c>
      <c r="D255" s="246" t="n">
        <f aca="false">F255-H255</f>
        <v>0</v>
      </c>
      <c r="E255" s="247" t="n">
        <f aca="false">G255-I255</f>
        <v>0</v>
      </c>
      <c r="F255" s="248" t="n">
        <f aca="false">VLOOKUP(A255,'TH theo khach hang'!$A$4:$G$309,4,FALSE())</f>
        <v>0</v>
      </c>
      <c r="G255" s="249" t="n">
        <f aca="false">VLOOKUP(A255,'TH theo khach hang'!$A$4:$G$309,5,FALSE())</f>
        <v>0</v>
      </c>
      <c r="H255" s="248" t="n">
        <f aca="false">J255+L255+N255+P255+R255+T255+V255+X255+Z255+AB255+AD255+AF255</f>
        <v>0</v>
      </c>
      <c r="I255" s="250" t="n">
        <f aca="false">K255+M255+O255+Q255+S255+U255+W255+Y255+AA255+AC255+AE255+AG255</f>
        <v>0</v>
      </c>
      <c r="J255" s="249"/>
      <c r="K255" s="249"/>
      <c r="L255" s="249"/>
      <c r="M255" s="249"/>
      <c r="N255" s="249"/>
      <c r="O255" s="249"/>
      <c r="P255" s="249"/>
      <c r="Q255" s="249"/>
      <c r="R255" s="249"/>
      <c r="S255" s="249"/>
      <c r="T255" s="249"/>
      <c r="U255" s="249"/>
      <c r="V255" s="249"/>
      <c r="W255" s="249"/>
      <c r="X255" s="249"/>
      <c r="Y255" s="249"/>
      <c r="Z255" s="249"/>
      <c r="AA255" s="249"/>
      <c r="AB255" s="249"/>
      <c r="AC255" s="249"/>
      <c r="AD255" s="249"/>
      <c r="AE255" s="249"/>
      <c r="AF255" s="249"/>
      <c r="AG255" s="249"/>
    </row>
    <row r="256" customFormat="false" ht="16.5" hidden="false" customHeight="false" outlineLevel="0" collapsed="false">
      <c r="A256" s="252" t="s">
        <v>433</v>
      </c>
      <c r="B256" s="214" t="n">
        <f aca="false">VLOOKUP(A256,'TH theo khach hang'!$A$4:$C$309,2,FALSE())</f>
        <v>0</v>
      </c>
      <c r="C256" s="245" t="str">
        <f aca="false">IF(VLOOKUP(A256,'TH theo khach hang'!$A$4:$C$309,3,FALSE())=0, "", "x")</f>
        <v/>
      </c>
      <c r="D256" s="246" t="n">
        <f aca="false">F256-H256</f>
        <v>0</v>
      </c>
      <c r="E256" s="247" t="n">
        <f aca="false">G256-I256</f>
        <v>0</v>
      </c>
      <c r="F256" s="248" t="n">
        <f aca="false">VLOOKUP(A256,'TH theo khach hang'!$A$4:$G$309,4,FALSE())</f>
        <v>0</v>
      </c>
      <c r="G256" s="249" t="n">
        <f aca="false">VLOOKUP(A256,'TH theo khach hang'!$A$4:$G$309,5,FALSE())</f>
        <v>0</v>
      </c>
      <c r="H256" s="248" t="n">
        <f aca="false">J256+L256+N256+P256+R256+T256+V256+X256+Z256+AB256+AD256+AF256</f>
        <v>0</v>
      </c>
      <c r="I256" s="250" t="n">
        <f aca="false">K256+M256+O256+Q256+S256+U256+W256+Y256+AA256+AC256+AE256+AG256</f>
        <v>0</v>
      </c>
      <c r="J256" s="249"/>
      <c r="K256" s="249"/>
      <c r="L256" s="249"/>
      <c r="M256" s="249"/>
      <c r="N256" s="249"/>
      <c r="O256" s="249"/>
      <c r="P256" s="249"/>
      <c r="Q256" s="249"/>
      <c r="R256" s="249"/>
      <c r="S256" s="249"/>
      <c r="T256" s="249"/>
      <c r="U256" s="249"/>
      <c r="V256" s="249"/>
      <c r="W256" s="249"/>
      <c r="X256" s="249"/>
      <c r="Y256" s="249"/>
      <c r="Z256" s="249"/>
      <c r="AA256" s="249"/>
      <c r="AB256" s="249"/>
      <c r="AC256" s="249"/>
      <c r="AD256" s="249"/>
      <c r="AE256" s="249"/>
      <c r="AF256" s="249"/>
      <c r="AG256" s="249"/>
    </row>
    <row r="257" customFormat="false" ht="16.5" hidden="false" customHeight="false" outlineLevel="0" collapsed="false">
      <c r="A257" s="252" t="s">
        <v>434</v>
      </c>
      <c r="B257" s="214" t="n">
        <f aca="false">VLOOKUP(A257,'TH theo khach hang'!$A$4:$C$309,2,FALSE())</f>
        <v>0</v>
      </c>
      <c r="C257" s="245" t="str">
        <f aca="false">IF(VLOOKUP(A257,'TH theo khach hang'!$A$4:$C$309,3,FALSE())=0, "", "x")</f>
        <v/>
      </c>
      <c r="D257" s="246" t="n">
        <f aca="false">F257-H257</f>
        <v>0</v>
      </c>
      <c r="E257" s="247" t="n">
        <f aca="false">G257-I257</f>
        <v>0</v>
      </c>
      <c r="F257" s="248" t="n">
        <f aca="false">VLOOKUP(A257,'TH theo khach hang'!$A$4:$G$309,4,FALSE())</f>
        <v>0</v>
      </c>
      <c r="G257" s="249" t="n">
        <f aca="false">VLOOKUP(A257,'TH theo khach hang'!$A$4:$G$309,5,FALSE())</f>
        <v>0</v>
      </c>
      <c r="H257" s="248" t="n">
        <f aca="false">J257+L257+N257+P257+R257+T257+V257+X257+Z257+AB257+AD257+AF257</f>
        <v>0</v>
      </c>
      <c r="I257" s="250" t="n">
        <f aca="false">K257+M257+O257+Q257+S257+U257+W257+Y257+AA257+AC257+AE257+AG257</f>
        <v>0</v>
      </c>
      <c r="J257" s="249"/>
      <c r="K257" s="249"/>
      <c r="L257" s="249"/>
      <c r="M257" s="249"/>
      <c r="N257" s="249"/>
      <c r="O257" s="249"/>
      <c r="P257" s="249"/>
      <c r="Q257" s="249"/>
      <c r="R257" s="249"/>
      <c r="S257" s="249"/>
      <c r="T257" s="249"/>
      <c r="U257" s="249"/>
      <c r="V257" s="249"/>
      <c r="W257" s="249"/>
      <c r="X257" s="249"/>
      <c r="Y257" s="249"/>
      <c r="Z257" s="249"/>
      <c r="AA257" s="249"/>
      <c r="AB257" s="249"/>
      <c r="AC257" s="249"/>
      <c r="AD257" s="249"/>
      <c r="AE257" s="249"/>
      <c r="AF257" s="249"/>
      <c r="AG257" s="249"/>
    </row>
    <row r="258" customFormat="false" ht="16.5" hidden="false" customHeight="false" outlineLevel="0" collapsed="false">
      <c r="A258" s="252" t="s">
        <v>435</v>
      </c>
      <c r="B258" s="214" t="n">
        <f aca="false">VLOOKUP(A258,'TH theo khach hang'!$A$4:$C$309,2,FALSE())</f>
        <v>0</v>
      </c>
      <c r="C258" s="245" t="str">
        <f aca="false">IF(VLOOKUP(A258,'TH theo khach hang'!$A$4:$C$309,3,FALSE())=0, "", "x")</f>
        <v/>
      </c>
      <c r="D258" s="246" t="n">
        <f aca="false">F258-H258</f>
        <v>0</v>
      </c>
      <c r="E258" s="247" t="n">
        <f aca="false">G258-I258</f>
        <v>0</v>
      </c>
      <c r="F258" s="248" t="n">
        <f aca="false">VLOOKUP(A258,'TH theo khach hang'!$A$4:$G$309,4,FALSE())</f>
        <v>0</v>
      </c>
      <c r="G258" s="249" t="n">
        <f aca="false">VLOOKUP(A258,'TH theo khach hang'!$A$4:$G$309,5,FALSE())</f>
        <v>0</v>
      </c>
      <c r="H258" s="248" t="n">
        <f aca="false">J258+L258+N258+P258+R258+T258+V258+X258+Z258+AB258+AD258+AF258</f>
        <v>0</v>
      </c>
      <c r="I258" s="250" t="n">
        <f aca="false">K258+M258+O258+Q258+S258+U258+W258+Y258+AA258+AC258+AE258+AG258</f>
        <v>0</v>
      </c>
      <c r="J258" s="249"/>
      <c r="K258" s="249"/>
      <c r="L258" s="249"/>
      <c r="M258" s="249"/>
      <c r="N258" s="249"/>
      <c r="O258" s="249"/>
      <c r="P258" s="249"/>
      <c r="Q258" s="249"/>
      <c r="R258" s="249"/>
      <c r="S258" s="249"/>
      <c r="T258" s="249"/>
      <c r="U258" s="249"/>
      <c r="V258" s="249"/>
      <c r="W258" s="249"/>
      <c r="X258" s="249"/>
      <c r="Y258" s="249"/>
      <c r="Z258" s="249"/>
      <c r="AA258" s="249"/>
      <c r="AB258" s="249"/>
      <c r="AC258" s="249"/>
      <c r="AD258" s="249"/>
      <c r="AE258" s="249"/>
      <c r="AF258" s="249"/>
      <c r="AG258" s="249"/>
      <c r="AH258" s="251"/>
    </row>
    <row r="259" customFormat="false" ht="16.5" hidden="false" customHeight="false" outlineLevel="0" collapsed="false">
      <c r="A259" s="252" t="s">
        <v>436</v>
      </c>
      <c r="B259" s="214" t="n">
        <f aca="false">VLOOKUP(A259,'TH theo khach hang'!$A$4:$C$309,2,FALSE())</f>
        <v>0</v>
      </c>
      <c r="C259" s="245" t="str">
        <f aca="false">IF(VLOOKUP(A259,'TH theo khach hang'!$A$4:$C$309,3,FALSE())=0, "", "x")</f>
        <v/>
      </c>
      <c r="D259" s="246" t="n">
        <f aca="false">F259-H259</f>
        <v>0</v>
      </c>
      <c r="E259" s="247" t="n">
        <f aca="false">G259-I259</f>
        <v>0</v>
      </c>
      <c r="F259" s="248" t="n">
        <f aca="false">VLOOKUP(A259,'TH theo khach hang'!$A$4:$G$309,4,FALSE())</f>
        <v>0</v>
      </c>
      <c r="G259" s="249" t="n">
        <f aca="false">VLOOKUP(A259,'TH theo khach hang'!$A$4:$G$309,5,FALSE())</f>
        <v>0</v>
      </c>
      <c r="H259" s="248" t="n">
        <f aca="false">J259+L259+N259+P259+R259+T259+V259+X259+Z259+AB259+AD259+AF259</f>
        <v>0</v>
      </c>
      <c r="I259" s="250" t="n">
        <f aca="false">K259+M259+O259+Q259+S259+U259+W259+Y259+AA259+AC259+AE259+AG259</f>
        <v>0</v>
      </c>
      <c r="J259" s="249"/>
      <c r="K259" s="249"/>
      <c r="L259" s="249"/>
      <c r="M259" s="249"/>
      <c r="N259" s="249"/>
      <c r="O259" s="249"/>
      <c r="P259" s="249"/>
      <c r="Q259" s="249"/>
      <c r="R259" s="249"/>
      <c r="S259" s="249"/>
      <c r="T259" s="249"/>
      <c r="U259" s="249"/>
      <c r="V259" s="249"/>
      <c r="W259" s="249"/>
      <c r="X259" s="249"/>
      <c r="Y259" s="249"/>
      <c r="Z259" s="249"/>
      <c r="AA259" s="249"/>
      <c r="AB259" s="249"/>
      <c r="AC259" s="249"/>
      <c r="AD259" s="249"/>
      <c r="AE259" s="249"/>
      <c r="AF259" s="249"/>
      <c r="AG259" s="249"/>
    </row>
    <row r="260" customFormat="false" ht="16.5" hidden="false" customHeight="false" outlineLevel="0" collapsed="false">
      <c r="A260" s="252" t="s">
        <v>437</v>
      </c>
      <c r="B260" s="214" t="n">
        <f aca="false">VLOOKUP(A260,'TH theo khach hang'!$A$4:$C$309,2,FALSE())</f>
        <v>0</v>
      </c>
      <c r="C260" s="245" t="str">
        <f aca="false">IF(VLOOKUP(A260,'TH theo khach hang'!$A$4:$C$309,3,FALSE())=0, "", "x")</f>
        <v/>
      </c>
      <c r="D260" s="246" t="n">
        <f aca="false">F260-H260</f>
        <v>0</v>
      </c>
      <c r="E260" s="247" t="n">
        <f aca="false">G260-I260</f>
        <v>0</v>
      </c>
      <c r="F260" s="248" t="n">
        <f aca="false">VLOOKUP(A260,'TH theo khach hang'!$A$4:$G$309,4,FALSE())</f>
        <v>0</v>
      </c>
      <c r="G260" s="249" t="n">
        <f aca="false">VLOOKUP(A260,'TH theo khach hang'!$A$4:$G$309,5,FALSE())</f>
        <v>0</v>
      </c>
      <c r="H260" s="248" t="n">
        <f aca="false">J260+L260+N260+P260+R260+T260+V260+X260+Z260+AB260+AD260+AF260</f>
        <v>0</v>
      </c>
      <c r="I260" s="250" t="n">
        <f aca="false">K260+M260+O260+Q260+S260+U260+W260+Y260+AA260+AC260+AE260+AG260</f>
        <v>0</v>
      </c>
      <c r="J260" s="249"/>
      <c r="K260" s="249"/>
      <c r="L260" s="249"/>
      <c r="M260" s="249"/>
      <c r="N260" s="249"/>
      <c r="O260" s="249"/>
      <c r="P260" s="249"/>
      <c r="Q260" s="249"/>
      <c r="R260" s="249"/>
      <c r="S260" s="249"/>
      <c r="T260" s="249"/>
      <c r="U260" s="249"/>
      <c r="V260" s="249"/>
      <c r="W260" s="249"/>
      <c r="X260" s="249"/>
      <c r="Y260" s="249"/>
      <c r="Z260" s="249"/>
      <c r="AA260" s="249"/>
      <c r="AB260" s="249"/>
      <c r="AC260" s="249"/>
      <c r="AD260" s="249"/>
      <c r="AE260" s="249"/>
      <c r="AF260" s="249"/>
      <c r="AG260" s="249"/>
    </row>
    <row r="261" customFormat="false" ht="16.5" hidden="false" customHeight="false" outlineLevel="0" collapsed="false">
      <c r="A261" s="252" t="s">
        <v>438</v>
      </c>
      <c r="B261" s="214" t="n">
        <f aca="false">VLOOKUP(A261,'TH theo khach hang'!$A$4:$C$309,2,FALSE())</f>
        <v>0</v>
      </c>
      <c r="C261" s="245" t="str">
        <f aca="false">IF(VLOOKUP(A261,'TH theo khach hang'!$A$4:$C$309,3,FALSE())=0, "", "x")</f>
        <v/>
      </c>
      <c r="D261" s="246" t="n">
        <f aca="false">F261-H261</f>
        <v>0</v>
      </c>
      <c r="E261" s="247" t="n">
        <f aca="false">G261-I261</f>
        <v>0</v>
      </c>
      <c r="F261" s="248" t="n">
        <f aca="false">VLOOKUP(A261,'TH theo khach hang'!$A$4:$G$309,4,FALSE())</f>
        <v>0</v>
      </c>
      <c r="G261" s="249" t="n">
        <f aca="false">VLOOKUP(A261,'TH theo khach hang'!$A$4:$G$309,5,FALSE())</f>
        <v>0</v>
      </c>
      <c r="H261" s="248" t="n">
        <f aca="false">J261+L261+N261+P261+R261+T261+V261+X261+Z261+AB261+AD261+AF261</f>
        <v>0</v>
      </c>
      <c r="I261" s="250" t="n">
        <f aca="false">K261+M261+O261+Q261+S261+U261+W261+Y261+AA261+AC261+AE261+AG261</f>
        <v>0</v>
      </c>
      <c r="J261" s="249"/>
      <c r="K261" s="249"/>
      <c r="L261" s="249"/>
      <c r="M261" s="249"/>
      <c r="N261" s="249"/>
      <c r="O261" s="249"/>
      <c r="P261" s="249"/>
      <c r="Q261" s="249"/>
      <c r="R261" s="249"/>
      <c r="S261" s="249"/>
      <c r="T261" s="249"/>
      <c r="U261" s="249"/>
      <c r="V261" s="249"/>
      <c r="W261" s="249"/>
      <c r="X261" s="249"/>
      <c r="Y261" s="249"/>
      <c r="Z261" s="249"/>
      <c r="AA261" s="249"/>
      <c r="AB261" s="249"/>
      <c r="AC261" s="249"/>
      <c r="AD261" s="249"/>
      <c r="AE261" s="249"/>
      <c r="AF261" s="249"/>
      <c r="AG261" s="249"/>
      <c r="AH261" s="251"/>
    </row>
    <row r="262" customFormat="false" ht="16.5" hidden="false" customHeight="false" outlineLevel="0" collapsed="false">
      <c r="A262" s="252" t="s">
        <v>439</v>
      </c>
      <c r="B262" s="214" t="n">
        <f aca="false">VLOOKUP(A262,'TH theo khach hang'!$A$4:$C$309,2,FALSE())</f>
        <v>0</v>
      </c>
      <c r="C262" s="245" t="str">
        <f aca="false">IF(VLOOKUP(A262,'TH theo khach hang'!$A$4:$C$309,3,FALSE())=0, "", "x")</f>
        <v/>
      </c>
      <c r="D262" s="246" t="n">
        <f aca="false">F262-H262</f>
        <v>0</v>
      </c>
      <c r="E262" s="247" t="n">
        <f aca="false">G262-I262</f>
        <v>0</v>
      </c>
      <c r="F262" s="248" t="n">
        <f aca="false">VLOOKUP(A262,'TH theo khach hang'!$A$4:$G$309,4,FALSE())</f>
        <v>0</v>
      </c>
      <c r="G262" s="249" t="n">
        <f aca="false">VLOOKUP(A262,'TH theo khach hang'!$A$4:$G$309,5,FALSE())</f>
        <v>0</v>
      </c>
      <c r="H262" s="248" t="n">
        <f aca="false">J262+L262+N262+P262+R262+T262+V262+X262+Z262+AB262+AD262+AF262</f>
        <v>0</v>
      </c>
      <c r="I262" s="250" t="n">
        <f aca="false">K262+M262+O262+Q262+S262+U262+W262+Y262+AA262+AC262+AE262+AG262</f>
        <v>0</v>
      </c>
      <c r="J262" s="249"/>
      <c r="K262" s="249"/>
      <c r="L262" s="249"/>
      <c r="M262" s="249"/>
      <c r="N262" s="249"/>
      <c r="O262" s="249"/>
      <c r="P262" s="249"/>
      <c r="Q262" s="249"/>
      <c r="R262" s="249"/>
      <c r="S262" s="249"/>
      <c r="T262" s="249"/>
      <c r="U262" s="249"/>
      <c r="V262" s="249"/>
      <c r="W262" s="249"/>
      <c r="X262" s="249"/>
      <c r="Y262" s="249"/>
      <c r="Z262" s="249"/>
      <c r="AA262" s="249"/>
      <c r="AB262" s="249"/>
      <c r="AC262" s="249"/>
      <c r="AD262" s="249"/>
      <c r="AE262" s="249"/>
      <c r="AF262" s="249"/>
      <c r="AG262" s="249"/>
    </row>
    <row r="263" customFormat="false" ht="16.5" hidden="false" customHeight="false" outlineLevel="0" collapsed="false">
      <c r="A263" s="252" t="s">
        <v>440</v>
      </c>
      <c r="B263" s="214" t="n">
        <f aca="false">VLOOKUP(A263,'TH theo khach hang'!$A$4:$C$309,2,FALSE())</f>
        <v>0</v>
      </c>
      <c r="C263" s="245" t="str">
        <f aca="false">IF(VLOOKUP(A263,'TH theo khach hang'!$A$4:$C$309,3,FALSE())=0, "", "x")</f>
        <v/>
      </c>
      <c r="D263" s="246" t="n">
        <f aca="false">F263-H263</f>
        <v>0</v>
      </c>
      <c r="E263" s="247" t="n">
        <f aca="false">G263-I263</f>
        <v>0</v>
      </c>
      <c r="F263" s="248" t="n">
        <f aca="false">VLOOKUP(A263,'TH theo khach hang'!$A$4:$G$309,4,FALSE())</f>
        <v>0</v>
      </c>
      <c r="G263" s="249" t="n">
        <f aca="false">VLOOKUP(A263,'TH theo khach hang'!$A$4:$G$309,5,FALSE())</f>
        <v>0</v>
      </c>
      <c r="H263" s="248" t="n">
        <f aca="false">J263+L263+N263+P263+R263+T263+V263+X263+Z263+AB263+AD263+AF263</f>
        <v>0</v>
      </c>
      <c r="I263" s="250" t="n">
        <f aca="false">K263+M263+O263+Q263+S263+U263+W263+Y263+AA263+AC263+AE263+AG263</f>
        <v>0</v>
      </c>
      <c r="J263" s="249"/>
      <c r="K263" s="249"/>
      <c r="L263" s="249"/>
      <c r="M263" s="249"/>
      <c r="N263" s="249"/>
      <c r="O263" s="249"/>
      <c r="P263" s="249"/>
      <c r="Q263" s="249"/>
      <c r="R263" s="249"/>
      <c r="S263" s="249"/>
      <c r="T263" s="249"/>
      <c r="U263" s="249"/>
      <c r="V263" s="249"/>
      <c r="W263" s="249"/>
      <c r="X263" s="249"/>
      <c r="Y263" s="249"/>
      <c r="Z263" s="249"/>
      <c r="AA263" s="249"/>
      <c r="AB263" s="249"/>
      <c r="AC263" s="249"/>
      <c r="AD263" s="249"/>
      <c r="AE263" s="249"/>
      <c r="AF263" s="249"/>
      <c r="AG263" s="249"/>
    </row>
    <row r="264" customFormat="false" ht="16.5" hidden="false" customHeight="false" outlineLevel="0" collapsed="false">
      <c r="A264" s="252" t="s">
        <v>441</v>
      </c>
      <c r="B264" s="214" t="n">
        <f aca="false">VLOOKUP(A264,'TH theo khach hang'!$A$4:$C$309,2,FALSE())</f>
        <v>0</v>
      </c>
      <c r="C264" s="245" t="str">
        <f aca="false">IF(VLOOKUP(A264,'TH theo khach hang'!$A$4:$C$309,3,FALSE())=0, "", "x")</f>
        <v/>
      </c>
      <c r="D264" s="246" t="n">
        <f aca="false">F264-H264</f>
        <v>0</v>
      </c>
      <c r="E264" s="247" t="n">
        <f aca="false">G264-I264</f>
        <v>0</v>
      </c>
      <c r="F264" s="248" t="n">
        <f aca="false">VLOOKUP(A264,'TH theo khach hang'!$A$4:$G$309,4,FALSE())</f>
        <v>0</v>
      </c>
      <c r="G264" s="249" t="n">
        <f aca="false">VLOOKUP(A264,'TH theo khach hang'!$A$4:$G$309,5,FALSE())</f>
        <v>0</v>
      </c>
      <c r="H264" s="248" t="n">
        <f aca="false">J264+L264+N264+P264+R264+T264+V264+X264+Z264+AB264+AD264+AF264</f>
        <v>0</v>
      </c>
      <c r="I264" s="250" t="n">
        <f aca="false">K264+M264+O264+Q264+S264+U264+W264+Y264+AA264+AC264+AE264+AG264</f>
        <v>0</v>
      </c>
      <c r="J264" s="249"/>
      <c r="K264" s="249"/>
      <c r="L264" s="249"/>
      <c r="M264" s="249"/>
      <c r="N264" s="249"/>
      <c r="O264" s="249"/>
      <c r="P264" s="249"/>
      <c r="Q264" s="249"/>
      <c r="R264" s="249"/>
      <c r="S264" s="249"/>
      <c r="T264" s="249"/>
      <c r="U264" s="249"/>
      <c r="V264" s="249"/>
      <c r="W264" s="249"/>
      <c r="X264" s="249"/>
      <c r="Y264" s="249"/>
      <c r="Z264" s="249"/>
      <c r="AA264" s="249"/>
      <c r="AB264" s="249"/>
      <c r="AC264" s="249"/>
      <c r="AD264" s="249"/>
      <c r="AE264" s="249"/>
      <c r="AF264" s="249"/>
      <c r="AG264" s="249"/>
      <c r="AH264" s="251"/>
    </row>
    <row r="265" customFormat="false" ht="16.5" hidden="false" customHeight="false" outlineLevel="0" collapsed="false">
      <c r="A265" s="252" t="s">
        <v>442</v>
      </c>
      <c r="B265" s="214" t="n">
        <f aca="false">VLOOKUP(A265,'TH theo khach hang'!$A$4:$C$309,2,FALSE())</f>
        <v>0</v>
      </c>
      <c r="C265" s="245" t="str">
        <f aca="false">IF(VLOOKUP(A265,'TH theo khach hang'!$A$4:$C$309,3,FALSE())=0, "", "x")</f>
        <v/>
      </c>
      <c r="D265" s="246" t="n">
        <f aca="false">F265-H265</f>
        <v>0</v>
      </c>
      <c r="E265" s="247" t="n">
        <f aca="false">G265-I265</f>
        <v>0</v>
      </c>
      <c r="F265" s="248" t="n">
        <f aca="false">VLOOKUP(A265,'TH theo khach hang'!$A$4:$G$309,4,FALSE())</f>
        <v>0</v>
      </c>
      <c r="G265" s="249" t="n">
        <f aca="false">VLOOKUP(A265,'TH theo khach hang'!$A$4:$G$309,5,FALSE())</f>
        <v>0</v>
      </c>
      <c r="H265" s="248" t="n">
        <f aca="false">J265+L265+N265+P265+R265+T265+V265+X265+Z265+AB265+AD265+AF265</f>
        <v>0</v>
      </c>
      <c r="I265" s="250" t="n">
        <f aca="false">K265+M265+O265+Q265+S265+U265+W265+Y265+AA265+AC265+AE265+AG265</f>
        <v>0</v>
      </c>
      <c r="J265" s="249"/>
      <c r="K265" s="249"/>
      <c r="L265" s="249"/>
      <c r="M265" s="249"/>
      <c r="N265" s="249"/>
      <c r="O265" s="249"/>
      <c r="P265" s="249"/>
      <c r="Q265" s="249"/>
      <c r="R265" s="249"/>
      <c r="S265" s="249"/>
      <c r="T265" s="249"/>
      <c r="U265" s="249"/>
      <c r="V265" s="249"/>
      <c r="W265" s="249"/>
      <c r="X265" s="249"/>
      <c r="Y265" s="249"/>
      <c r="Z265" s="249"/>
      <c r="AA265" s="249"/>
      <c r="AB265" s="249"/>
      <c r="AC265" s="249"/>
      <c r="AD265" s="249"/>
      <c r="AE265" s="249"/>
      <c r="AF265" s="249"/>
      <c r="AG265" s="249"/>
    </row>
    <row r="266" customFormat="false" ht="16.5" hidden="false" customHeight="false" outlineLevel="0" collapsed="false">
      <c r="A266" s="252" t="s">
        <v>443</v>
      </c>
      <c r="B266" s="214" t="n">
        <f aca="false">VLOOKUP(A266,'TH theo khach hang'!$A$4:$C$309,2,FALSE())</f>
        <v>0</v>
      </c>
      <c r="C266" s="245" t="str">
        <f aca="false">IF(VLOOKUP(A266,'TH theo khach hang'!$A$4:$C$309,3,FALSE())=0, "", "x")</f>
        <v/>
      </c>
      <c r="D266" s="246" t="n">
        <f aca="false">F266-H266</f>
        <v>0</v>
      </c>
      <c r="E266" s="247" t="n">
        <f aca="false">G266-I266</f>
        <v>0</v>
      </c>
      <c r="F266" s="248" t="n">
        <f aca="false">VLOOKUP(A266,'TH theo khach hang'!$A$4:$G$309,4,FALSE())</f>
        <v>0</v>
      </c>
      <c r="G266" s="249" t="n">
        <f aca="false">VLOOKUP(A266,'TH theo khach hang'!$A$4:$G$309,5,FALSE())</f>
        <v>0</v>
      </c>
      <c r="H266" s="248" t="n">
        <f aca="false">J266+L266+N266+P266+R266+T266+V266+X266+Z266+AB266+AD266+AF266</f>
        <v>0</v>
      </c>
      <c r="I266" s="250" t="n">
        <f aca="false">K266+M266+O266+Q266+S266+U266+W266+Y266+AA266+AC266+AE266+AG266</f>
        <v>0</v>
      </c>
      <c r="J266" s="249"/>
      <c r="K266" s="249"/>
      <c r="L266" s="249"/>
      <c r="M266" s="249"/>
      <c r="N266" s="249"/>
      <c r="O266" s="249"/>
      <c r="P266" s="249"/>
      <c r="Q266" s="249"/>
      <c r="R266" s="249"/>
      <c r="S266" s="249"/>
      <c r="T266" s="249"/>
      <c r="U266" s="249"/>
      <c r="V266" s="249"/>
      <c r="W266" s="249"/>
      <c r="X266" s="249"/>
      <c r="Y266" s="249"/>
      <c r="Z266" s="249"/>
      <c r="AA266" s="249"/>
      <c r="AB266" s="249"/>
      <c r="AC266" s="249"/>
      <c r="AD266" s="249"/>
      <c r="AE266" s="249"/>
      <c r="AF266" s="249"/>
      <c r="AG266" s="249"/>
    </row>
    <row r="267" customFormat="false" ht="16.5" hidden="false" customHeight="false" outlineLevel="0" collapsed="false">
      <c r="A267" s="252" t="s">
        <v>444</v>
      </c>
      <c r="B267" s="214" t="n">
        <f aca="false">VLOOKUP(A267,'TH theo khach hang'!$A$4:$C$309,2,FALSE())</f>
        <v>0</v>
      </c>
      <c r="C267" s="245" t="str">
        <f aca="false">IF(VLOOKUP(A267,'TH theo khach hang'!$A$4:$C$309,3,FALSE())=0, "", "x")</f>
        <v/>
      </c>
      <c r="D267" s="246" t="n">
        <f aca="false">F267-H267</f>
        <v>0</v>
      </c>
      <c r="E267" s="247" t="n">
        <f aca="false">G267-I267</f>
        <v>0</v>
      </c>
      <c r="F267" s="248" t="n">
        <f aca="false">VLOOKUP(A267,'TH theo khach hang'!$A$4:$G$309,4,FALSE())</f>
        <v>0</v>
      </c>
      <c r="G267" s="249" t="n">
        <f aca="false">VLOOKUP(A267,'TH theo khach hang'!$A$4:$G$309,5,FALSE())</f>
        <v>0</v>
      </c>
      <c r="H267" s="248" t="n">
        <f aca="false">J267+L267+N267+P267+R267+T267+V267+X267+Z267+AB267+AD267+AF267</f>
        <v>0</v>
      </c>
      <c r="I267" s="250" t="n">
        <f aca="false">K267+M267+O267+Q267+S267+U267+W267+Y267+AA267+AC267+AE267+AG267</f>
        <v>0</v>
      </c>
      <c r="J267" s="249"/>
      <c r="K267" s="249"/>
      <c r="L267" s="249"/>
      <c r="M267" s="249"/>
      <c r="N267" s="249"/>
      <c r="O267" s="249"/>
      <c r="P267" s="249"/>
      <c r="Q267" s="249"/>
      <c r="R267" s="249"/>
      <c r="S267" s="249"/>
      <c r="T267" s="249"/>
      <c r="U267" s="249"/>
      <c r="V267" s="249"/>
      <c r="W267" s="249"/>
      <c r="X267" s="249"/>
      <c r="Y267" s="249"/>
      <c r="Z267" s="249"/>
      <c r="AA267" s="249"/>
      <c r="AB267" s="249"/>
      <c r="AC267" s="249"/>
      <c r="AD267" s="249"/>
      <c r="AE267" s="249"/>
      <c r="AF267" s="249"/>
      <c r="AG267" s="249"/>
    </row>
    <row r="268" customFormat="false" ht="16.5" hidden="false" customHeight="false" outlineLevel="0" collapsed="false">
      <c r="A268" s="252" t="s">
        <v>445</v>
      </c>
      <c r="B268" s="214" t="n">
        <f aca="false">VLOOKUP(A268,'TH theo khach hang'!$A$4:$C$309,2,FALSE())</f>
        <v>0</v>
      </c>
      <c r="C268" s="245" t="str">
        <f aca="false">IF(VLOOKUP(A268,'TH theo khach hang'!$A$4:$C$309,3,FALSE())=0, "", "x")</f>
        <v/>
      </c>
      <c r="D268" s="246" t="n">
        <f aca="false">F268-H268</f>
        <v>0</v>
      </c>
      <c r="E268" s="247" t="n">
        <f aca="false">G268-I268</f>
        <v>0</v>
      </c>
      <c r="F268" s="248" t="n">
        <f aca="false">VLOOKUP(A268,'TH theo khach hang'!$A$4:$G$309,4,FALSE())</f>
        <v>0</v>
      </c>
      <c r="G268" s="249" t="n">
        <f aca="false">VLOOKUP(A268,'TH theo khach hang'!$A$4:$G$309,5,FALSE())</f>
        <v>0</v>
      </c>
      <c r="H268" s="248" t="n">
        <f aca="false">J268+L268+N268+P268+R268+T268+V268+X268+Z268+AB268+AD268+AF268</f>
        <v>0</v>
      </c>
      <c r="I268" s="250" t="n">
        <f aca="false">K268+M268+O268+Q268+S268+U268+W268+Y268+AA268+AC268+AE268+AG268</f>
        <v>0</v>
      </c>
      <c r="J268" s="249"/>
      <c r="K268" s="249"/>
      <c r="L268" s="249"/>
      <c r="M268" s="249"/>
      <c r="N268" s="249"/>
      <c r="O268" s="249"/>
      <c r="P268" s="249"/>
      <c r="Q268" s="249"/>
      <c r="R268" s="249"/>
      <c r="S268" s="249"/>
      <c r="T268" s="249"/>
      <c r="U268" s="249"/>
      <c r="V268" s="249"/>
      <c r="W268" s="249"/>
      <c r="X268" s="249"/>
      <c r="Y268" s="249"/>
      <c r="Z268" s="249"/>
      <c r="AA268" s="249"/>
      <c r="AB268" s="249"/>
      <c r="AC268" s="249"/>
      <c r="AD268" s="249"/>
      <c r="AE268" s="249"/>
      <c r="AF268" s="249"/>
      <c r="AG268" s="249"/>
    </row>
    <row r="269" customFormat="false" ht="16.5" hidden="false" customHeight="false" outlineLevel="0" collapsed="false">
      <c r="A269" s="252" t="s">
        <v>446</v>
      </c>
      <c r="B269" s="214" t="n">
        <f aca="false">VLOOKUP(A269,'TH theo khach hang'!$A$4:$C$309,2,FALSE())</f>
        <v>0</v>
      </c>
      <c r="C269" s="245" t="str">
        <f aca="false">IF(VLOOKUP(A269,'TH theo khach hang'!$A$4:$C$309,3,FALSE())=0, "", "x")</f>
        <v/>
      </c>
      <c r="D269" s="246" t="n">
        <f aca="false">F269-H269</f>
        <v>0</v>
      </c>
      <c r="E269" s="247" t="n">
        <f aca="false">G269-I269</f>
        <v>0</v>
      </c>
      <c r="F269" s="248" t="n">
        <f aca="false">VLOOKUP(A269,'TH theo khach hang'!$A$4:$G$309,4,FALSE())</f>
        <v>0</v>
      </c>
      <c r="G269" s="249" t="n">
        <f aca="false">VLOOKUP(A269,'TH theo khach hang'!$A$4:$G$309,5,FALSE())</f>
        <v>0</v>
      </c>
      <c r="H269" s="248" t="n">
        <f aca="false">J269+L269+N269+P269+R269+T269+V269+X269+Z269+AB269+AD269+AF269</f>
        <v>0</v>
      </c>
      <c r="I269" s="250" t="n">
        <f aca="false">K269+M269+O269+Q269+S269+U269+W269+Y269+AA269+AC269+AE269+AG269</f>
        <v>0</v>
      </c>
      <c r="J269" s="249"/>
      <c r="K269" s="249"/>
      <c r="L269" s="249"/>
      <c r="M269" s="249"/>
      <c r="N269" s="249"/>
      <c r="O269" s="249"/>
      <c r="P269" s="249"/>
      <c r="Q269" s="249"/>
      <c r="R269" s="249"/>
      <c r="S269" s="249"/>
      <c r="T269" s="249"/>
      <c r="U269" s="249"/>
      <c r="V269" s="249"/>
      <c r="W269" s="249"/>
      <c r="X269" s="249"/>
      <c r="Y269" s="249"/>
      <c r="Z269" s="249"/>
      <c r="AA269" s="249"/>
      <c r="AB269" s="249"/>
      <c r="AC269" s="249"/>
      <c r="AD269" s="249"/>
      <c r="AE269" s="249"/>
      <c r="AF269" s="249"/>
      <c r="AG269" s="249"/>
    </row>
    <row r="270" customFormat="false" ht="16.5" hidden="false" customHeight="false" outlineLevel="0" collapsed="false">
      <c r="A270" s="252" t="s">
        <v>447</v>
      </c>
      <c r="B270" s="214" t="n">
        <f aca="false">VLOOKUP(A270,'TH theo khach hang'!$A$4:$C$309,2,FALSE())</f>
        <v>0</v>
      </c>
      <c r="C270" s="245" t="str">
        <f aca="false">IF(VLOOKUP(A270,'TH theo khach hang'!$A$4:$C$309,3,FALSE())=0, "", "x")</f>
        <v/>
      </c>
      <c r="D270" s="246" t="n">
        <f aca="false">F270-H270</f>
        <v>0</v>
      </c>
      <c r="E270" s="247" t="n">
        <f aca="false">G270-I270</f>
        <v>0</v>
      </c>
      <c r="F270" s="248" t="n">
        <f aca="false">VLOOKUP(A270,'TH theo khach hang'!$A$4:$G$309,4,FALSE())</f>
        <v>0</v>
      </c>
      <c r="G270" s="249" t="n">
        <f aca="false">VLOOKUP(A270,'TH theo khach hang'!$A$4:$G$309,5,FALSE())</f>
        <v>0</v>
      </c>
      <c r="H270" s="248" t="n">
        <f aca="false">J270+L270+N270+P270+R270+T270+V270+X270+Z270+AB270+AD270+AF270</f>
        <v>0</v>
      </c>
      <c r="I270" s="250" t="n">
        <f aca="false">K270+M270+O270+Q270+S270+U270+W270+Y270+AA270+AC270+AE270+AG270</f>
        <v>0</v>
      </c>
      <c r="J270" s="249"/>
      <c r="K270" s="249"/>
      <c r="L270" s="249"/>
      <c r="M270" s="249"/>
      <c r="N270" s="249"/>
      <c r="O270" s="249"/>
      <c r="P270" s="249"/>
      <c r="Q270" s="249"/>
      <c r="R270" s="249"/>
      <c r="S270" s="249"/>
      <c r="T270" s="249"/>
      <c r="U270" s="249"/>
      <c r="V270" s="249"/>
      <c r="W270" s="249"/>
      <c r="X270" s="249"/>
      <c r="Y270" s="249"/>
      <c r="Z270" s="249"/>
      <c r="AA270" s="249"/>
      <c r="AB270" s="249"/>
      <c r="AC270" s="249"/>
      <c r="AD270" s="249"/>
      <c r="AE270" s="249"/>
      <c r="AF270" s="249"/>
      <c r="AG270" s="249"/>
      <c r="AH270" s="251"/>
    </row>
    <row r="271" customFormat="false" ht="16.5" hidden="false" customHeight="false" outlineLevel="0" collapsed="false">
      <c r="A271" s="252" t="s">
        <v>448</v>
      </c>
      <c r="B271" s="214" t="n">
        <f aca="false">VLOOKUP(A271,'TH theo khach hang'!$A$4:$C$309,2,FALSE())</f>
        <v>0</v>
      </c>
      <c r="C271" s="245" t="str">
        <f aca="false">IF(VLOOKUP(A271,'TH theo khach hang'!$A$4:$C$309,3,FALSE())=0, "", "x")</f>
        <v/>
      </c>
      <c r="D271" s="246" t="n">
        <f aca="false">F271-H271</f>
        <v>0</v>
      </c>
      <c r="E271" s="247" t="n">
        <f aca="false">G271-I271</f>
        <v>0</v>
      </c>
      <c r="F271" s="248" t="n">
        <f aca="false">VLOOKUP(A271,'TH theo khach hang'!$A$4:$G$309,4,FALSE())</f>
        <v>0</v>
      </c>
      <c r="G271" s="249" t="n">
        <f aca="false">VLOOKUP(A271,'TH theo khach hang'!$A$4:$G$309,5,FALSE())</f>
        <v>0</v>
      </c>
      <c r="H271" s="248" t="n">
        <f aca="false">J271+L271+N271+P271+R271+T271+V271+X271+Z271+AB271+AD271+AF271</f>
        <v>0</v>
      </c>
      <c r="I271" s="250" t="n">
        <f aca="false">K271+M271+O271+Q271+S271+U271+W271+Y271+AA271+AC271+AE271+AG271</f>
        <v>0</v>
      </c>
      <c r="J271" s="249"/>
      <c r="K271" s="249"/>
      <c r="L271" s="249"/>
      <c r="M271" s="249"/>
      <c r="N271" s="249"/>
      <c r="O271" s="249"/>
      <c r="P271" s="249"/>
      <c r="Q271" s="249"/>
      <c r="R271" s="249"/>
      <c r="S271" s="249"/>
      <c r="T271" s="249"/>
      <c r="U271" s="249"/>
      <c r="V271" s="249"/>
      <c r="W271" s="249"/>
      <c r="X271" s="249"/>
      <c r="Y271" s="249"/>
      <c r="Z271" s="249"/>
      <c r="AA271" s="249"/>
      <c r="AB271" s="249"/>
      <c r="AC271" s="249"/>
      <c r="AD271" s="249"/>
      <c r="AE271" s="249"/>
      <c r="AF271" s="249"/>
      <c r="AG271" s="249"/>
    </row>
    <row r="272" customFormat="false" ht="16.5" hidden="false" customHeight="false" outlineLevel="0" collapsed="false">
      <c r="A272" s="252" t="s">
        <v>449</v>
      </c>
      <c r="B272" s="214" t="n">
        <f aca="false">VLOOKUP(A272,'TH theo khach hang'!$A$4:$C$309,2,FALSE())</f>
        <v>0</v>
      </c>
      <c r="C272" s="245" t="str">
        <f aca="false">IF(VLOOKUP(A272,'TH theo khach hang'!$A$4:$C$309,3,FALSE())=0, "", "x")</f>
        <v/>
      </c>
      <c r="D272" s="246" t="n">
        <f aca="false">F272-H272</f>
        <v>0</v>
      </c>
      <c r="E272" s="247" t="n">
        <f aca="false">G272-I272</f>
        <v>0</v>
      </c>
      <c r="F272" s="248" t="n">
        <f aca="false">VLOOKUP(A272,'TH theo khach hang'!$A$4:$G$309,4,FALSE())</f>
        <v>0</v>
      </c>
      <c r="G272" s="249" t="n">
        <f aca="false">VLOOKUP(A272,'TH theo khach hang'!$A$4:$G$309,5,FALSE())</f>
        <v>0</v>
      </c>
      <c r="H272" s="248" t="n">
        <f aca="false">J272+L272+N272+P272+R272+T272+V272+X272+Z272+AB272+AD272+AF272</f>
        <v>0</v>
      </c>
      <c r="I272" s="250" t="n">
        <f aca="false">K272+M272+O272+Q272+S272+U272+W272+Y272+AA272+AC272+AE272+AG272</f>
        <v>0</v>
      </c>
      <c r="J272" s="249"/>
      <c r="K272" s="249"/>
      <c r="L272" s="249"/>
      <c r="M272" s="249"/>
      <c r="N272" s="249"/>
      <c r="O272" s="249"/>
      <c r="P272" s="249"/>
      <c r="Q272" s="249"/>
      <c r="R272" s="249"/>
      <c r="S272" s="249"/>
      <c r="T272" s="249"/>
      <c r="U272" s="249"/>
      <c r="V272" s="249"/>
      <c r="W272" s="249"/>
      <c r="X272" s="249"/>
      <c r="Y272" s="249"/>
      <c r="Z272" s="249"/>
      <c r="AA272" s="249"/>
      <c r="AB272" s="249"/>
      <c r="AC272" s="249"/>
      <c r="AD272" s="249"/>
      <c r="AE272" s="249"/>
      <c r="AF272" s="249"/>
      <c r="AG272" s="249"/>
    </row>
    <row r="273" customFormat="false" ht="16.5" hidden="false" customHeight="false" outlineLevel="0" collapsed="false">
      <c r="A273" s="252" t="s">
        <v>450</v>
      </c>
      <c r="B273" s="214" t="n">
        <f aca="false">VLOOKUP(A273,'TH theo khach hang'!$A$4:$C$309,2,FALSE())</f>
        <v>0</v>
      </c>
      <c r="C273" s="245" t="str">
        <f aca="false">IF(VLOOKUP(A273,'TH theo khach hang'!$A$4:$C$309,3,FALSE())=0, "", "x")</f>
        <v/>
      </c>
      <c r="D273" s="246" t="n">
        <f aca="false">F273-H273</f>
        <v>0</v>
      </c>
      <c r="E273" s="247" t="n">
        <f aca="false">G273-I273</f>
        <v>0</v>
      </c>
      <c r="F273" s="248" t="n">
        <f aca="false">VLOOKUP(A273,'TH theo khach hang'!$A$4:$G$309,4,FALSE())</f>
        <v>0</v>
      </c>
      <c r="G273" s="249" t="n">
        <f aca="false">VLOOKUP(A273,'TH theo khach hang'!$A$4:$G$309,5,FALSE())</f>
        <v>0</v>
      </c>
      <c r="H273" s="248" t="n">
        <f aca="false">J273+L273+N273+P273+R273+T273+V273+X273+Z273+AB273+AD273+AF273</f>
        <v>0</v>
      </c>
      <c r="I273" s="250" t="n">
        <f aca="false">K273+M273+O273+Q273+S273+U273+W273+Y273+AA273+AC273+AE273+AG273</f>
        <v>0</v>
      </c>
      <c r="J273" s="249"/>
      <c r="K273" s="249"/>
      <c r="L273" s="249"/>
      <c r="M273" s="249"/>
      <c r="N273" s="249"/>
      <c r="O273" s="249"/>
      <c r="P273" s="249"/>
      <c r="Q273" s="249"/>
      <c r="R273" s="249"/>
      <c r="S273" s="249"/>
      <c r="T273" s="249"/>
      <c r="U273" s="249"/>
      <c r="V273" s="249"/>
      <c r="W273" s="249"/>
      <c r="X273" s="249"/>
      <c r="Y273" s="249"/>
      <c r="Z273" s="249"/>
      <c r="AA273" s="249"/>
      <c r="AB273" s="249"/>
      <c r="AC273" s="249"/>
      <c r="AD273" s="249"/>
      <c r="AE273" s="249"/>
      <c r="AF273" s="249"/>
      <c r="AG273" s="249"/>
      <c r="AH273" s="251"/>
    </row>
    <row r="274" customFormat="false" ht="16.5" hidden="false" customHeight="false" outlineLevel="0" collapsed="false">
      <c r="A274" s="252" t="s">
        <v>451</v>
      </c>
      <c r="B274" s="214" t="n">
        <f aca="false">VLOOKUP(A274,'TH theo khach hang'!$A$4:$C$309,2,FALSE())</f>
        <v>0</v>
      </c>
      <c r="C274" s="245" t="str">
        <f aca="false">IF(VLOOKUP(A274,'TH theo khach hang'!$A$4:$C$309,3,FALSE())=0, "", "x")</f>
        <v/>
      </c>
      <c r="D274" s="246" t="n">
        <f aca="false">F274-H274</f>
        <v>0</v>
      </c>
      <c r="E274" s="247" t="n">
        <f aca="false">G274-I274</f>
        <v>0</v>
      </c>
      <c r="F274" s="248" t="n">
        <f aca="false">VLOOKUP(A274,'TH theo khach hang'!$A$4:$G$309,4,FALSE())</f>
        <v>0</v>
      </c>
      <c r="G274" s="249" t="n">
        <f aca="false">VLOOKUP(A274,'TH theo khach hang'!$A$4:$G$309,5,FALSE())</f>
        <v>0</v>
      </c>
      <c r="H274" s="248" t="n">
        <f aca="false">J274+L274+N274+P274+R274+T274+V274+X274+Z274+AB274+AD274+AF274</f>
        <v>0</v>
      </c>
      <c r="I274" s="250" t="n">
        <f aca="false">K274+M274+O274+Q274+S274+U274+W274+Y274+AA274+AC274+AE274+AG274</f>
        <v>0</v>
      </c>
      <c r="J274" s="249"/>
      <c r="K274" s="249"/>
      <c r="L274" s="249"/>
      <c r="M274" s="249"/>
      <c r="N274" s="249"/>
      <c r="O274" s="249"/>
      <c r="P274" s="249"/>
      <c r="Q274" s="249"/>
      <c r="R274" s="249"/>
      <c r="S274" s="249"/>
      <c r="T274" s="249"/>
      <c r="U274" s="249"/>
      <c r="V274" s="249"/>
      <c r="W274" s="249"/>
      <c r="X274" s="249"/>
      <c r="Y274" s="249"/>
      <c r="Z274" s="249"/>
      <c r="AA274" s="249"/>
      <c r="AB274" s="249"/>
      <c r="AC274" s="249"/>
      <c r="AD274" s="249"/>
      <c r="AE274" s="249"/>
      <c r="AF274" s="249"/>
      <c r="AG274" s="249"/>
    </row>
    <row r="275" customFormat="false" ht="16.5" hidden="false" customHeight="false" outlineLevel="0" collapsed="false">
      <c r="A275" s="252" t="s">
        <v>452</v>
      </c>
      <c r="B275" s="214" t="n">
        <f aca="false">VLOOKUP(A275,'TH theo khach hang'!$A$4:$C$309,2,FALSE())</f>
        <v>0</v>
      </c>
      <c r="C275" s="245" t="str">
        <f aca="false">IF(VLOOKUP(A275,'TH theo khach hang'!$A$4:$C$309,3,FALSE())=0, "", "x")</f>
        <v/>
      </c>
      <c r="D275" s="246" t="n">
        <f aca="false">F275-H275</f>
        <v>0</v>
      </c>
      <c r="E275" s="247" t="n">
        <f aca="false">G275-I275</f>
        <v>0</v>
      </c>
      <c r="F275" s="248" t="n">
        <f aca="false">VLOOKUP(A275,'TH theo khach hang'!$A$4:$G$309,4,FALSE())</f>
        <v>0</v>
      </c>
      <c r="G275" s="249" t="n">
        <f aca="false">VLOOKUP(A275,'TH theo khach hang'!$A$4:$G$309,5,FALSE())</f>
        <v>0</v>
      </c>
      <c r="H275" s="248" t="n">
        <f aca="false">J275+L275+N275+P275+R275+T275+V275+X275+Z275+AB275+AD275+AF275</f>
        <v>0</v>
      </c>
      <c r="I275" s="250" t="n">
        <f aca="false">K275+M275+O275+Q275+S275+U275+W275+Y275+AA275+AC275+AE275+AG275</f>
        <v>0</v>
      </c>
      <c r="J275" s="249"/>
      <c r="K275" s="249"/>
      <c r="L275" s="249"/>
      <c r="M275" s="249"/>
      <c r="N275" s="249"/>
      <c r="O275" s="249"/>
      <c r="P275" s="249"/>
      <c r="Q275" s="249"/>
      <c r="R275" s="249"/>
      <c r="S275" s="249"/>
      <c r="T275" s="249"/>
      <c r="U275" s="249"/>
      <c r="V275" s="249"/>
      <c r="W275" s="249"/>
      <c r="X275" s="249"/>
      <c r="Y275" s="249"/>
      <c r="Z275" s="249"/>
      <c r="AA275" s="249"/>
      <c r="AB275" s="249"/>
      <c r="AC275" s="249"/>
      <c r="AD275" s="249"/>
      <c r="AE275" s="249"/>
      <c r="AF275" s="249"/>
      <c r="AG275" s="249"/>
    </row>
    <row r="276" customFormat="false" ht="16.5" hidden="false" customHeight="false" outlineLevel="0" collapsed="false">
      <c r="A276" s="252" t="s">
        <v>453</v>
      </c>
      <c r="B276" s="214" t="n">
        <f aca="false">VLOOKUP(A276,'TH theo khach hang'!$A$4:$C$309,2,FALSE())</f>
        <v>0</v>
      </c>
      <c r="C276" s="245" t="str">
        <f aca="false">IF(VLOOKUP(A276,'TH theo khach hang'!$A$4:$C$309,3,FALSE())=0, "", "x")</f>
        <v/>
      </c>
      <c r="D276" s="246" t="n">
        <f aca="false">F276-H276</f>
        <v>0</v>
      </c>
      <c r="E276" s="247" t="n">
        <f aca="false">G276-I276</f>
        <v>0</v>
      </c>
      <c r="F276" s="248" t="n">
        <f aca="false">VLOOKUP(A276,'TH theo khach hang'!$A$4:$G$309,4,FALSE())</f>
        <v>0</v>
      </c>
      <c r="G276" s="249" t="n">
        <f aca="false">VLOOKUP(A276,'TH theo khach hang'!$A$4:$G$309,5,FALSE())</f>
        <v>0</v>
      </c>
      <c r="H276" s="248" t="n">
        <f aca="false">J276+L276+N276+P276+R276+T276+V276+X276+Z276+AB276+AD276+AF276</f>
        <v>0</v>
      </c>
      <c r="I276" s="250" t="n">
        <f aca="false">K276+M276+O276+Q276+S276+U276+W276+Y276+AA276+AC276+AE276+AG276</f>
        <v>0</v>
      </c>
      <c r="J276" s="249"/>
      <c r="K276" s="249"/>
      <c r="L276" s="249"/>
      <c r="M276" s="249"/>
      <c r="N276" s="249"/>
      <c r="O276" s="249"/>
      <c r="P276" s="249"/>
      <c r="Q276" s="249"/>
      <c r="R276" s="249"/>
      <c r="S276" s="249"/>
      <c r="T276" s="249"/>
      <c r="U276" s="249"/>
      <c r="V276" s="249"/>
      <c r="W276" s="249"/>
      <c r="X276" s="249"/>
      <c r="Y276" s="249"/>
      <c r="Z276" s="249"/>
      <c r="AA276" s="249"/>
      <c r="AB276" s="249"/>
      <c r="AC276" s="249"/>
      <c r="AD276" s="249"/>
      <c r="AE276" s="249"/>
      <c r="AF276" s="249"/>
      <c r="AG276" s="249"/>
      <c r="AH276" s="251"/>
    </row>
    <row r="277" customFormat="false" ht="16.5" hidden="false" customHeight="false" outlineLevel="0" collapsed="false">
      <c r="A277" s="252" t="s">
        <v>454</v>
      </c>
      <c r="B277" s="214" t="n">
        <f aca="false">VLOOKUP(A277,'TH theo khach hang'!$A$4:$C$309,2,FALSE())</f>
        <v>0</v>
      </c>
      <c r="C277" s="245" t="str">
        <f aca="false">IF(VLOOKUP(A277,'TH theo khach hang'!$A$4:$C$309,3,FALSE())=0, "", "x")</f>
        <v/>
      </c>
      <c r="D277" s="246" t="n">
        <f aca="false">F277-H277</f>
        <v>0</v>
      </c>
      <c r="E277" s="247" t="n">
        <f aca="false">G277-I277</f>
        <v>0</v>
      </c>
      <c r="F277" s="248" t="n">
        <f aca="false">VLOOKUP(A277,'TH theo khach hang'!$A$4:$G$309,4,FALSE())</f>
        <v>0</v>
      </c>
      <c r="G277" s="249" t="n">
        <f aca="false">VLOOKUP(A277,'TH theo khach hang'!$A$4:$G$309,5,FALSE())</f>
        <v>0</v>
      </c>
      <c r="H277" s="248" t="n">
        <f aca="false">J277+L277+N277+P277+R277+T277+V277+X277+Z277+AB277+AD277+AF277</f>
        <v>0</v>
      </c>
      <c r="I277" s="250" t="n">
        <f aca="false">K277+M277+O277+Q277+S277+U277+W277+Y277+AA277+AC277+AE277+AG277</f>
        <v>0</v>
      </c>
      <c r="J277" s="249"/>
      <c r="K277" s="249"/>
      <c r="L277" s="249"/>
      <c r="M277" s="249"/>
      <c r="N277" s="249"/>
      <c r="O277" s="249"/>
      <c r="P277" s="249"/>
      <c r="Q277" s="249"/>
      <c r="R277" s="249"/>
      <c r="S277" s="249"/>
      <c r="T277" s="249"/>
      <c r="U277" s="249"/>
      <c r="V277" s="249"/>
      <c r="W277" s="249"/>
      <c r="X277" s="249"/>
      <c r="Y277" s="249"/>
      <c r="Z277" s="249"/>
      <c r="AA277" s="249"/>
      <c r="AB277" s="249"/>
      <c r="AC277" s="249"/>
      <c r="AD277" s="249"/>
      <c r="AE277" s="249"/>
      <c r="AF277" s="249"/>
      <c r="AG277" s="249"/>
    </row>
    <row r="278" customFormat="false" ht="16.5" hidden="false" customHeight="false" outlineLevel="0" collapsed="false">
      <c r="A278" s="252" t="s">
        <v>455</v>
      </c>
      <c r="B278" s="214" t="n">
        <f aca="false">VLOOKUP(A278,'TH theo khach hang'!$A$4:$C$309,2,FALSE())</f>
        <v>0</v>
      </c>
      <c r="C278" s="245" t="str">
        <f aca="false">IF(VLOOKUP(A278,'TH theo khach hang'!$A$4:$C$309,3,FALSE())=0, "", "x")</f>
        <v/>
      </c>
      <c r="D278" s="246" t="n">
        <f aca="false">F278-H278</f>
        <v>0</v>
      </c>
      <c r="E278" s="247" t="n">
        <f aca="false">G278-I278</f>
        <v>0</v>
      </c>
      <c r="F278" s="248" t="n">
        <f aca="false">VLOOKUP(A278,'TH theo khach hang'!$A$4:$G$309,4,FALSE())</f>
        <v>0</v>
      </c>
      <c r="G278" s="249" t="n">
        <f aca="false">VLOOKUP(A278,'TH theo khach hang'!$A$4:$G$309,5,FALSE())</f>
        <v>0</v>
      </c>
      <c r="H278" s="248" t="n">
        <f aca="false">J278+L278+N278+P278+R278+T278+V278+X278+Z278+AB278+AD278+AF278</f>
        <v>0</v>
      </c>
      <c r="I278" s="250" t="n">
        <f aca="false">K278+M278+O278+Q278+S278+U278+W278+Y278+AA278+AC278+AE278+AG278</f>
        <v>0</v>
      </c>
      <c r="J278" s="249"/>
      <c r="K278" s="249"/>
      <c r="L278" s="249"/>
      <c r="M278" s="249"/>
      <c r="N278" s="249"/>
      <c r="O278" s="249"/>
      <c r="P278" s="249"/>
      <c r="Q278" s="249"/>
      <c r="R278" s="249"/>
      <c r="S278" s="249"/>
      <c r="T278" s="249"/>
      <c r="U278" s="249"/>
      <c r="V278" s="249"/>
      <c r="W278" s="249"/>
      <c r="X278" s="249"/>
      <c r="Y278" s="249"/>
      <c r="Z278" s="249"/>
      <c r="AA278" s="249"/>
      <c r="AB278" s="249"/>
      <c r="AC278" s="249"/>
      <c r="AD278" s="249"/>
      <c r="AE278" s="249"/>
      <c r="AF278" s="249"/>
      <c r="AG278" s="249"/>
    </row>
    <row r="279" customFormat="false" ht="16.5" hidden="false" customHeight="false" outlineLevel="0" collapsed="false">
      <c r="A279" s="252" t="s">
        <v>456</v>
      </c>
      <c r="B279" s="214" t="n">
        <f aca="false">VLOOKUP(A279,'TH theo khach hang'!$A$4:$C$309,2,FALSE())</f>
        <v>0</v>
      </c>
      <c r="C279" s="245" t="str">
        <f aca="false">IF(VLOOKUP(A279,'TH theo khach hang'!$A$4:$C$309,3,FALSE())=0, "", "x")</f>
        <v/>
      </c>
      <c r="D279" s="246" t="n">
        <f aca="false">F279-H279</f>
        <v>0</v>
      </c>
      <c r="E279" s="247" t="n">
        <f aca="false">G279-I279</f>
        <v>0</v>
      </c>
      <c r="F279" s="248" t="n">
        <f aca="false">VLOOKUP(A279,'TH theo khach hang'!$A$4:$G$309,4,FALSE())</f>
        <v>0</v>
      </c>
      <c r="G279" s="249" t="n">
        <f aca="false">VLOOKUP(A279,'TH theo khach hang'!$A$4:$G$309,5,FALSE())</f>
        <v>0</v>
      </c>
      <c r="H279" s="248" t="n">
        <f aca="false">J279+L279+N279+P279+R279+T279+V279+X279+Z279+AB279+AD279+AF279</f>
        <v>0</v>
      </c>
      <c r="I279" s="250" t="n">
        <f aca="false">K279+M279+O279+Q279+S279+U279+W279+Y279+AA279+AC279+AE279+AG279</f>
        <v>0</v>
      </c>
      <c r="J279" s="249"/>
      <c r="K279" s="249"/>
      <c r="L279" s="249"/>
      <c r="M279" s="249"/>
      <c r="N279" s="249"/>
      <c r="O279" s="249"/>
      <c r="P279" s="249"/>
      <c r="Q279" s="249"/>
      <c r="R279" s="249"/>
      <c r="S279" s="249"/>
      <c r="T279" s="249"/>
      <c r="U279" s="249"/>
      <c r="V279" s="249"/>
      <c r="W279" s="249"/>
      <c r="X279" s="249"/>
      <c r="Y279" s="249"/>
      <c r="Z279" s="249"/>
      <c r="AA279" s="249"/>
      <c r="AB279" s="249"/>
      <c r="AC279" s="249"/>
      <c r="AD279" s="249"/>
      <c r="AE279" s="249"/>
      <c r="AF279" s="249"/>
      <c r="AG279" s="249"/>
    </row>
    <row r="280" customFormat="false" ht="16.5" hidden="false" customHeight="false" outlineLevel="0" collapsed="false">
      <c r="A280" s="252" t="s">
        <v>457</v>
      </c>
      <c r="B280" s="214" t="n">
        <f aca="false">VLOOKUP(A280,'TH theo khach hang'!$A$4:$C$309,2,FALSE())</f>
        <v>0</v>
      </c>
      <c r="C280" s="245" t="str">
        <f aca="false">IF(VLOOKUP(A280,'TH theo khach hang'!$A$4:$C$309,3,FALSE())=0, "", "x")</f>
        <v/>
      </c>
      <c r="D280" s="246" t="n">
        <f aca="false">F280-H280</f>
        <v>0</v>
      </c>
      <c r="E280" s="247" t="n">
        <f aca="false">G280-I280</f>
        <v>0</v>
      </c>
      <c r="F280" s="248" t="n">
        <f aca="false">VLOOKUP(A280,'TH theo khach hang'!$A$4:$G$309,4,FALSE())</f>
        <v>0</v>
      </c>
      <c r="G280" s="249" t="n">
        <f aca="false">VLOOKUP(A280,'TH theo khach hang'!$A$4:$G$309,5,FALSE())</f>
        <v>0</v>
      </c>
      <c r="H280" s="248" t="n">
        <f aca="false">J280+L280+N280+P280+R280+T280+V280+X280+Z280+AB280+AD280+AF280</f>
        <v>0</v>
      </c>
      <c r="I280" s="250" t="n">
        <f aca="false">K280+M280+O280+Q280+S280+U280+W280+Y280+AA280+AC280+AE280+AG280</f>
        <v>0</v>
      </c>
      <c r="J280" s="249"/>
      <c r="K280" s="249"/>
      <c r="L280" s="249"/>
      <c r="M280" s="249"/>
      <c r="N280" s="249"/>
      <c r="O280" s="249"/>
      <c r="P280" s="249"/>
      <c r="Q280" s="249"/>
      <c r="R280" s="249"/>
      <c r="S280" s="249"/>
      <c r="T280" s="249"/>
      <c r="U280" s="249"/>
      <c r="V280" s="249"/>
      <c r="W280" s="249"/>
      <c r="X280" s="249"/>
      <c r="Y280" s="249"/>
      <c r="Z280" s="249"/>
      <c r="AA280" s="249"/>
      <c r="AB280" s="249"/>
      <c r="AC280" s="249"/>
      <c r="AD280" s="249"/>
      <c r="AE280" s="249"/>
      <c r="AF280" s="249"/>
      <c r="AG280" s="249"/>
    </row>
    <row r="281" customFormat="false" ht="16.5" hidden="false" customHeight="false" outlineLevel="0" collapsed="false">
      <c r="A281" s="252" t="s">
        <v>458</v>
      </c>
      <c r="B281" s="214" t="n">
        <f aca="false">VLOOKUP(A281,'TH theo khach hang'!$A$4:$C$309,2,FALSE())</f>
        <v>0</v>
      </c>
      <c r="C281" s="245" t="str">
        <f aca="false">IF(VLOOKUP(A281,'TH theo khach hang'!$A$4:$C$309,3,FALSE())=0, "", "x")</f>
        <v/>
      </c>
      <c r="D281" s="246" t="n">
        <f aca="false">F281-H281</f>
        <v>0</v>
      </c>
      <c r="E281" s="247" t="n">
        <f aca="false">G281-I281</f>
        <v>0</v>
      </c>
      <c r="F281" s="248" t="n">
        <f aca="false">VLOOKUP(A281,'TH theo khach hang'!$A$4:$G$309,4,FALSE())</f>
        <v>0</v>
      </c>
      <c r="G281" s="249" t="n">
        <f aca="false">VLOOKUP(A281,'TH theo khach hang'!$A$4:$G$309,5,FALSE())</f>
        <v>0</v>
      </c>
      <c r="H281" s="248" t="n">
        <f aca="false">J281+L281+N281+P281+R281+T281+V281+X281+Z281+AB281+AD281+AF281</f>
        <v>0</v>
      </c>
      <c r="I281" s="250" t="n">
        <f aca="false">K281+M281+O281+Q281+S281+U281+W281+Y281+AA281+AC281+AE281+AG281</f>
        <v>0</v>
      </c>
      <c r="J281" s="249"/>
      <c r="K281" s="249"/>
      <c r="L281" s="249"/>
      <c r="M281" s="249"/>
      <c r="N281" s="249"/>
      <c r="O281" s="249"/>
      <c r="P281" s="249"/>
      <c r="Q281" s="249"/>
      <c r="R281" s="249"/>
      <c r="S281" s="249"/>
      <c r="T281" s="249"/>
      <c r="U281" s="249"/>
      <c r="V281" s="249"/>
      <c r="W281" s="249"/>
      <c r="X281" s="249"/>
      <c r="Y281" s="249"/>
      <c r="Z281" s="249"/>
      <c r="AA281" s="249"/>
      <c r="AB281" s="249"/>
      <c r="AC281" s="249"/>
      <c r="AD281" s="249"/>
      <c r="AE281" s="249"/>
      <c r="AF281" s="249"/>
      <c r="AG281" s="249"/>
    </row>
    <row r="282" customFormat="false" ht="16.5" hidden="false" customHeight="false" outlineLevel="0" collapsed="false">
      <c r="A282" s="252" t="s">
        <v>459</v>
      </c>
      <c r="B282" s="214" t="n">
        <f aca="false">VLOOKUP(A282,'TH theo khach hang'!$A$4:$C$309,2,FALSE())</f>
        <v>0</v>
      </c>
      <c r="C282" s="245" t="str">
        <f aca="false">IF(VLOOKUP(A282,'TH theo khach hang'!$A$4:$C$309,3,FALSE())=0, "", "x")</f>
        <v/>
      </c>
      <c r="D282" s="246" t="n">
        <f aca="false">F282-H282</f>
        <v>0</v>
      </c>
      <c r="E282" s="247" t="n">
        <f aca="false">G282-I282</f>
        <v>0</v>
      </c>
      <c r="F282" s="248" t="n">
        <f aca="false">VLOOKUP(A282,'TH theo khach hang'!$A$4:$G$309,4,FALSE())</f>
        <v>0</v>
      </c>
      <c r="G282" s="249" t="n">
        <f aca="false">VLOOKUP(A282,'TH theo khach hang'!$A$4:$G$309,5,FALSE())</f>
        <v>0</v>
      </c>
      <c r="H282" s="248" t="n">
        <f aca="false">J282+L282+N282+P282+R282+T282+V282+X282+Z282+AB282+AD282+AF282</f>
        <v>0</v>
      </c>
      <c r="I282" s="250" t="n">
        <f aca="false">K282+M282+O282+Q282+S282+U282+W282+Y282+AA282+AC282+AE282+AG282</f>
        <v>0</v>
      </c>
      <c r="J282" s="249"/>
      <c r="K282" s="249"/>
      <c r="L282" s="249"/>
      <c r="M282" s="249"/>
      <c r="N282" s="249"/>
      <c r="O282" s="249"/>
      <c r="P282" s="249"/>
      <c r="Q282" s="249"/>
      <c r="R282" s="249"/>
      <c r="S282" s="249"/>
      <c r="T282" s="249"/>
      <c r="U282" s="249"/>
      <c r="V282" s="249"/>
      <c r="W282" s="249"/>
      <c r="X282" s="249"/>
      <c r="Y282" s="249"/>
      <c r="Z282" s="249"/>
      <c r="AA282" s="249"/>
      <c r="AB282" s="249"/>
      <c r="AC282" s="249"/>
      <c r="AD282" s="249"/>
      <c r="AE282" s="249"/>
      <c r="AF282" s="249"/>
      <c r="AG282" s="249"/>
    </row>
    <row r="283" customFormat="false" ht="16.5" hidden="false" customHeight="false" outlineLevel="0" collapsed="false">
      <c r="A283" s="252" t="s">
        <v>460</v>
      </c>
      <c r="B283" s="214" t="n">
        <f aca="false">VLOOKUP(A283,'TH theo khach hang'!$A$4:$C$309,2,FALSE())</f>
        <v>0</v>
      </c>
      <c r="C283" s="245" t="str">
        <f aca="false">IF(VLOOKUP(A283,'TH theo khach hang'!$A$4:$C$309,3,FALSE())=0, "", "x")</f>
        <v/>
      </c>
      <c r="D283" s="246" t="n">
        <f aca="false">F283-H283</f>
        <v>0</v>
      </c>
      <c r="E283" s="247" t="n">
        <f aca="false">G283-I283</f>
        <v>0</v>
      </c>
      <c r="F283" s="248" t="n">
        <f aca="false">VLOOKUP(A283,'TH theo khach hang'!$A$4:$G$309,4,FALSE())</f>
        <v>0</v>
      </c>
      <c r="G283" s="249" t="n">
        <f aca="false">VLOOKUP(A283,'TH theo khach hang'!$A$4:$G$309,5,FALSE())</f>
        <v>0</v>
      </c>
      <c r="H283" s="248" t="n">
        <f aca="false">J283+L283+N283+P283+R283+T283+V283+X283+Z283+AB283+AD283+AF283</f>
        <v>0</v>
      </c>
      <c r="I283" s="250" t="n">
        <f aca="false">K283+M283+O283+Q283+S283+U283+W283+Y283+AA283+AC283+AE283+AG283</f>
        <v>0</v>
      </c>
      <c r="J283" s="249"/>
      <c r="K283" s="249"/>
      <c r="L283" s="249"/>
      <c r="M283" s="249"/>
      <c r="N283" s="249"/>
      <c r="O283" s="249"/>
      <c r="P283" s="249"/>
      <c r="Q283" s="249"/>
      <c r="R283" s="249"/>
      <c r="S283" s="249"/>
      <c r="T283" s="249"/>
      <c r="U283" s="249"/>
      <c r="V283" s="249"/>
      <c r="W283" s="249"/>
      <c r="X283" s="249"/>
      <c r="Y283" s="249"/>
      <c r="Z283" s="249"/>
      <c r="AA283" s="249"/>
      <c r="AB283" s="249"/>
      <c r="AC283" s="249"/>
      <c r="AD283" s="249"/>
      <c r="AE283" s="249"/>
      <c r="AF283" s="249"/>
      <c r="AG283" s="249"/>
    </row>
    <row r="284" customFormat="false" ht="16.5" hidden="false" customHeight="false" outlineLevel="0" collapsed="false">
      <c r="A284" s="252" t="s">
        <v>461</v>
      </c>
      <c r="B284" s="214" t="n">
        <f aca="false">VLOOKUP(A284,'TH theo khach hang'!$A$4:$C$309,2,FALSE())</f>
        <v>0</v>
      </c>
      <c r="C284" s="245" t="str">
        <f aca="false">IF(VLOOKUP(A284,'TH theo khach hang'!$A$4:$C$309,3,FALSE())=0, "", "x")</f>
        <v/>
      </c>
      <c r="D284" s="246" t="n">
        <f aca="false">F284-H284</f>
        <v>0</v>
      </c>
      <c r="E284" s="247" t="n">
        <f aca="false">G284-I284</f>
        <v>0</v>
      </c>
      <c r="F284" s="248" t="n">
        <f aca="false">VLOOKUP(A284,'TH theo khach hang'!$A$4:$G$309,4,FALSE())</f>
        <v>0</v>
      </c>
      <c r="G284" s="249" t="n">
        <f aca="false">VLOOKUP(A284,'TH theo khach hang'!$A$4:$G$309,5,FALSE())</f>
        <v>0</v>
      </c>
      <c r="H284" s="248" t="n">
        <f aca="false">J284+L284+N284+P284+R284+T284+V284+X284+Z284+AB284+AD284+AF284</f>
        <v>0</v>
      </c>
      <c r="I284" s="250" t="n">
        <f aca="false">K284+M284+O284+Q284+S284+U284+W284+Y284+AA284+AC284+AE284+AG284</f>
        <v>0</v>
      </c>
      <c r="J284" s="249"/>
      <c r="K284" s="249"/>
      <c r="L284" s="249"/>
      <c r="M284" s="249"/>
      <c r="N284" s="249"/>
      <c r="O284" s="249"/>
      <c r="P284" s="249"/>
      <c r="Q284" s="249"/>
      <c r="R284" s="249"/>
      <c r="S284" s="249"/>
      <c r="T284" s="249"/>
      <c r="U284" s="249"/>
      <c r="V284" s="249"/>
      <c r="W284" s="249"/>
      <c r="X284" s="249"/>
      <c r="Y284" s="249"/>
      <c r="Z284" s="249"/>
      <c r="AA284" s="249"/>
      <c r="AB284" s="249"/>
      <c r="AC284" s="249"/>
      <c r="AD284" s="249"/>
      <c r="AE284" s="249"/>
      <c r="AF284" s="249"/>
      <c r="AG284" s="249"/>
    </row>
    <row r="285" customFormat="false" ht="16.5" hidden="false" customHeight="false" outlineLevel="0" collapsed="false">
      <c r="A285" s="252" t="s">
        <v>462</v>
      </c>
      <c r="B285" s="214" t="n">
        <f aca="false">VLOOKUP(A285,'TH theo khach hang'!$A$4:$C$309,2,FALSE())</f>
        <v>0</v>
      </c>
      <c r="C285" s="245" t="str">
        <f aca="false">IF(VLOOKUP(A285,'TH theo khach hang'!$A$4:$C$309,3,FALSE())=0, "", "x")</f>
        <v/>
      </c>
      <c r="D285" s="246" t="n">
        <f aca="false">F285-H285</f>
        <v>0</v>
      </c>
      <c r="E285" s="247" t="n">
        <f aca="false">G285-I285</f>
        <v>0</v>
      </c>
      <c r="F285" s="248" t="n">
        <f aca="false">VLOOKUP(A285,'TH theo khach hang'!$A$4:$G$309,4,FALSE())</f>
        <v>0</v>
      </c>
      <c r="G285" s="249" t="n">
        <f aca="false">VLOOKUP(A285,'TH theo khach hang'!$A$4:$G$309,5,FALSE())</f>
        <v>0</v>
      </c>
      <c r="H285" s="248" t="n">
        <f aca="false">J285+L285+N285+P285+R285+T285+V285+X285+Z285+AB285+AD285+AF285</f>
        <v>0</v>
      </c>
      <c r="I285" s="250" t="n">
        <f aca="false">K285+M285+O285+Q285+S285+U285+W285+Y285+AA285+AC285+AE285+AG285</f>
        <v>0</v>
      </c>
      <c r="J285" s="249"/>
      <c r="K285" s="249"/>
      <c r="L285" s="249"/>
      <c r="M285" s="249"/>
      <c r="N285" s="249"/>
      <c r="O285" s="249"/>
      <c r="P285" s="249"/>
      <c r="Q285" s="249"/>
      <c r="R285" s="249"/>
      <c r="S285" s="249"/>
      <c r="T285" s="249"/>
      <c r="U285" s="249"/>
      <c r="V285" s="249"/>
      <c r="W285" s="249"/>
      <c r="X285" s="249"/>
      <c r="Y285" s="249"/>
      <c r="Z285" s="249"/>
      <c r="AA285" s="249"/>
      <c r="AB285" s="249"/>
      <c r="AC285" s="249"/>
      <c r="AD285" s="249"/>
      <c r="AE285" s="249"/>
      <c r="AF285" s="249"/>
      <c r="AG285" s="249"/>
    </row>
    <row r="286" customFormat="false" ht="16.5" hidden="false" customHeight="false" outlineLevel="0" collapsed="false">
      <c r="A286" s="252" t="s">
        <v>463</v>
      </c>
      <c r="B286" s="214" t="n">
        <f aca="false">VLOOKUP(A286,'TH theo khach hang'!$A$4:$C$309,2,FALSE())</f>
        <v>0</v>
      </c>
      <c r="C286" s="245" t="str">
        <f aca="false">IF(VLOOKUP(A286,'TH theo khach hang'!$A$4:$C$309,3,FALSE())=0, "", "x")</f>
        <v/>
      </c>
      <c r="D286" s="246" t="n">
        <f aca="false">F286-H286</f>
        <v>0</v>
      </c>
      <c r="E286" s="247" t="n">
        <f aca="false">G286-I286</f>
        <v>0</v>
      </c>
      <c r="F286" s="248" t="n">
        <f aca="false">VLOOKUP(A286,'TH theo khach hang'!$A$4:$G$309,4,FALSE())</f>
        <v>0</v>
      </c>
      <c r="G286" s="249" t="n">
        <f aca="false">VLOOKUP(A286,'TH theo khach hang'!$A$4:$G$309,5,FALSE())</f>
        <v>0</v>
      </c>
      <c r="H286" s="248" t="n">
        <f aca="false">J286+L286+N286+P286+R286+T286+V286+X286+Z286+AB286+AD286+AF286</f>
        <v>0</v>
      </c>
      <c r="I286" s="250" t="n">
        <f aca="false">K286+M286+O286+Q286+S286+U286+W286+Y286+AA286+AC286+AE286+AG286</f>
        <v>0</v>
      </c>
      <c r="J286" s="249"/>
      <c r="K286" s="249"/>
      <c r="L286" s="249"/>
      <c r="M286" s="249"/>
      <c r="N286" s="249"/>
      <c r="O286" s="249"/>
      <c r="P286" s="249"/>
      <c r="Q286" s="249"/>
      <c r="R286" s="249"/>
      <c r="S286" s="249"/>
      <c r="T286" s="249"/>
      <c r="U286" s="249"/>
      <c r="V286" s="249"/>
      <c r="W286" s="249"/>
      <c r="X286" s="249"/>
      <c r="Y286" s="249"/>
      <c r="Z286" s="249"/>
      <c r="AA286" s="249"/>
      <c r="AB286" s="249"/>
      <c r="AC286" s="249"/>
      <c r="AD286" s="249"/>
      <c r="AE286" s="249"/>
      <c r="AF286" s="249"/>
      <c r="AG286" s="249"/>
    </row>
    <row r="287" customFormat="false" ht="16.5" hidden="false" customHeight="false" outlineLevel="0" collapsed="false">
      <c r="A287" s="252" t="s">
        <v>464</v>
      </c>
      <c r="B287" s="214" t="n">
        <f aca="false">VLOOKUP(A287,'TH theo khach hang'!$A$4:$C$309,2,FALSE())</f>
        <v>0</v>
      </c>
      <c r="C287" s="245" t="str">
        <f aca="false">IF(VLOOKUP(A287,'TH theo khach hang'!$A$4:$C$309,3,FALSE())=0, "", "x")</f>
        <v/>
      </c>
      <c r="D287" s="246" t="n">
        <f aca="false">F287-H287</f>
        <v>0</v>
      </c>
      <c r="E287" s="247" t="n">
        <f aca="false">G287-I287</f>
        <v>0</v>
      </c>
      <c r="F287" s="248" t="n">
        <f aca="false">VLOOKUP(A287,'TH theo khach hang'!$A$4:$G$309,4,FALSE())</f>
        <v>0</v>
      </c>
      <c r="G287" s="249" t="n">
        <f aca="false">VLOOKUP(A287,'TH theo khach hang'!$A$4:$G$309,5,FALSE())</f>
        <v>0</v>
      </c>
      <c r="H287" s="248" t="n">
        <f aca="false">J287+L287+N287+P287+R287+T287+V287+X287+Z287+AB287+AD287+AF287</f>
        <v>0</v>
      </c>
      <c r="I287" s="250" t="n">
        <f aca="false">K287+M287+O287+Q287+S287+U287+W287+Y287+AA287+AC287+AE287+AG287</f>
        <v>0</v>
      </c>
      <c r="J287" s="249"/>
      <c r="K287" s="249"/>
      <c r="L287" s="249"/>
      <c r="M287" s="249"/>
      <c r="N287" s="249"/>
      <c r="O287" s="249"/>
      <c r="P287" s="249"/>
      <c r="Q287" s="249"/>
      <c r="R287" s="249"/>
      <c r="S287" s="249"/>
      <c r="T287" s="249"/>
      <c r="U287" s="249"/>
      <c r="V287" s="249"/>
      <c r="W287" s="249"/>
      <c r="X287" s="249"/>
      <c r="Y287" s="249"/>
      <c r="Z287" s="249"/>
      <c r="AA287" s="249"/>
      <c r="AB287" s="249"/>
      <c r="AC287" s="249"/>
      <c r="AD287" s="249"/>
      <c r="AE287" s="249"/>
      <c r="AF287" s="249"/>
      <c r="AG287" s="249"/>
    </row>
    <row r="288" customFormat="false" ht="16.5" hidden="false" customHeight="false" outlineLevel="0" collapsed="false">
      <c r="A288" s="252" t="s">
        <v>465</v>
      </c>
      <c r="B288" s="214" t="n">
        <f aca="false">VLOOKUP(A288,'TH theo khach hang'!$A$4:$C$309,2,FALSE())</f>
        <v>0</v>
      </c>
      <c r="C288" s="245" t="str">
        <f aca="false">IF(VLOOKUP(A288,'TH theo khach hang'!$A$4:$C$309,3,FALSE())=0, "", "x")</f>
        <v/>
      </c>
      <c r="D288" s="246" t="n">
        <f aca="false">F288-H288</f>
        <v>0</v>
      </c>
      <c r="E288" s="247" t="n">
        <f aca="false">G288-I288</f>
        <v>0</v>
      </c>
      <c r="F288" s="248" t="n">
        <f aca="false">VLOOKUP(A288,'TH theo khach hang'!$A$4:$G$309,4,FALSE())</f>
        <v>0</v>
      </c>
      <c r="G288" s="249" t="n">
        <f aca="false">VLOOKUP(A288,'TH theo khach hang'!$A$4:$G$309,5,FALSE())</f>
        <v>0</v>
      </c>
      <c r="H288" s="248" t="n">
        <f aca="false">J288+L288+N288+P288+R288+T288+V288+X288+Z288+AB288+AD288+AF288</f>
        <v>0</v>
      </c>
      <c r="I288" s="250" t="n">
        <f aca="false">K288+M288+O288+Q288+S288+U288+W288+Y288+AA288+AC288+AE288+AG288</f>
        <v>0</v>
      </c>
      <c r="J288" s="249"/>
      <c r="K288" s="249"/>
      <c r="L288" s="249"/>
      <c r="M288" s="249"/>
      <c r="N288" s="249"/>
      <c r="O288" s="249"/>
      <c r="P288" s="249"/>
      <c r="Q288" s="249"/>
      <c r="R288" s="249"/>
      <c r="S288" s="249"/>
      <c r="T288" s="249"/>
      <c r="U288" s="249"/>
      <c r="V288" s="249"/>
      <c r="W288" s="249"/>
      <c r="X288" s="249"/>
      <c r="Y288" s="249"/>
      <c r="Z288" s="249"/>
      <c r="AA288" s="249"/>
      <c r="AB288" s="249"/>
      <c r="AC288" s="249"/>
      <c r="AD288" s="249"/>
      <c r="AE288" s="249"/>
      <c r="AF288" s="249"/>
      <c r="AG288" s="249"/>
    </row>
    <row r="289" customFormat="false" ht="16.5" hidden="false" customHeight="false" outlineLevel="0" collapsed="false">
      <c r="A289" s="252" t="s">
        <v>466</v>
      </c>
      <c r="B289" s="214" t="n">
        <f aca="false">VLOOKUP(A289,'TH theo khach hang'!$A$4:$C$309,2,FALSE())</f>
        <v>0</v>
      </c>
      <c r="C289" s="245" t="str">
        <f aca="false">IF(VLOOKUP(A289,'TH theo khach hang'!$A$4:$C$309,3,FALSE())=0, "", "x")</f>
        <v/>
      </c>
      <c r="D289" s="246" t="n">
        <f aca="false">F289-H289</f>
        <v>0</v>
      </c>
      <c r="E289" s="247" t="n">
        <f aca="false">G289-I289</f>
        <v>0</v>
      </c>
      <c r="F289" s="248" t="n">
        <f aca="false">VLOOKUP(A289,'TH theo khach hang'!$A$4:$G$309,4,FALSE())</f>
        <v>0</v>
      </c>
      <c r="G289" s="249" t="n">
        <f aca="false">VLOOKUP(A289,'TH theo khach hang'!$A$4:$G$309,5,FALSE())</f>
        <v>0</v>
      </c>
      <c r="H289" s="248" t="n">
        <f aca="false">J289+L289+N289+P289+R289+T289+V289+X289+Z289+AB289+AD289+AF289</f>
        <v>0</v>
      </c>
      <c r="I289" s="250" t="n">
        <f aca="false">K289+M289+O289+Q289+S289+U289+W289+Y289+AA289+AC289+AE289+AG289</f>
        <v>0</v>
      </c>
      <c r="J289" s="249"/>
      <c r="K289" s="249"/>
      <c r="L289" s="249"/>
      <c r="M289" s="249"/>
      <c r="N289" s="249"/>
      <c r="O289" s="249"/>
      <c r="P289" s="249"/>
      <c r="Q289" s="249"/>
      <c r="R289" s="249"/>
      <c r="S289" s="249"/>
      <c r="T289" s="249"/>
      <c r="U289" s="249"/>
      <c r="V289" s="249"/>
      <c r="W289" s="249"/>
      <c r="X289" s="249"/>
      <c r="Y289" s="249"/>
      <c r="Z289" s="249"/>
      <c r="AA289" s="249"/>
      <c r="AB289" s="249"/>
      <c r="AC289" s="249"/>
      <c r="AD289" s="249"/>
      <c r="AE289" s="249"/>
      <c r="AF289" s="249"/>
      <c r="AG289" s="249"/>
      <c r="AH289" s="251"/>
    </row>
    <row r="290" customFormat="false" ht="16.5" hidden="false" customHeight="false" outlineLevel="0" collapsed="false">
      <c r="A290" s="252" t="s">
        <v>467</v>
      </c>
      <c r="B290" s="214" t="n">
        <f aca="false">VLOOKUP(A290,'TH theo khach hang'!$A$4:$C$309,2,FALSE())</f>
        <v>0</v>
      </c>
      <c r="C290" s="245" t="str">
        <f aca="false">IF(VLOOKUP(A290,'TH theo khach hang'!$A$4:$C$309,3,FALSE())=0, "", "x")</f>
        <v/>
      </c>
      <c r="D290" s="246" t="n">
        <f aca="false">F290-H290</f>
        <v>0</v>
      </c>
      <c r="E290" s="247" t="n">
        <f aca="false">G290-I290</f>
        <v>0</v>
      </c>
      <c r="F290" s="248" t="n">
        <f aca="false">VLOOKUP(A290,'TH theo khach hang'!$A$4:$G$309,4,FALSE())</f>
        <v>0</v>
      </c>
      <c r="G290" s="249" t="n">
        <f aca="false">VLOOKUP(A290,'TH theo khach hang'!$A$4:$G$309,5,FALSE())</f>
        <v>0</v>
      </c>
      <c r="H290" s="248" t="n">
        <f aca="false">J290+L290+N290+P290+R290+T290+V290+X290+Z290+AB290+AD290+AF290</f>
        <v>0</v>
      </c>
      <c r="I290" s="250" t="n">
        <f aca="false">K290+M290+O290+Q290+S290+U290+W290+Y290+AA290+AC290+AE290+AG290</f>
        <v>0</v>
      </c>
      <c r="J290" s="249"/>
      <c r="K290" s="249"/>
      <c r="L290" s="249"/>
      <c r="M290" s="249"/>
      <c r="N290" s="249"/>
      <c r="O290" s="249"/>
      <c r="P290" s="249"/>
      <c r="Q290" s="249"/>
      <c r="R290" s="249"/>
      <c r="S290" s="249"/>
      <c r="T290" s="249"/>
      <c r="U290" s="249"/>
      <c r="V290" s="249"/>
      <c r="W290" s="249"/>
      <c r="X290" s="249"/>
      <c r="Y290" s="249"/>
      <c r="Z290" s="249"/>
      <c r="AA290" s="249"/>
      <c r="AB290" s="249"/>
      <c r="AC290" s="249"/>
      <c r="AD290" s="249"/>
      <c r="AE290" s="249"/>
      <c r="AF290" s="249"/>
      <c r="AG290" s="249"/>
    </row>
    <row r="291" customFormat="false" ht="16.5" hidden="false" customHeight="false" outlineLevel="0" collapsed="false">
      <c r="A291" s="252" t="s">
        <v>468</v>
      </c>
      <c r="B291" s="214" t="n">
        <f aca="false">VLOOKUP(A291,'TH theo khach hang'!$A$4:$C$309,2,FALSE())</f>
        <v>0</v>
      </c>
      <c r="C291" s="245" t="str">
        <f aca="false">IF(VLOOKUP(A291,'TH theo khach hang'!$A$4:$C$309,3,FALSE())=0, "", "x")</f>
        <v/>
      </c>
      <c r="D291" s="246" t="n">
        <f aca="false">F291-H291</f>
        <v>0</v>
      </c>
      <c r="E291" s="247" t="n">
        <f aca="false">G291-I291</f>
        <v>0</v>
      </c>
      <c r="F291" s="248" t="n">
        <f aca="false">VLOOKUP(A291,'TH theo khach hang'!$A$4:$G$309,4,FALSE())</f>
        <v>0</v>
      </c>
      <c r="G291" s="249" t="n">
        <f aca="false">VLOOKUP(A291,'TH theo khach hang'!$A$4:$G$309,5,FALSE())</f>
        <v>0</v>
      </c>
      <c r="H291" s="248" t="n">
        <f aca="false">J291+L291+N291+P291+R291+T291+V291+X291+Z291+AB291+AD291+AF291</f>
        <v>0</v>
      </c>
      <c r="I291" s="250" t="n">
        <f aca="false">K291+M291+O291+Q291+S291+U291+W291+Y291+AA291+AC291+AE291+AG291</f>
        <v>0</v>
      </c>
      <c r="J291" s="249"/>
      <c r="K291" s="249"/>
      <c r="L291" s="249"/>
      <c r="M291" s="249"/>
      <c r="N291" s="249"/>
      <c r="O291" s="249"/>
      <c r="P291" s="249"/>
      <c r="Q291" s="249"/>
      <c r="R291" s="249"/>
      <c r="S291" s="249"/>
      <c r="T291" s="249"/>
      <c r="U291" s="249"/>
      <c r="V291" s="249"/>
      <c r="W291" s="249"/>
      <c r="X291" s="249"/>
      <c r="Y291" s="249"/>
      <c r="Z291" s="249"/>
      <c r="AA291" s="249"/>
      <c r="AB291" s="249"/>
      <c r="AC291" s="249"/>
      <c r="AD291" s="249"/>
      <c r="AE291" s="249"/>
      <c r="AF291" s="249"/>
      <c r="AG291" s="249"/>
    </row>
    <row r="292" customFormat="false" ht="16.5" hidden="false" customHeight="false" outlineLevel="0" collapsed="false">
      <c r="A292" s="252" t="s">
        <v>469</v>
      </c>
      <c r="B292" s="214" t="n">
        <f aca="false">VLOOKUP(A292,'TH theo khach hang'!$A$4:$C$309,2,FALSE())</f>
        <v>0</v>
      </c>
      <c r="C292" s="245" t="str">
        <f aca="false">IF(VLOOKUP(A292,'TH theo khach hang'!$A$4:$C$309,3,FALSE())=0, "", "x")</f>
        <v/>
      </c>
      <c r="D292" s="246" t="n">
        <f aca="false">F292-H292</f>
        <v>0</v>
      </c>
      <c r="E292" s="247" t="n">
        <f aca="false">G292-I292</f>
        <v>0</v>
      </c>
      <c r="F292" s="248" t="n">
        <f aca="false">VLOOKUP(A292,'TH theo khach hang'!$A$4:$G$309,4,FALSE())</f>
        <v>0</v>
      </c>
      <c r="G292" s="249" t="n">
        <f aca="false">VLOOKUP(A292,'TH theo khach hang'!$A$4:$G$309,5,FALSE())</f>
        <v>0</v>
      </c>
      <c r="H292" s="248" t="n">
        <f aca="false">J292+L292+N292+P292+R292+T292+V292+X292+Z292+AB292+AD292+AF292</f>
        <v>0</v>
      </c>
      <c r="I292" s="250" t="n">
        <f aca="false">K292+M292+O292+Q292+S292+U292+W292+Y292+AA292+AC292+AE292+AG292</f>
        <v>0</v>
      </c>
      <c r="J292" s="249"/>
      <c r="K292" s="249"/>
      <c r="L292" s="249"/>
      <c r="M292" s="249"/>
      <c r="N292" s="249"/>
      <c r="O292" s="249"/>
      <c r="P292" s="249"/>
      <c r="Q292" s="249"/>
      <c r="R292" s="249"/>
      <c r="S292" s="249"/>
      <c r="T292" s="249"/>
      <c r="U292" s="249"/>
      <c r="V292" s="249"/>
      <c r="W292" s="249"/>
      <c r="X292" s="249"/>
      <c r="Y292" s="249"/>
      <c r="Z292" s="249"/>
      <c r="AA292" s="249"/>
      <c r="AB292" s="249"/>
      <c r="AC292" s="249"/>
      <c r="AD292" s="249"/>
      <c r="AE292" s="249"/>
      <c r="AF292" s="249"/>
      <c r="AG292" s="249"/>
      <c r="AH292" s="251"/>
    </row>
    <row r="293" customFormat="false" ht="16.5" hidden="false" customHeight="false" outlineLevel="0" collapsed="false">
      <c r="A293" s="252" t="s">
        <v>470</v>
      </c>
      <c r="B293" s="214" t="n">
        <f aca="false">VLOOKUP(A293,'TH theo khach hang'!$A$4:$C$309,2,FALSE())</f>
        <v>0</v>
      </c>
      <c r="C293" s="245" t="str">
        <f aca="false">IF(VLOOKUP(A293,'TH theo khach hang'!$A$4:$C$309,3,FALSE())=0, "", "x")</f>
        <v/>
      </c>
      <c r="D293" s="246" t="n">
        <f aca="false">F293-H293</f>
        <v>0</v>
      </c>
      <c r="E293" s="247" t="n">
        <f aca="false">G293-I293</f>
        <v>0</v>
      </c>
      <c r="F293" s="248" t="n">
        <f aca="false">VLOOKUP(A293,'TH theo khach hang'!$A$4:$G$309,4,FALSE())</f>
        <v>0</v>
      </c>
      <c r="G293" s="249" t="n">
        <f aca="false">VLOOKUP(A293,'TH theo khach hang'!$A$4:$G$309,5,FALSE())</f>
        <v>0</v>
      </c>
      <c r="H293" s="248" t="n">
        <f aca="false">J293+L293+N293+P293+R293+T293+V293+X293+Z293+AB293+AD293+AF293</f>
        <v>0</v>
      </c>
      <c r="I293" s="250" t="n">
        <f aca="false">K293+M293+O293+Q293+S293+U293+W293+Y293+AA293+AC293+AE293+AG293</f>
        <v>0</v>
      </c>
      <c r="J293" s="249"/>
      <c r="K293" s="249"/>
      <c r="L293" s="249"/>
      <c r="M293" s="249"/>
      <c r="N293" s="249"/>
      <c r="O293" s="249"/>
      <c r="P293" s="249"/>
      <c r="Q293" s="249"/>
      <c r="R293" s="249"/>
      <c r="S293" s="249"/>
      <c r="T293" s="249"/>
      <c r="U293" s="249"/>
      <c r="V293" s="249"/>
      <c r="W293" s="249"/>
      <c r="X293" s="249"/>
      <c r="Y293" s="249"/>
      <c r="Z293" s="249"/>
      <c r="AA293" s="249"/>
      <c r="AB293" s="249"/>
      <c r="AC293" s="249"/>
      <c r="AD293" s="249"/>
      <c r="AE293" s="249"/>
      <c r="AF293" s="249"/>
      <c r="AG293" s="249"/>
    </row>
    <row r="294" customFormat="false" ht="16.5" hidden="false" customHeight="false" outlineLevel="0" collapsed="false">
      <c r="A294" s="252" t="s">
        <v>471</v>
      </c>
      <c r="B294" s="214" t="n">
        <f aca="false">VLOOKUP(A294,'TH theo khach hang'!$A$4:$C$309,2,FALSE())</f>
        <v>0</v>
      </c>
      <c r="C294" s="245" t="str">
        <f aca="false">IF(VLOOKUP(A294,'TH theo khach hang'!$A$4:$C$309,3,FALSE())=0, "", "x")</f>
        <v/>
      </c>
      <c r="D294" s="246" t="n">
        <f aca="false">F294-H294</f>
        <v>0</v>
      </c>
      <c r="E294" s="247" t="n">
        <f aca="false">G294-I294</f>
        <v>0</v>
      </c>
      <c r="F294" s="248" t="n">
        <f aca="false">VLOOKUP(A294,'TH theo khach hang'!$A$4:$G$309,4,FALSE())</f>
        <v>0</v>
      </c>
      <c r="G294" s="249" t="n">
        <f aca="false">VLOOKUP(A294,'TH theo khach hang'!$A$4:$G$309,5,FALSE())</f>
        <v>0</v>
      </c>
      <c r="H294" s="248" t="n">
        <f aca="false">J294+L294+N294+P294+R294+T294+V294+X294+Z294+AB294+AD294+AF294</f>
        <v>0</v>
      </c>
      <c r="I294" s="250" t="n">
        <f aca="false">K294+M294+O294+Q294+S294+U294+W294+Y294+AA294+AC294+AE294+AG294</f>
        <v>0</v>
      </c>
      <c r="J294" s="249"/>
      <c r="K294" s="249"/>
      <c r="L294" s="249"/>
      <c r="M294" s="249"/>
      <c r="N294" s="249"/>
      <c r="O294" s="249"/>
      <c r="P294" s="249"/>
      <c r="Q294" s="249"/>
      <c r="R294" s="249"/>
      <c r="S294" s="249"/>
      <c r="T294" s="249"/>
      <c r="U294" s="249"/>
      <c r="V294" s="249"/>
      <c r="W294" s="249"/>
      <c r="X294" s="249"/>
      <c r="Y294" s="249"/>
      <c r="Z294" s="249"/>
      <c r="AA294" s="249"/>
      <c r="AB294" s="249"/>
      <c r="AC294" s="249"/>
      <c r="AD294" s="249"/>
      <c r="AE294" s="249"/>
      <c r="AF294" s="249"/>
      <c r="AG294" s="249"/>
    </row>
    <row r="295" customFormat="false" ht="16.5" hidden="false" customHeight="false" outlineLevel="0" collapsed="false">
      <c r="A295" s="252" t="s">
        <v>472</v>
      </c>
      <c r="B295" s="214" t="n">
        <f aca="false">VLOOKUP(A295,'TH theo khach hang'!$A$4:$C$309,2,FALSE())</f>
        <v>0</v>
      </c>
      <c r="C295" s="245" t="str">
        <f aca="false">IF(VLOOKUP(A295,'TH theo khach hang'!$A$4:$C$309,3,FALSE())=0, "", "x")</f>
        <v/>
      </c>
      <c r="D295" s="246" t="n">
        <f aca="false">F295-H295</f>
        <v>0</v>
      </c>
      <c r="E295" s="247" t="n">
        <f aca="false">G295-I295</f>
        <v>0</v>
      </c>
      <c r="F295" s="248" t="n">
        <f aca="false">VLOOKUP(A295,'TH theo khach hang'!$A$4:$G$309,4,FALSE())</f>
        <v>0</v>
      </c>
      <c r="G295" s="249" t="n">
        <f aca="false">VLOOKUP(A295,'TH theo khach hang'!$A$4:$G$309,5,FALSE())</f>
        <v>0</v>
      </c>
      <c r="H295" s="248" t="n">
        <f aca="false">J295+L295+N295+P295+R295+T295+V295+X295+Z295+AB295+AD295+AF295</f>
        <v>0</v>
      </c>
      <c r="I295" s="250" t="n">
        <f aca="false">K295+M295+O295+Q295+S295+U295+W295+Y295+AA295+AC295+AE295+AG295</f>
        <v>0</v>
      </c>
      <c r="J295" s="249"/>
      <c r="K295" s="249"/>
      <c r="L295" s="249"/>
      <c r="M295" s="249"/>
      <c r="N295" s="249"/>
      <c r="O295" s="249"/>
      <c r="P295" s="249"/>
      <c r="Q295" s="249"/>
      <c r="R295" s="249"/>
      <c r="S295" s="249"/>
      <c r="T295" s="249"/>
      <c r="U295" s="249"/>
      <c r="V295" s="249"/>
      <c r="W295" s="249"/>
      <c r="X295" s="249"/>
      <c r="Y295" s="249"/>
      <c r="Z295" s="249"/>
      <c r="AA295" s="249"/>
      <c r="AB295" s="249"/>
      <c r="AC295" s="249"/>
      <c r="AD295" s="249"/>
      <c r="AE295" s="249"/>
      <c r="AF295" s="249"/>
      <c r="AG295" s="249"/>
    </row>
    <row r="296" customFormat="false" ht="16.5" hidden="false" customHeight="false" outlineLevel="0" collapsed="false">
      <c r="A296" s="252" t="s">
        <v>473</v>
      </c>
      <c r="B296" s="214" t="n">
        <f aca="false">VLOOKUP(A296,'TH theo khach hang'!$A$4:$C$309,2,FALSE())</f>
        <v>0</v>
      </c>
      <c r="C296" s="245" t="str">
        <f aca="false">IF(VLOOKUP(A296,'TH theo khach hang'!$A$4:$C$309,3,FALSE())=0, "", "x")</f>
        <v/>
      </c>
      <c r="D296" s="246" t="n">
        <f aca="false">F296-H296</f>
        <v>0</v>
      </c>
      <c r="E296" s="247" t="n">
        <f aca="false">G296-I296</f>
        <v>0</v>
      </c>
      <c r="F296" s="248" t="n">
        <f aca="false">VLOOKUP(A296,'TH theo khach hang'!$A$4:$G$309,4,FALSE())</f>
        <v>0</v>
      </c>
      <c r="G296" s="249" t="n">
        <f aca="false">VLOOKUP(A296,'TH theo khach hang'!$A$4:$G$309,5,FALSE())</f>
        <v>0</v>
      </c>
      <c r="H296" s="248" t="n">
        <f aca="false">J296+L296+N296+P296+R296+T296+V296+X296+Z296+AB296+AD296+AF296</f>
        <v>0</v>
      </c>
      <c r="I296" s="250" t="n">
        <f aca="false">K296+M296+O296+Q296+S296+U296+W296+Y296+AA296+AC296+AE296+AG296</f>
        <v>0</v>
      </c>
      <c r="J296" s="249"/>
      <c r="K296" s="249"/>
      <c r="L296" s="249"/>
      <c r="M296" s="249"/>
      <c r="N296" s="249"/>
      <c r="O296" s="249"/>
      <c r="P296" s="249"/>
      <c r="Q296" s="249"/>
      <c r="R296" s="249"/>
      <c r="S296" s="249"/>
      <c r="T296" s="249"/>
      <c r="U296" s="249"/>
      <c r="V296" s="249"/>
      <c r="W296" s="249"/>
      <c r="X296" s="249"/>
      <c r="Y296" s="249"/>
      <c r="Z296" s="249"/>
      <c r="AA296" s="249"/>
      <c r="AB296" s="249"/>
      <c r="AC296" s="249"/>
      <c r="AD296" s="249"/>
      <c r="AE296" s="249"/>
      <c r="AF296" s="249"/>
      <c r="AG296" s="249"/>
    </row>
    <row r="297" customFormat="false" ht="16.5" hidden="false" customHeight="false" outlineLevel="0" collapsed="false">
      <c r="A297" s="252" t="s">
        <v>474</v>
      </c>
      <c r="B297" s="214" t="n">
        <f aca="false">VLOOKUP(A297,'TH theo khach hang'!$A$4:$C$309,2,FALSE())</f>
        <v>0</v>
      </c>
      <c r="C297" s="245" t="str">
        <f aca="false">IF(VLOOKUP(A297,'TH theo khach hang'!$A$4:$C$309,3,FALSE())=0, "", "x")</f>
        <v/>
      </c>
      <c r="D297" s="246" t="n">
        <f aca="false">F297-H297</f>
        <v>0</v>
      </c>
      <c r="E297" s="247" t="n">
        <f aca="false">G297-I297</f>
        <v>0</v>
      </c>
      <c r="F297" s="248" t="n">
        <f aca="false">VLOOKUP(A297,'TH theo khach hang'!$A$4:$G$309,4,FALSE())</f>
        <v>0</v>
      </c>
      <c r="G297" s="249" t="n">
        <f aca="false">VLOOKUP(A297,'TH theo khach hang'!$A$4:$G$309,5,FALSE())</f>
        <v>0</v>
      </c>
      <c r="H297" s="248" t="n">
        <f aca="false">J297+L297+N297+P297+R297+T297+V297+X297+Z297+AB297+AD297+AF297</f>
        <v>0</v>
      </c>
      <c r="I297" s="250" t="n">
        <f aca="false">K297+M297+O297+Q297+S297+U297+W297+Y297+AA297+AC297+AE297+AG297</f>
        <v>0</v>
      </c>
      <c r="J297" s="249"/>
      <c r="K297" s="249"/>
      <c r="L297" s="249"/>
      <c r="M297" s="249"/>
      <c r="N297" s="249"/>
      <c r="O297" s="249"/>
      <c r="P297" s="249"/>
      <c r="Q297" s="249"/>
      <c r="R297" s="249"/>
      <c r="S297" s="249"/>
      <c r="T297" s="249"/>
      <c r="U297" s="249"/>
      <c r="V297" s="249"/>
      <c r="W297" s="249"/>
      <c r="X297" s="249"/>
      <c r="Y297" s="249"/>
      <c r="Z297" s="249"/>
      <c r="AA297" s="249"/>
      <c r="AB297" s="249"/>
      <c r="AC297" s="249"/>
      <c r="AD297" s="249"/>
      <c r="AE297" s="249"/>
      <c r="AF297" s="249"/>
      <c r="AG297" s="249"/>
    </row>
    <row r="298" customFormat="false" ht="16.5" hidden="false" customHeight="false" outlineLevel="0" collapsed="false">
      <c r="A298" s="252" t="s">
        <v>475</v>
      </c>
      <c r="B298" s="214" t="n">
        <f aca="false">VLOOKUP(A298,'TH theo khach hang'!$A$4:$C$309,2,FALSE())</f>
        <v>0</v>
      </c>
      <c r="C298" s="245" t="str">
        <f aca="false">IF(VLOOKUP(A298,'TH theo khach hang'!$A$4:$C$309,3,FALSE())=0, "", "x")</f>
        <v/>
      </c>
      <c r="D298" s="246" t="n">
        <f aca="false">F298-H298</f>
        <v>0</v>
      </c>
      <c r="E298" s="247" t="n">
        <f aca="false">G298-I298</f>
        <v>0</v>
      </c>
      <c r="F298" s="248" t="n">
        <f aca="false">VLOOKUP(A298,'TH theo khach hang'!$A$4:$G$309,4,FALSE())</f>
        <v>0</v>
      </c>
      <c r="G298" s="249" t="n">
        <f aca="false">VLOOKUP(A298,'TH theo khach hang'!$A$4:$G$309,5,FALSE())</f>
        <v>0</v>
      </c>
      <c r="H298" s="248" t="n">
        <f aca="false">J298+L298+N298+P298+R298+T298+V298+X298+Z298+AB298+AD298+AF298</f>
        <v>0</v>
      </c>
      <c r="I298" s="250" t="n">
        <f aca="false">K298+M298+O298+Q298+S298+U298+W298+Y298+AA298+AC298+AE298+AG298</f>
        <v>0</v>
      </c>
      <c r="J298" s="249"/>
      <c r="K298" s="249"/>
      <c r="L298" s="249"/>
      <c r="M298" s="249"/>
      <c r="N298" s="249"/>
      <c r="O298" s="249"/>
      <c r="P298" s="249"/>
      <c r="Q298" s="249"/>
      <c r="R298" s="249"/>
      <c r="S298" s="249"/>
      <c r="T298" s="249"/>
      <c r="U298" s="249"/>
      <c r="V298" s="249"/>
      <c r="W298" s="249"/>
      <c r="X298" s="249"/>
      <c r="Y298" s="249"/>
      <c r="Z298" s="249"/>
      <c r="AA298" s="249"/>
      <c r="AB298" s="249"/>
      <c r="AC298" s="249"/>
      <c r="AD298" s="249"/>
      <c r="AE298" s="249"/>
      <c r="AF298" s="249"/>
      <c r="AG298" s="249"/>
      <c r="AH298" s="251"/>
    </row>
    <row r="299" customFormat="false" ht="16.5" hidden="false" customHeight="false" outlineLevel="0" collapsed="false">
      <c r="A299" s="252" t="s">
        <v>476</v>
      </c>
      <c r="B299" s="214" t="n">
        <f aca="false">VLOOKUP(A299,'TH theo khach hang'!$A$4:$C$309,2,FALSE())</f>
        <v>0</v>
      </c>
      <c r="C299" s="245" t="str">
        <f aca="false">IF(VLOOKUP(A299,'TH theo khach hang'!$A$4:$C$309,3,FALSE())=0, "", "x")</f>
        <v/>
      </c>
      <c r="D299" s="246" t="n">
        <f aca="false">F299-H299</f>
        <v>0</v>
      </c>
      <c r="E299" s="247" t="n">
        <f aca="false">G299-I299</f>
        <v>0</v>
      </c>
      <c r="F299" s="248" t="n">
        <f aca="false">VLOOKUP(A299,'TH theo khach hang'!$A$4:$G$309,4,FALSE())</f>
        <v>0</v>
      </c>
      <c r="G299" s="249" t="n">
        <f aca="false">VLOOKUP(A299,'TH theo khach hang'!$A$4:$G$309,5,FALSE())</f>
        <v>0</v>
      </c>
      <c r="H299" s="248" t="n">
        <f aca="false">J299+L299+N299+P299+R299+T299+V299+X299+Z299+AB299+AD299+AF299</f>
        <v>0</v>
      </c>
      <c r="I299" s="250" t="n">
        <f aca="false">K299+M299+O299+Q299+S299+U299+W299+Y299+AA299+AC299+AE299+AG299</f>
        <v>0</v>
      </c>
      <c r="J299" s="249"/>
      <c r="K299" s="249"/>
      <c r="L299" s="249"/>
      <c r="M299" s="249"/>
      <c r="N299" s="249"/>
      <c r="O299" s="249"/>
      <c r="P299" s="249"/>
      <c r="Q299" s="249"/>
      <c r="R299" s="249"/>
      <c r="S299" s="249"/>
      <c r="T299" s="249"/>
      <c r="U299" s="249"/>
      <c r="V299" s="249"/>
      <c r="W299" s="249"/>
      <c r="X299" s="249"/>
      <c r="Y299" s="249"/>
      <c r="Z299" s="249"/>
      <c r="AA299" s="249"/>
      <c r="AB299" s="249"/>
      <c r="AC299" s="249"/>
      <c r="AD299" s="249"/>
      <c r="AE299" s="249"/>
      <c r="AF299" s="249"/>
      <c r="AG299" s="249"/>
    </row>
    <row r="300" customFormat="false" ht="16.5" hidden="false" customHeight="false" outlineLevel="0" collapsed="false">
      <c r="A300" s="252" t="s">
        <v>477</v>
      </c>
      <c r="B300" s="214" t="n">
        <f aca="false">VLOOKUP(A300,'TH theo khach hang'!$A$4:$C$309,2,FALSE())</f>
        <v>0</v>
      </c>
      <c r="C300" s="245" t="str">
        <f aca="false">IF(VLOOKUP(A300,'TH theo khach hang'!$A$4:$C$309,3,FALSE())=0, "", "x")</f>
        <v/>
      </c>
      <c r="D300" s="246" t="n">
        <f aca="false">F300-H300</f>
        <v>0</v>
      </c>
      <c r="E300" s="247" t="n">
        <f aca="false">G300-I300</f>
        <v>0</v>
      </c>
      <c r="F300" s="248" t="n">
        <f aca="false">VLOOKUP(A300,'TH theo khach hang'!$A$4:$G$309,4,FALSE())</f>
        <v>0</v>
      </c>
      <c r="G300" s="249" t="n">
        <f aca="false">VLOOKUP(A300,'TH theo khach hang'!$A$4:$G$309,5,FALSE())</f>
        <v>0</v>
      </c>
      <c r="H300" s="248" t="n">
        <f aca="false">J300+L300+N300+P300+R300+T300+V300+X300+Z300+AB300+AD300+AF300</f>
        <v>0</v>
      </c>
      <c r="I300" s="250" t="n">
        <f aca="false">K300+M300+O300+Q300+S300+U300+W300+Y300+AA300+AC300+AE300+AG300</f>
        <v>0</v>
      </c>
      <c r="J300" s="249"/>
      <c r="K300" s="249"/>
      <c r="L300" s="249"/>
      <c r="M300" s="249"/>
      <c r="N300" s="249"/>
      <c r="O300" s="249"/>
      <c r="P300" s="249"/>
      <c r="Q300" s="249"/>
      <c r="R300" s="249"/>
      <c r="S300" s="249"/>
      <c r="T300" s="249"/>
      <c r="U300" s="249"/>
      <c r="V300" s="249"/>
      <c r="W300" s="249"/>
      <c r="X300" s="249"/>
      <c r="Y300" s="249"/>
      <c r="Z300" s="249"/>
      <c r="AA300" s="249"/>
      <c r="AB300" s="249"/>
      <c r="AC300" s="249"/>
      <c r="AD300" s="249"/>
      <c r="AE300" s="249"/>
      <c r="AF300" s="249"/>
      <c r="AG300" s="249"/>
    </row>
    <row r="301" customFormat="false" ht="16.5" hidden="false" customHeight="false" outlineLevel="0" collapsed="false">
      <c r="A301" s="252" t="s">
        <v>478</v>
      </c>
      <c r="B301" s="214" t="n">
        <f aca="false">VLOOKUP(A301,'TH theo khach hang'!$A$4:$C$309,2,FALSE())</f>
        <v>0</v>
      </c>
      <c r="C301" s="245" t="str">
        <f aca="false">IF(VLOOKUP(A301,'TH theo khach hang'!$A$4:$C$309,3,FALSE())=0, "", "x")</f>
        <v/>
      </c>
      <c r="D301" s="246" t="n">
        <f aca="false">F301-H301</f>
        <v>0</v>
      </c>
      <c r="E301" s="247" t="n">
        <f aca="false">G301-I301</f>
        <v>0</v>
      </c>
      <c r="F301" s="248" t="n">
        <f aca="false">VLOOKUP(A301,'TH theo khach hang'!$A$4:$G$309,4,FALSE())</f>
        <v>0</v>
      </c>
      <c r="G301" s="249" t="n">
        <f aca="false">VLOOKUP(A301,'TH theo khach hang'!$A$4:$G$309,5,FALSE())</f>
        <v>0</v>
      </c>
      <c r="H301" s="248" t="n">
        <f aca="false">J301+L301+N301+P301+R301+T301+V301+X301+Z301+AB301+AD301+AF301</f>
        <v>0</v>
      </c>
      <c r="I301" s="250" t="n">
        <f aca="false">K301+M301+O301+Q301+S301+U301+W301+Y301+AA301+AC301+AE301+AG301</f>
        <v>0</v>
      </c>
      <c r="J301" s="249"/>
      <c r="K301" s="249"/>
      <c r="L301" s="249"/>
      <c r="M301" s="249"/>
      <c r="N301" s="249"/>
      <c r="O301" s="249"/>
      <c r="P301" s="249"/>
      <c r="Q301" s="249"/>
      <c r="R301" s="249"/>
      <c r="S301" s="249"/>
      <c r="T301" s="249"/>
      <c r="U301" s="249"/>
      <c r="V301" s="249"/>
      <c r="W301" s="249"/>
      <c r="X301" s="249"/>
      <c r="Y301" s="249"/>
      <c r="Z301" s="249"/>
      <c r="AA301" s="249"/>
      <c r="AB301" s="249"/>
      <c r="AC301" s="249"/>
      <c r="AD301" s="249"/>
      <c r="AE301" s="249"/>
      <c r="AF301" s="249"/>
      <c r="AG301" s="249"/>
      <c r="AH301" s="251"/>
    </row>
    <row r="302" customFormat="false" ht="16.5" hidden="false" customHeight="false" outlineLevel="0" collapsed="false">
      <c r="A302" s="252" t="s">
        <v>479</v>
      </c>
      <c r="B302" s="214" t="n">
        <f aca="false">VLOOKUP(A302,'TH theo khach hang'!$A$4:$C$309,2,FALSE())</f>
        <v>0</v>
      </c>
      <c r="C302" s="245" t="str">
        <f aca="false">IF(VLOOKUP(A302,'TH theo khach hang'!$A$4:$C$309,3,FALSE())=0, "", "x")</f>
        <v/>
      </c>
      <c r="D302" s="246" t="n">
        <f aca="false">F302-H302</f>
        <v>0</v>
      </c>
      <c r="E302" s="247" t="n">
        <f aca="false">G302-I302</f>
        <v>0</v>
      </c>
      <c r="F302" s="248" t="n">
        <f aca="false">VLOOKUP(A302,'TH theo khach hang'!$A$4:$G$309,4,FALSE())</f>
        <v>0</v>
      </c>
      <c r="G302" s="249" t="n">
        <f aca="false">VLOOKUP(A302,'TH theo khach hang'!$A$4:$G$309,5,FALSE())</f>
        <v>0</v>
      </c>
      <c r="H302" s="248" t="n">
        <f aca="false">J302+L302+N302+P302+R302+T302+V302+X302+Z302+AB302+AD302+AF302</f>
        <v>0</v>
      </c>
      <c r="I302" s="250" t="n">
        <f aca="false">K302+M302+O302+Q302+S302+U302+W302+Y302+AA302+AC302+AE302+AG302</f>
        <v>0</v>
      </c>
      <c r="J302" s="249"/>
      <c r="K302" s="249"/>
      <c r="L302" s="249"/>
      <c r="M302" s="249"/>
      <c r="N302" s="249"/>
      <c r="O302" s="249"/>
      <c r="P302" s="249"/>
      <c r="Q302" s="249"/>
      <c r="R302" s="249"/>
      <c r="S302" s="249"/>
      <c r="T302" s="249"/>
      <c r="U302" s="249"/>
      <c r="V302" s="249"/>
      <c r="W302" s="249"/>
      <c r="X302" s="249"/>
      <c r="Y302" s="249"/>
      <c r="Z302" s="249"/>
      <c r="AA302" s="249"/>
      <c r="AB302" s="249"/>
      <c r="AC302" s="249"/>
      <c r="AD302" s="249"/>
      <c r="AE302" s="249"/>
      <c r="AF302" s="249"/>
      <c r="AG302" s="249"/>
    </row>
    <row r="303" customFormat="false" ht="16.5" hidden="false" customHeight="false" outlineLevel="0" collapsed="false">
      <c r="A303" s="252" t="s">
        <v>480</v>
      </c>
      <c r="B303" s="214" t="n">
        <f aca="false">VLOOKUP(A303,'TH theo khach hang'!$A$4:$C$309,2,FALSE())</f>
        <v>0</v>
      </c>
      <c r="C303" s="245" t="str">
        <f aca="false">IF(VLOOKUP(A303,'TH theo khach hang'!$A$4:$C$309,3,FALSE())=0, "", "x")</f>
        <v/>
      </c>
      <c r="D303" s="246" t="n">
        <f aca="false">F303-H303</f>
        <v>0</v>
      </c>
      <c r="E303" s="247" t="n">
        <f aca="false">G303-I303</f>
        <v>0</v>
      </c>
      <c r="F303" s="248" t="n">
        <f aca="false">VLOOKUP(A303,'TH theo khach hang'!$A$4:$G$309,4,FALSE())</f>
        <v>0</v>
      </c>
      <c r="G303" s="249" t="n">
        <f aca="false">VLOOKUP(A303,'TH theo khach hang'!$A$4:$G$309,5,FALSE())</f>
        <v>0</v>
      </c>
      <c r="H303" s="248" t="n">
        <f aca="false">J303+L303+N303+P303+R303+T303+V303+X303+Z303+AB303+AD303+AF303</f>
        <v>0</v>
      </c>
      <c r="I303" s="250" t="n">
        <f aca="false">K303+M303+O303+Q303+S303+U303+W303+Y303+AA303+AC303+AE303+AG303</f>
        <v>0</v>
      </c>
      <c r="J303" s="249"/>
      <c r="K303" s="249"/>
      <c r="L303" s="249"/>
      <c r="M303" s="249"/>
      <c r="N303" s="249"/>
      <c r="O303" s="249"/>
      <c r="P303" s="249"/>
      <c r="Q303" s="249"/>
      <c r="R303" s="249"/>
      <c r="S303" s="249"/>
      <c r="T303" s="249"/>
      <c r="U303" s="249"/>
      <c r="V303" s="249"/>
      <c r="W303" s="249"/>
      <c r="X303" s="249"/>
      <c r="Y303" s="249"/>
      <c r="Z303" s="249"/>
      <c r="AA303" s="249"/>
      <c r="AB303" s="249"/>
      <c r="AC303" s="249"/>
      <c r="AD303" s="249"/>
      <c r="AE303" s="249"/>
      <c r="AF303" s="249"/>
      <c r="AG303" s="249"/>
    </row>
    <row r="304" customFormat="false" ht="16.5" hidden="false" customHeight="true" outlineLevel="0" collapsed="false">
      <c r="A304" s="252" t="s">
        <v>481</v>
      </c>
      <c r="B304" s="214" t="n">
        <f aca="false">VLOOKUP(A304,'TH theo khach hang'!$A$4:$C$309,2,FALSE())</f>
        <v>0</v>
      </c>
      <c r="C304" s="245" t="str">
        <f aca="false">IF(VLOOKUP(A304,'TH theo khach hang'!$A$4:$C$309,3,FALSE())=0, "", "x")</f>
        <v/>
      </c>
      <c r="D304" s="246" t="n">
        <f aca="false">F304-H304</f>
        <v>0</v>
      </c>
      <c r="E304" s="247" t="n">
        <f aca="false">G304-I304</f>
        <v>0</v>
      </c>
      <c r="F304" s="248" t="n">
        <f aca="false">VLOOKUP(A304,'TH theo khach hang'!$A$4:$G$309,4,FALSE())</f>
        <v>0</v>
      </c>
      <c r="G304" s="249" t="n">
        <f aca="false">VLOOKUP(A304,'TH theo khach hang'!$A$4:$G$309,5,FALSE())</f>
        <v>0</v>
      </c>
      <c r="H304" s="248" t="n">
        <f aca="false">J304+L304+N304+P304+R304+T304+V304+X304+Z304+AB304+AD304+AF304</f>
        <v>0</v>
      </c>
      <c r="I304" s="250" t="n">
        <f aca="false">K304+M304+O304+Q304+S304+U304+W304+Y304+AA304+AC304+AE304+AG304</f>
        <v>0</v>
      </c>
      <c r="J304" s="249"/>
      <c r="K304" s="249"/>
      <c r="L304" s="249"/>
      <c r="M304" s="249"/>
      <c r="N304" s="249"/>
      <c r="O304" s="249"/>
      <c r="P304" s="249"/>
      <c r="Q304" s="249"/>
      <c r="R304" s="249"/>
      <c r="S304" s="249"/>
      <c r="T304" s="249"/>
      <c r="U304" s="249"/>
      <c r="V304" s="249"/>
      <c r="W304" s="249"/>
      <c r="X304" s="249"/>
      <c r="Y304" s="249"/>
      <c r="Z304" s="249"/>
      <c r="AA304" s="249"/>
      <c r="AB304" s="249"/>
      <c r="AC304" s="249"/>
      <c r="AD304" s="249"/>
      <c r="AE304" s="249"/>
      <c r="AF304" s="249"/>
      <c r="AG304" s="249"/>
      <c r="AH304" s="251"/>
    </row>
    <row r="305" customFormat="false" ht="16.5" hidden="false" customHeight="false" outlineLevel="0" collapsed="false">
      <c r="A305" s="252" t="s">
        <v>482</v>
      </c>
      <c r="B305" s="214" t="n">
        <f aca="false">VLOOKUP(A305,'TH theo khach hang'!$A$4:$C$309,2,FALSE())</f>
        <v>0</v>
      </c>
      <c r="C305" s="245" t="str">
        <f aca="false">IF(VLOOKUP(A305,'TH theo khach hang'!$A$4:$C$309,3,FALSE())=0, "", "x")</f>
        <v/>
      </c>
      <c r="D305" s="246" t="n">
        <f aca="false">F305-H305</f>
        <v>0</v>
      </c>
      <c r="E305" s="247" t="n">
        <f aca="false">G305-I305</f>
        <v>0</v>
      </c>
      <c r="F305" s="248" t="n">
        <f aca="false">VLOOKUP(A305,'TH theo khach hang'!$A$4:$G$309,4,FALSE())</f>
        <v>0</v>
      </c>
      <c r="G305" s="249" t="n">
        <f aca="false">VLOOKUP(A305,'TH theo khach hang'!$A$4:$G$309,5,FALSE())</f>
        <v>0</v>
      </c>
      <c r="H305" s="248" t="n">
        <f aca="false">J305+L305+N305+P305+R305+T305+V305+X305+Z305+AB305+AD305+AF305</f>
        <v>0</v>
      </c>
      <c r="I305" s="250" t="n">
        <f aca="false">K305+M305+O305+Q305+S305+U305+W305+Y305+AA305+AC305+AE305+AG305</f>
        <v>0</v>
      </c>
      <c r="J305" s="249"/>
      <c r="K305" s="249"/>
      <c r="L305" s="249"/>
      <c r="M305" s="249"/>
      <c r="N305" s="249"/>
      <c r="O305" s="249"/>
      <c r="P305" s="249"/>
      <c r="Q305" s="249"/>
      <c r="R305" s="249"/>
      <c r="S305" s="249"/>
      <c r="T305" s="249"/>
      <c r="U305" s="249"/>
      <c r="V305" s="249"/>
      <c r="W305" s="249"/>
      <c r="X305" s="249"/>
      <c r="Y305" s="249"/>
      <c r="Z305" s="249"/>
      <c r="AA305" s="249"/>
      <c r="AB305" s="249"/>
      <c r="AC305" s="249"/>
      <c r="AD305" s="249"/>
      <c r="AE305" s="249"/>
      <c r="AF305" s="249"/>
      <c r="AG305" s="249"/>
    </row>
    <row r="306" customFormat="false" ht="16.5" hidden="false" customHeight="false" outlineLevel="0" collapsed="false">
      <c r="A306" s="252" t="s">
        <v>483</v>
      </c>
      <c r="B306" s="214" t="n">
        <f aca="false">VLOOKUP(A306,'TH theo khach hang'!$A$4:$C$309,2,FALSE())</f>
        <v>0</v>
      </c>
      <c r="C306" s="245" t="str">
        <f aca="false">IF(VLOOKUP(A306,'TH theo khach hang'!$A$4:$C$309,3,FALSE())=0, "", "x")</f>
        <v/>
      </c>
      <c r="D306" s="246" t="n">
        <f aca="false">F306-H306</f>
        <v>0</v>
      </c>
      <c r="E306" s="247" t="n">
        <f aca="false">G306-I306</f>
        <v>0</v>
      </c>
      <c r="F306" s="248" t="n">
        <f aca="false">VLOOKUP(A306,'TH theo khach hang'!$A$4:$G$309,4,FALSE())</f>
        <v>0</v>
      </c>
      <c r="G306" s="249" t="n">
        <f aca="false">VLOOKUP(A306,'TH theo khach hang'!$A$4:$G$309,5,FALSE())</f>
        <v>0</v>
      </c>
      <c r="H306" s="248" t="n">
        <f aca="false">J306+L306+N306+P306+R306+T306+V306+X306+Z306+AB306+AD306+AF306</f>
        <v>0</v>
      </c>
      <c r="I306" s="250" t="n">
        <f aca="false">K306+M306+O306+Q306+S306+U306+W306+Y306+AA306+AC306+AE306+AG306</f>
        <v>0</v>
      </c>
      <c r="J306" s="249"/>
      <c r="K306" s="249"/>
      <c r="L306" s="249"/>
      <c r="M306" s="249"/>
      <c r="N306" s="249"/>
      <c r="O306" s="249"/>
      <c r="P306" s="249"/>
      <c r="Q306" s="249"/>
      <c r="R306" s="249"/>
      <c r="S306" s="249"/>
      <c r="T306" s="249"/>
      <c r="U306" s="249"/>
      <c r="V306" s="249"/>
      <c r="W306" s="249"/>
      <c r="X306" s="249"/>
      <c r="Y306" s="249"/>
      <c r="Z306" s="249"/>
      <c r="AA306" s="249"/>
      <c r="AB306" s="249"/>
      <c r="AC306" s="249"/>
      <c r="AD306" s="249"/>
      <c r="AE306" s="249"/>
      <c r="AF306" s="249"/>
      <c r="AG306" s="249"/>
    </row>
    <row r="307" customFormat="false" ht="16.5" hidden="false" customHeight="false" outlineLevel="0" collapsed="false">
      <c r="A307" s="252" t="s">
        <v>484</v>
      </c>
      <c r="B307" s="214" t="n">
        <f aca="false">VLOOKUP(A307,'TH theo khach hang'!$A$4:$C$309,2,FALSE())</f>
        <v>0</v>
      </c>
      <c r="C307" s="245" t="str">
        <f aca="false">IF(VLOOKUP(A307,'TH theo khach hang'!$A$4:$C$309,3,FALSE())=0, "", "x")</f>
        <v/>
      </c>
      <c r="D307" s="246" t="n">
        <f aca="false">F307-H307</f>
        <v>0</v>
      </c>
      <c r="E307" s="247" t="n">
        <f aca="false">G307-I307</f>
        <v>0</v>
      </c>
      <c r="F307" s="248" t="n">
        <f aca="false">VLOOKUP(A307,'TH theo khach hang'!$A$4:$G$309,4,FALSE())</f>
        <v>0</v>
      </c>
      <c r="G307" s="249" t="n">
        <f aca="false">VLOOKUP(A307,'TH theo khach hang'!$A$4:$G$309,5,FALSE())</f>
        <v>0</v>
      </c>
      <c r="H307" s="248" t="n">
        <f aca="false">J307+L307+N307+P307+R307+T307+V307+X307+Z307+AB307+AD307+AF307</f>
        <v>0</v>
      </c>
      <c r="I307" s="250" t="n">
        <f aca="false">K307+M307+O307+Q307+S307+U307+W307+Y307+AA307+AC307+AE307+AG307</f>
        <v>0</v>
      </c>
      <c r="J307" s="249"/>
      <c r="K307" s="249"/>
      <c r="L307" s="249"/>
      <c r="M307" s="249"/>
      <c r="N307" s="249"/>
      <c r="O307" s="249"/>
      <c r="P307" s="249"/>
      <c r="Q307" s="249"/>
      <c r="R307" s="249"/>
      <c r="S307" s="249"/>
      <c r="T307" s="249"/>
      <c r="U307" s="249"/>
      <c r="V307" s="249"/>
      <c r="W307" s="249"/>
      <c r="X307" s="249"/>
      <c r="Y307" s="249"/>
      <c r="Z307" s="249"/>
      <c r="AA307" s="249"/>
      <c r="AB307" s="249"/>
      <c r="AC307" s="249"/>
      <c r="AD307" s="249"/>
      <c r="AE307" s="249"/>
      <c r="AF307" s="249"/>
      <c r="AG307" s="249"/>
    </row>
    <row r="308" customFormat="false" ht="16.5" hidden="false" customHeight="false" outlineLevel="0" collapsed="false">
      <c r="A308" s="252" t="s">
        <v>485</v>
      </c>
      <c r="B308" s="214" t="str">
        <f aca="false">VLOOKUP(A308,'TH theo khach hang'!$A$4:$C$309,2,FALSE())</f>
        <v>Chuyển doanh thu từ ITO</v>
      </c>
      <c r="C308" s="245" t="str">
        <f aca="false">IF(VLOOKUP(A308,'TH theo khach hang'!$A$4:$C$309,3,FALSE())=0, "", "x")</f>
        <v/>
      </c>
      <c r="D308" s="246" t="n">
        <f aca="false">F308-H308</f>
        <v>0</v>
      </c>
      <c r="E308" s="247" t="n">
        <f aca="false">G308-I308</f>
        <v>0</v>
      </c>
      <c r="F308" s="248" t="n">
        <f aca="false">VLOOKUP(A308,'TH theo khach hang'!$A$4:$G$309,4,FALSE())</f>
        <v>0</v>
      </c>
      <c r="G308" s="249" t="n">
        <f aca="false">VLOOKUP(A308,'TH theo khach hang'!$A$4:$G$309,5,FALSE())</f>
        <v>0</v>
      </c>
      <c r="H308" s="248" t="n">
        <f aca="false">J308+L308+N308+P308+R308+T308+V308+X308+Z308+AB308+AD308+AF308</f>
        <v>0</v>
      </c>
      <c r="I308" s="250" t="n">
        <f aca="false">K308+M308+O308+Q308+S308+U308+W308+Y308+AA308+AC308+AE308+AG308</f>
        <v>0</v>
      </c>
      <c r="J308" s="249"/>
      <c r="K308" s="249"/>
      <c r="L308" s="249"/>
      <c r="M308" s="249"/>
      <c r="N308" s="249"/>
      <c r="O308" s="249"/>
      <c r="P308" s="249"/>
      <c r="Q308" s="249"/>
      <c r="R308" s="249"/>
      <c r="S308" s="249"/>
      <c r="T308" s="249"/>
      <c r="U308" s="249"/>
      <c r="V308" s="249"/>
      <c r="W308" s="249"/>
      <c r="X308" s="249"/>
      <c r="Y308" s="249"/>
      <c r="Z308" s="249"/>
      <c r="AA308" s="249"/>
      <c r="AB308" s="249"/>
      <c r="AC308" s="249"/>
      <c r="AD308" s="249"/>
      <c r="AE308" s="249"/>
      <c r="AF308" s="249"/>
      <c r="AG308" s="249"/>
    </row>
    <row r="309" customFormat="false" ht="16.5" hidden="false" customHeight="false" outlineLevel="0" collapsed="false">
      <c r="A309" s="255"/>
      <c r="B309" s="255"/>
      <c r="C309" s="256"/>
      <c r="D309" s="256"/>
      <c r="E309" s="256"/>
      <c r="F309" s="257"/>
      <c r="G309" s="254"/>
      <c r="H309" s="257"/>
      <c r="I309" s="254"/>
      <c r="J309" s="254"/>
      <c r="K309" s="254"/>
      <c r="L309" s="254"/>
      <c r="M309" s="254"/>
      <c r="N309" s="254"/>
      <c r="O309" s="254"/>
      <c r="P309" s="254"/>
      <c r="Q309" s="254"/>
      <c r="R309" s="254"/>
      <c r="S309" s="254"/>
      <c r="T309" s="254"/>
      <c r="U309" s="254"/>
      <c r="V309" s="254"/>
      <c r="W309" s="254"/>
      <c r="X309" s="254"/>
      <c r="Y309" s="254"/>
      <c r="Z309" s="254"/>
      <c r="AA309" s="254"/>
      <c r="AB309" s="254"/>
      <c r="AC309" s="254"/>
      <c r="AD309" s="254"/>
      <c r="AE309" s="254"/>
      <c r="AF309" s="254"/>
      <c r="AG309" s="254"/>
    </row>
    <row r="312" customFormat="false" ht="16.5" hidden="false" customHeight="false" outlineLevel="0" collapsed="false">
      <c r="A312" s="235"/>
      <c r="B312" s="235"/>
      <c r="C312" s="235"/>
      <c r="D312" s="235"/>
      <c r="E312" s="235"/>
      <c r="F312" s="235"/>
      <c r="H312" s="235"/>
    </row>
    <row r="313" customFormat="false" ht="16.5" hidden="false" customHeight="false" outlineLevel="0" collapsed="false">
      <c r="A313" s="235"/>
      <c r="B313" s="235"/>
      <c r="C313" s="235"/>
      <c r="D313" s="235"/>
      <c r="E313" s="235"/>
      <c r="F313" s="235"/>
      <c r="H313" s="235"/>
    </row>
    <row r="314" customFormat="false" ht="16.5" hidden="false" customHeight="false" outlineLevel="0" collapsed="false">
      <c r="A314" s="235"/>
      <c r="B314" s="235"/>
      <c r="C314" s="235"/>
      <c r="D314" s="235"/>
      <c r="E314" s="235"/>
      <c r="F314" s="235"/>
      <c r="H314" s="235"/>
    </row>
    <row r="315" customFormat="false" ht="16.5" hidden="false" customHeight="false" outlineLevel="0" collapsed="false">
      <c r="A315" s="235"/>
      <c r="B315" s="235"/>
      <c r="C315" s="235"/>
      <c r="D315" s="235"/>
      <c r="E315" s="235"/>
      <c r="F315" s="235"/>
      <c r="H315" s="235"/>
    </row>
    <row r="316" customFormat="false" ht="16.5" hidden="false" customHeight="false" outlineLevel="0" collapsed="false">
      <c r="A316" s="235"/>
      <c r="B316" s="235"/>
      <c r="C316" s="235"/>
      <c r="D316" s="235"/>
      <c r="E316" s="235"/>
      <c r="F316" s="235"/>
      <c r="H316" s="235"/>
    </row>
    <row r="317" customFormat="false" ht="16.5" hidden="false" customHeight="false" outlineLevel="0" collapsed="false">
      <c r="A317" s="235"/>
      <c r="B317" s="235"/>
      <c r="C317" s="235"/>
      <c r="D317" s="235"/>
      <c r="E317" s="235"/>
      <c r="F317" s="235"/>
      <c r="H317" s="235"/>
    </row>
    <row r="318" customFormat="false" ht="16.5" hidden="false" customHeight="false" outlineLevel="0" collapsed="false">
      <c r="A318" s="235"/>
      <c r="B318" s="235"/>
      <c r="C318" s="235"/>
      <c r="D318" s="235"/>
      <c r="E318" s="235"/>
      <c r="F318" s="235"/>
      <c r="H318" s="235"/>
    </row>
    <row r="319" customFormat="false" ht="16.5" hidden="false" customHeight="false" outlineLevel="0" collapsed="false">
      <c r="A319" s="235"/>
      <c r="B319" s="235"/>
      <c r="C319" s="235"/>
      <c r="D319" s="235"/>
      <c r="E319" s="235"/>
      <c r="F319" s="235"/>
      <c r="H319" s="235"/>
    </row>
    <row r="320" customFormat="false" ht="16.5" hidden="false" customHeight="false" outlineLevel="0" collapsed="false">
      <c r="A320" s="235"/>
      <c r="B320" s="235"/>
      <c r="C320" s="235"/>
      <c r="D320" s="235"/>
      <c r="E320" s="235"/>
      <c r="F320" s="235"/>
      <c r="H320" s="235"/>
    </row>
    <row r="321" customFormat="false" ht="16.5" hidden="false" customHeight="false" outlineLevel="0" collapsed="false">
      <c r="A321" s="235"/>
      <c r="B321" s="235"/>
      <c r="C321" s="235"/>
      <c r="D321" s="235"/>
      <c r="E321" s="235"/>
      <c r="F321" s="235"/>
      <c r="H321" s="235"/>
    </row>
    <row r="322" customFormat="false" ht="16.5" hidden="false" customHeight="false" outlineLevel="0" collapsed="false">
      <c r="A322" s="235"/>
      <c r="B322" s="235"/>
      <c r="C322" s="235"/>
      <c r="D322" s="235"/>
      <c r="E322" s="235"/>
      <c r="F322" s="235"/>
      <c r="H322" s="235"/>
    </row>
    <row r="323" customFormat="false" ht="16.5" hidden="false" customHeight="false" outlineLevel="0" collapsed="false">
      <c r="A323" s="235"/>
      <c r="B323" s="235"/>
      <c r="C323" s="235"/>
      <c r="D323" s="235"/>
      <c r="E323" s="235"/>
      <c r="F323" s="235"/>
      <c r="H323" s="235"/>
    </row>
    <row r="324" customFormat="false" ht="16.5" hidden="false" customHeight="false" outlineLevel="0" collapsed="false">
      <c r="A324" s="235"/>
      <c r="B324" s="235"/>
      <c r="C324" s="235"/>
      <c r="D324" s="235"/>
      <c r="E324" s="235"/>
      <c r="F324" s="235"/>
      <c r="H324" s="235"/>
    </row>
    <row r="325" customFormat="false" ht="16.5" hidden="false" customHeight="false" outlineLevel="0" collapsed="false">
      <c r="A325" s="235"/>
      <c r="B325" s="235"/>
      <c r="C325" s="235"/>
      <c r="D325" s="235"/>
      <c r="E325" s="235"/>
      <c r="F325" s="235"/>
      <c r="H325" s="235"/>
    </row>
    <row r="326" customFormat="false" ht="16.5" hidden="false" customHeight="false" outlineLevel="0" collapsed="false">
      <c r="A326" s="235"/>
      <c r="B326" s="235"/>
      <c r="C326" s="235"/>
      <c r="D326" s="235"/>
      <c r="E326" s="235"/>
      <c r="F326" s="235"/>
      <c r="H326" s="235"/>
    </row>
    <row r="327" customFormat="false" ht="16.5" hidden="false" customHeight="false" outlineLevel="0" collapsed="false">
      <c r="A327" s="235"/>
      <c r="B327" s="235"/>
      <c r="C327" s="235"/>
      <c r="D327" s="235"/>
      <c r="E327" s="235"/>
      <c r="F327" s="235"/>
      <c r="H327" s="235"/>
    </row>
    <row r="328" customFormat="false" ht="16.5" hidden="false" customHeight="false" outlineLevel="0" collapsed="false">
      <c r="A328" s="235"/>
      <c r="B328" s="235"/>
      <c r="C328" s="235"/>
      <c r="D328" s="235"/>
      <c r="E328" s="235"/>
      <c r="F328" s="235"/>
      <c r="H328" s="235"/>
    </row>
    <row r="329" customFormat="false" ht="16.5" hidden="false" customHeight="false" outlineLevel="0" collapsed="false">
      <c r="A329" s="235"/>
      <c r="B329" s="235"/>
      <c r="C329" s="235"/>
      <c r="D329" s="235"/>
      <c r="E329" s="235"/>
      <c r="F329" s="235"/>
      <c r="H329" s="235"/>
    </row>
    <row r="330" customFormat="false" ht="16.5" hidden="false" customHeight="false" outlineLevel="0" collapsed="false">
      <c r="A330" s="235"/>
      <c r="B330" s="235"/>
      <c r="C330" s="235"/>
      <c r="D330" s="235"/>
      <c r="E330" s="235"/>
      <c r="F330" s="235"/>
      <c r="H330" s="235"/>
    </row>
    <row r="331" customFormat="false" ht="16.5" hidden="false" customHeight="false" outlineLevel="0" collapsed="false">
      <c r="A331" s="235"/>
      <c r="B331" s="235"/>
      <c r="C331" s="235"/>
      <c r="D331" s="235"/>
      <c r="E331" s="235"/>
      <c r="F331" s="235"/>
      <c r="H331" s="235"/>
    </row>
    <row r="332" customFormat="false" ht="16.5" hidden="false" customHeight="false" outlineLevel="0" collapsed="false">
      <c r="A332" s="235"/>
      <c r="B332" s="235"/>
      <c r="C332" s="235"/>
      <c r="D332" s="235"/>
      <c r="E332" s="235"/>
      <c r="F332" s="235"/>
      <c r="H332" s="235"/>
    </row>
    <row r="333" customFormat="false" ht="16.5" hidden="false" customHeight="false" outlineLevel="0" collapsed="false">
      <c r="A333" s="235"/>
      <c r="B333" s="235"/>
      <c r="C333" s="235"/>
      <c r="D333" s="235"/>
      <c r="E333" s="235"/>
      <c r="F333" s="235"/>
      <c r="H333" s="235"/>
    </row>
    <row r="334" customFormat="false" ht="16.5" hidden="false" customHeight="false" outlineLevel="0" collapsed="false">
      <c r="A334" s="235"/>
      <c r="B334" s="235"/>
      <c r="C334" s="235"/>
      <c r="D334" s="235"/>
      <c r="E334" s="235"/>
      <c r="F334" s="235"/>
      <c r="H334" s="235"/>
    </row>
    <row r="335" customFormat="false" ht="16.5" hidden="false" customHeight="false" outlineLevel="0" collapsed="false">
      <c r="A335" s="235"/>
      <c r="B335" s="235"/>
      <c r="C335" s="235"/>
      <c r="D335" s="235"/>
      <c r="E335" s="235"/>
      <c r="F335" s="235"/>
      <c r="H335" s="235"/>
    </row>
    <row r="336" customFormat="false" ht="16.5" hidden="false" customHeight="false" outlineLevel="0" collapsed="false">
      <c r="A336" s="235"/>
      <c r="B336" s="235"/>
      <c r="C336" s="235"/>
      <c r="D336" s="235"/>
      <c r="E336" s="235"/>
      <c r="F336" s="235"/>
      <c r="H336" s="235"/>
    </row>
    <row r="337" customFormat="false" ht="16.5" hidden="false" customHeight="false" outlineLevel="0" collapsed="false">
      <c r="A337" s="235"/>
      <c r="B337" s="235"/>
      <c r="C337" s="235"/>
      <c r="D337" s="235"/>
      <c r="E337" s="235"/>
      <c r="F337" s="235"/>
      <c r="H337" s="235"/>
    </row>
    <row r="338" customFormat="false" ht="16.5" hidden="false" customHeight="false" outlineLevel="0" collapsed="false">
      <c r="A338" s="235"/>
      <c r="B338" s="235"/>
      <c r="C338" s="235"/>
      <c r="D338" s="235"/>
      <c r="E338" s="235"/>
      <c r="F338" s="235"/>
      <c r="H338" s="235"/>
    </row>
    <row r="339" customFormat="false" ht="16.5" hidden="false" customHeight="false" outlineLevel="0" collapsed="false">
      <c r="A339" s="235"/>
      <c r="B339" s="235"/>
      <c r="C339" s="235"/>
      <c r="D339" s="235"/>
      <c r="E339" s="235"/>
      <c r="F339" s="235"/>
      <c r="H339" s="235"/>
    </row>
    <row r="340" customFormat="false" ht="16.5" hidden="false" customHeight="false" outlineLevel="0" collapsed="false">
      <c r="A340" s="235"/>
      <c r="B340" s="235"/>
      <c r="C340" s="235"/>
      <c r="D340" s="235"/>
      <c r="E340" s="235"/>
      <c r="F340" s="235"/>
      <c r="H340" s="235"/>
    </row>
    <row r="341" customFormat="false" ht="16.5" hidden="false" customHeight="false" outlineLevel="0" collapsed="false">
      <c r="A341" s="235"/>
      <c r="B341" s="235"/>
      <c r="C341" s="235"/>
      <c r="D341" s="235"/>
      <c r="E341" s="235"/>
      <c r="F341" s="235"/>
      <c r="H341" s="235"/>
    </row>
    <row r="342" customFormat="false" ht="21" hidden="false" customHeight="true" outlineLevel="0" collapsed="false">
      <c r="A342" s="235"/>
      <c r="B342" s="235"/>
      <c r="C342" s="235"/>
      <c r="D342" s="235"/>
      <c r="E342" s="235"/>
      <c r="F342" s="235"/>
      <c r="H342" s="235"/>
    </row>
    <row r="343" customFormat="false" ht="24" hidden="false" customHeight="true" outlineLevel="0" collapsed="false">
      <c r="A343" s="235"/>
      <c r="B343" s="235"/>
      <c r="C343" s="235"/>
      <c r="D343" s="235"/>
      <c r="E343" s="235"/>
      <c r="F343" s="235"/>
      <c r="H343" s="235"/>
    </row>
    <row r="344" customFormat="false" ht="16.5" hidden="false" customHeight="false" outlineLevel="0" collapsed="false">
      <c r="A344" s="235"/>
      <c r="B344" s="235"/>
      <c r="C344" s="235"/>
      <c r="D344" s="235"/>
      <c r="E344" s="235"/>
      <c r="F344" s="235"/>
      <c r="H344" s="235"/>
    </row>
    <row r="345" customFormat="false" ht="16.5" hidden="false" customHeight="false" outlineLevel="0" collapsed="false">
      <c r="A345" s="235"/>
      <c r="B345" s="235"/>
      <c r="C345" s="235"/>
      <c r="D345" s="235"/>
      <c r="E345" s="235"/>
      <c r="F345" s="235"/>
      <c r="H345" s="235"/>
    </row>
  </sheetData>
  <autoFilter ref="H3:I308"/>
  <mergeCells count="18">
    <mergeCell ref="A2:A3"/>
    <mergeCell ref="B2:B3"/>
    <mergeCell ref="C2:C3"/>
    <mergeCell ref="D2:E2"/>
    <mergeCell ref="F2:G2"/>
    <mergeCell ref="H2:I2"/>
    <mergeCell ref="J2:K2"/>
    <mergeCell ref="L2:M2"/>
    <mergeCell ref="N2:O2"/>
    <mergeCell ref="P2:Q2"/>
    <mergeCell ref="R2:S2"/>
    <mergeCell ref="T2:U2"/>
    <mergeCell ref="V2:W2"/>
    <mergeCell ref="X2:Y2"/>
    <mergeCell ref="Z2:AA2"/>
    <mergeCell ref="AB2:AC2"/>
    <mergeCell ref="AD2:AE2"/>
    <mergeCell ref="AF2:AG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N67"/>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selection pane="topLeft" activeCell="M16" activeCellId="0" sqref="M16"/>
    </sheetView>
  </sheetViews>
  <sheetFormatPr defaultColWidth="9.1484375" defaultRowHeight="18.75" customHeight="false" zeroHeight="false" outlineLevelRow="0" outlineLevelCol="0"/>
  <cols>
    <col collapsed="false" customWidth="true" hidden="false" outlineLevel="0" max="1" min="1" style="258" width="7"/>
    <col collapsed="false" customWidth="true" hidden="false" outlineLevel="0" max="2" min="2" style="258" width="33.86"/>
    <col collapsed="false" customWidth="true" hidden="false" outlineLevel="0" max="3" min="3" style="258" width="21.14"/>
    <col collapsed="false" customWidth="true" hidden="false" outlineLevel="0" max="4" min="4" style="258" width="19"/>
    <col collapsed="false" customWidth="true" hidden="false" outlineLevel="0" max="5" min="5" style="258" width="22"/>
    <col collapsed="false" customWidth="true" hidden="false" outlineLevel="0" max="6" min="6" style="258" width="20.57"/>
    <col collapsed="false" customWidth="true" hidden="false" outlineLevel="0" max="7" min="7" style="258" width="19.14"/>
    <col collapsed="false" customWidth="true" hidden="false" outlineLevel="0" max="8" min="8" style="258" width="22"/>
    <col collapsed="false" customWidth="true" hidden="false" outlineLevel="0" max="9" min="9" style="258" width="20.57"/>
    <col collapsed="false" customWidth="true" hidden="false" outlineLevel="0" max="10" min="10" style="258" width="19.14"/>
    <col collapsed="false" customWidth="true" hidden="false" outlineLevel="0" max="12" min="11" style="258" width="19.29"/>
    <col collapsed="false" customWidth="true" hidden="false" outlineLevel="0" max="14" min="13" style="258" width="19.57"/>
    <col collapsed="false" customWidth="true" hidden="false" outlineLevel="0" max="15" min="15" style="258" width="8.86"/>
    <col collapsed="false" customWidth="false" hidden="false" outlineLevel="0" max="16384" min="16" style="258" width="9.14"/>
  </cols>
  <sheetData>
    <row r="2" customFormat="false" ht="18.75" hidden="false" customHeight="false" outlineLevel="0" collapsed="false">
      <c r="A2" s="259" t="s">
        <v>83</v>
      </c>
      <c r="B2" s="8"/>
      <c r="C2" s="8"/>
      <c r="D2" s="8"/>
      <c r="E2" s="8"/>
      <c r="F2" s="8"/>
      <c r="G2" s="8"/>
      <c r="H2" s="8"/>
      <c r="I2" s="8"/>
      <c r="J2" s="8"/>
    </row>
    <row r="3" customFormat="false" ht="18.75" hidden="false" customHeight="false" outlineLevel="0" collapsed="false">
      <c r="A3" s="260"/>
      <c r="B3" s="261"/>
      <c r="C3" s="262" t="s">
        <v>489</v>
      </c>
      <c r="D3" s="262"/>
      <c r="E3" s="263" t="s">
        <v>3</v>
      </c>
      <c r="F3" s="263"/>
      <c r="G3" s="263"/>
      <c r="H3" s="264" t="s">
        <v>5</v>
      </c>
      <c r="I3" s="264"/>
      <c r="J3" s="264"/>
      <c r="L3" s="265" t="s">
        <v>179</v>
      </c>
      <c r="M3" s="266" t="s">
        <v>490</v>
      </c>
      <c r="N3" s="266"/>
    </row>
    <row r="4" customFormat="false" ht="18.75" hidden="false" customHeight="false" outlineLevel="0" collapsed="false">
      <c r="A4" s="267" t="s">
        <v>81</v>
      </c>
      <c r="B4" s="268" t="s">
        <v>6</v>
      </c>
      <c r="C4" s="269" t="s">
        <v>3</v>
      </c>
      <c r="D4" s="270" t="s">
        <v>5</v>
      </c>
      <c r="E4" s="271" t="s">
        <v>491</v>
      </c>
      <c r="F4" s="271" t="s">
        <v>492</v>
      </c>
      <c r="G4" s="271" t="s">
        <v>493</v>
      </c>
      <c r="H4" s="272" t="s">
        <v>491</v>
      </c>
      <c r="I4" s="272" t="s">
        <v>492</v>
      </c>
      <c r="J4" s="272" t="s">
        <v>493</v>
      </c>
      <c r="L4" s="265"/>
      <c r="M4" s="266" t="s">
        <v>83</v>
      </c>
      <c r="N4" s="266" t="s">
        <v>84</v>
      </c>
    </row>
    <row r="5" customFormat="false" ht="18.75" hidden="false" customHeight="false" outlineLevel="0" collapsed="false">
      <c r="A5" s="273" t="n">
        <v>1</v>
      </c>
      <c r="B5" s="274" t="s">
        <v>133</v>
      </c>
      <c r="C5" s="275" t="n">
        <f aca="false">SUM(E5:G5)</f>
        <v>0</v>
      </c>
      <c r="D5" s="276" t="n">
        <f aca="false">SUM(H5:J5)</f>
        <v>0</v>
      </c>
      <c r="E5" s="277" t="n">
        <f aca="false">SUMIFS(Vtiger!$F$2:$F$418,Vtiger!$E$2:$E$418,B5,Vtiger!$A$2:$A$418,"UNI",Vtiger!$G$2:$G$418,$E$4)</f>
        <v>0</v>
      </c>
      <c r="F5" s="277" t="n">
        <f aca="false">SUMIFS(Vtiger!$F$2:$F$418,Vtiger!$E$2:$E$418,B5,Vtiger!$A$2:$A$418,"UNI",Vtiger!$G$2:$G$418,$F$4)</f>
        <v>0</v>
      </c>
      <c r="G5" s="277" t="n">
        <f aca="false">SUMIFS(Vtiger!$F$2:$F$418,Vtiger!$E$2:$E$418,B5,Vtiger!$A$2:$A$418,"UNI",Vtiger!$G$2:$G$418,$G$4)</f>
        <v>0</v>
      </c>
      <c r="H5" s="277" t="n">
        <f aca="false">SUMIFS(Vtiger!$F$2:$F$418,Vtiger!$E$2:$E$418,B5,Vtiger!$A$2:$A$418,"G2B",Vtiger!$G$2:$G$418,$H$4)</f>
        <v>0</v>
      </c>
      <c r="I5" s="277" t="n">
        <f aca="false">SUMIFS(Vtiger!$F$2:$F$418,Vtiger!$E$2:$E$418,B5,Vtiger!$A$2:$A$418,"G2B",Vtiger!$G$2:$G$418,$I$4)</f>
        <v>0</v>
      </c>
      <c r="J5" s="277" t="n">
        <f aca="false">SUMIFS(Vtiger!$F$2:$F$418,Vtiger!$E$2:$E$418,B5,Vtiger!$A$2:$A$418,"G2B",Vtiger!$G$2:$G$418,$J$4)</f>
        <v>0</v>
      </c>
      <c r="L5" s="278" t="s">
        <v>133</v>
      </c>
      <c r="M5" s="279"/>
      <c r="N5" s="279" t="n">
        <f aca="false">M5</f>
        <v>0</v>
      </c>
    </row>
    <row r="6" customFormat="false" ht="18.75" hidden="false" customHeight="false" outlineLevel="0" collapsed="false">
      <c r="A6" s="273" t="n">
        <v>2</v>
      </c>
      <c r="B6" s="274" t="s">
        <v>134</v>
      </c>
      <c r="C6" s="275" t="n">
        <f aca="false">SUM(E6:G6)</f>
        <v>0</v>
      </c>
      <c r="D6" s="276" t="n">
        <f aca="false">SUM(H6:J6)</f>
        <v>0</v>
      </c>
      <c r="E6" s="277" t="n">
        <f aca="false">SUMIFS(Vtiger!$F$2:$F$418,Vtiger!$E$2:$E$418,B6,Vtiger!$A$2:$A$418,"UNI",Vtiger!$G$2:$G$418,$E$4)</f>
        <v>0</v>
      </c>
      <c r="F6" s="277" t="n">
        <f aca="false">SUMIFS(Vtiger!$F$2:$F$418,Vtiger!$E$2:$E$418,B6,Vtiger!$A$2:$A$418,"UNI",Vtiger!$G$2:$G$418,$F$4)</f>
        <v>0</v>
      </c>
      <c r="G6" s="277" t="n">
        <f aca="false">SUMIFS(Vtiger!$F$2:$F$418,Vtiger!$E$2:$E$418,B6,Vtiger!$A$2:$A$418,"UNI",Vtiger!$G$2:$G$418,$G$4)</f>
        <v>0</v>
      </c>
      <c r="H6" s="277" t="n">
        <f aca="false">SUMIFS(Vtiger!$F$2:$F$418,Vtiger!$E$2:$E$418,B6,Vtiger!$A$2:$A$418,"G2B",Vtiger!$G$2:$G$418,$H$4)</f>
        <v>0</v>
      </c>
      <c r="I6" s="277" t="n">
        <f aca="false">SUMIFS(Vtiger!$F$2:$F$418,Vtiger!$E$2:$E$418,B6,Vtiger!$A$2:$A$418,"G2B",Vtiger!$G$2:$G$418,$I$4)</f>
        <v>0</v>
      </c>
      <c r="J6" s="277" t="n">
        <f aca="false">SUMIFS(Vtiger!$F$2:$F$418,Vtiger!$E$2:$E$418,B6,Vtiger!$A$2:$A$418,"G2B",Vtiger!$G$2:$G$418,$J$4)</f>
        <v>0</v>
      </c>
      <c r="L6" s="278" t="s">
        <v>134</v>
      </c>
      <c r="M6" s="279"/>
      <c r="N6" s="279" t="n">
        <f aca="false">M6</f>
        <v>0</v>
      </c>
    </row>
    <row r="7" customFormat="false" ht="18.75" hidden="false" customHeight="false" outlineLevel="0" collapsed="false">
      <c r="A7" s="273" t="n">
        <v>3</v>
      </c>
      <c r="B7" s="274" t="s">
        <v>135</v>
      </c>
      <c r="C7" s="275" t="n">
        <f aca="false">SUM(E7:G7)</f>
        <v>0</v>
      </c>
      <c r="D7" s="276" t="n">
        <f aca="false">SUM(H7:J7)</f>
        <v>0</v>
      </c>
      <c r="E7" s="277" t="n">
        <f aca="false">SUMIFS(Vtiger!$F$2:$F$418,Vtiger!$E$2:$E$418,B7,Vtiger!$A$2:$A$418,"UNI",Vtiger!$G$2:$G$418,$E$4)</f>
        <v>0</v>
      </c>
      <c r="F7" s="277" t="n">
        <f aca="false">SUMIFS(Vtiger!$F$2:$F$418,Vtiger!$E$2:$E$418,B7,Vtiger!$A$2:$A$418,"UNI",Vtiger!$G$2:$G$418,$F$4)</f>
        <v>0</v>
      </c>
      <c r="G7" s="277" t="n">
        <f aca="false">SUMIFS(Vtiger!$F$2:$F$418,Vtiger!$E$2:$E$418,B7,Vtiger!$A$2:$A$418,"UNI",Vtiger!$G$2:$G$418,$G$4)</f>
        <v>0</v>
      </c>
      <c r="H7" s="277" t="n">
        <f aca="false">SUMIFS(Vtiger!$F$2:$F$418,Vtiger!$E$2:$E$418,B7,Vtiger!$A$2:$A$418,"G2B",Vtiger!$G$2:$G$418,$H$4)</f>
        <v>0</v>
      </c>
      <c r="I7" s="277" t="n">
        <f aca="false">SUMIFS(Vtiger!$F$2:$F$418,Vtiger!$E$2:$E$418,B7,Vtiger!$A$2:$A$418,"G2B",Vtiger!$G$2:$G$418,$I$4)</f>
        <v>0</v>
      </c>
      <c r="J7" s="277" t="n">
        <f aca="false">SUMIFS(Vtiger!$F$2:$F$418,Vtiger!$E$2:$E$418,B7,Vtiger!$A$2:$A$418,"G2B",Vtiger!$G$2:$G$418,$J$4)</f>
        <v>0</v>
      </c>
      <c r="L7" s="278" t="s">
        <v>135</v>
      </c>
      <c r="M7" s="279"/>
      <c r="N7" s="279" t="n">
        <f aca="false">M7</f>
        <v>0</v>
      </c>
    </row>
    <row r="8" customFormat="false" ht="18.75" hidden="false" customHeight="false" outlineLevel="0" collapsed="false">
      <c r="A8" s="273" t="n">
        <v>4</v>
      </c>
      <c r="B8" s="274" t="s">
        <v>136</v>
      </c>
      <c r="C8" s="275" t="n">
        <f aca="false">SUM(E8:G8)</f>
        <v>0</v>
      </c>
      <c r="D8" s="276" t="n">
        <f aca="false">SUM(H8:J8)</f>
        <v>0</v>
      </c>
      <c r="E8" s="277" t="n">
        <f aca="false">SUMIFS(Vtiger!$F$2:$F$418,Vtiger!$E$2:$E$418,B8,Vtiger!$A$2:$A$418,"UNI",Vtiger!$G$2:$G$418,$E$4)</f>
        <v>0</v>
      </c>
      <c r="F8" s="277" t="n">
        <f aca="false">SUMIFS(Vtiger!$F$2:$F$418,Vtiger!$E$2:$E$418,B8,Vtiger!$A$2:$A$418,"UNI",Vtiger!$G$2:$G$418,$F$4)</f>
        <v>0</v>
      </c>
      <c r="G8" s="277" t="n">
        <f aca="false">SUMIFS(Vtiger!$F$2:$F$418,Vtiger!$E$2:$E$418,B8,Vtiger!$A$2:$A$418,"UNI",Vtiger!$G$2:$G$418,$G$4)</f>
        <v>0</v>
      </c>
      <c r="H8" s="277" t="n">
        <f aca="false">SUMIFS(Vtiger!$F$2:$F$418,Vtiger!$E$2:$E$418,B8,Vtiger!$A$2:$A$418,"G2B",Vtiger!$G$2:$G$418,$H$4)</f>
        <v>0</v>
      </c>
      <c r="I8" s="277" t="n">
        <f aca="false">SUMIFS(Vtiger!$F$2:$F$418,Vtiger!$E$2:$E$418,B8,Vtiger!$A$2:$A$418,"G2B",Vtiger!$G$2:$G$418,$I$4)</f>
        <v>0</v>
      </c>
      <c r="J8" s="277" t="n">
        <f aca="false">SUMIFS(Vtiger!$F$2:$F$418,Vtiger!$E$2:$E$418,B8,Vtiger!$A$2:$A$418,"G2B",Vtiger!$G$2:$G$418,$J$4)</f>
        <v>0</v>
      </c>
      <c r="L8" s="278" t="s">
        <v>136</v>
      </c>
      <c r="M8" s="279"/>
      <c r="N8" s="279" t="n">
        <f aca="false">M8</f>
        <v>0</v>
      </c>
    </row>
    <row r="9" customFormat="false" ht="18.75" hidden="false" customHeight="false" outlineLevel="0" collapsed="false">
      <c r="A9" s="273" t="n">
        <v>5</v>
      </c>
      <c r="B9" s="274" t="s">
        <v>137</v>
      </c>
      <c r="C9" s="275" t="n">
        <f aca="false">SUM(E9:G9)</f>
        <v>0</v>
      </c>
      <c r="D9" s="276" t="n">
        <f aca="false">SUM(H9:J9)</f>
        <v>0</v>
      </c>
      <c r="E9" s="277" t="n">
        <f aca="false">SUMIFS(Vtiger!$F$2:$F$418,Vtiger!$E$2:$E$418,B9,Vtiger!$A$2:$A$418,"UNI",Vtiger!$G$2:$G$418,$E$4)</f>
        <v>0</v>
      </c>
      <c r="F9" s="277" t="n">
        <f aca="false">SUMIFS(Vtiger!$F$2:$F$418,Vtiger!$E$2:$E$418,B9,Vtiger!$A$2:$A$418,"UNI",Vtiger!$G$2:$G$418,$F$4)</f>
        <v>0</v>
      </c>
      <c r="G9" s="277" t="n">
        <f aca="false">SUMIFS(Vtiger!$F$2:$F$418,Vtiger!$E$2:$E$418,B9,Vtiger!$A$2:$A$418,"UNI",Vtiger!$G$2:$G$418,$G$4)</f>
        <v>0</v>
      </c>
      <c r="H9" s="277" t="n">
        <f aca="false">SUMIFS(Vtiger!$F$2:$F$418,Vtiger!$E$2:$E$418,B9,Vtiger!$A$2:$A$418,"G2B",Vtiger!$G$2:$G$418,$H$4)</f>
        <v>0</v>
      </c>
      <c r="I9" s="277" t="n">
        <f aca="false">SUMIFS(Vtiger!$F$2:$F$418,Vtiger!$E$2:$E$418,B9,Vtiger!$A$2:$A$418,"G2B",Vtiger!$G$2:$G$418,$I$4)</f>
        <v>0</v>
      </c>
      <c r="J9" s="277" t="n">
        <f aca="false">SUMIFS(Vtiger!$F$2:$F$418,Vtiger!$E$2:$E$418,B9,Vtiger!$A$2:$A$418,"G2B",Vtiger!$G$2:$G$418,$J$4)</f>
        <v>0</v>
      </c>
      <c r="L9" s="278" t="s">
        <v>137</v>
      </c>
      <c r="M9" s="279"/>
      <c r="N9" s="279" t="n">
        <f aca="false">M9</f>
        <v>0</v>
      </c>
    </row>
    <row r="10" customFormat="false" ht="18.75" hidden="false" customHeight="false" outlineLevel="0" collapsed="false">
      <c r="A10" s="273" t="n">
        <v>6</v>
      </c>
      <c r="B10" s="274" t="s">
        <v>138</v>
      </c>
      <c r="C10" s="275" t="n">
        <f aca="false">SUM(E10:G10)</f>
        <v>0</v>
      </c>
      <c r="D10" s="276" t="n">
        <f aca="false">SUM(H10:J10)</f>
        <v>0</v>
      </c>
      <c r="E10" s="277" t="n">
        <f aca="false">SUMIFS(Vtiger!$F$2:$F$418,Vtiger!$E$2:$E$418,B10,Vtiger!$A$2:$A$418,"UNI",Vtiger!$G$2:$G$418,$E$4)</f>
        <v>0</v>
      </c>
      <c r="F10" s="277" t="n">
        <f aca="false">SUMIFS(Vtiger!$F$2:$F$418,Vtiger!$E$2:$E$418,B10,Vtiger!$A$2:$A$418,"UNI",Vtiger!$G$2:$G$418,$F$4)</f>
        <v>0</v>
      </c>
      <c r="G10" s="277" t="n">
        <f aca="false">SUMIFS(Vtiger!$F$2:$F$418,Vtiger!$E$2:$E$418,B10,Vtiger!$A$2:$A$418,"UNI",Vtiger!$G$2:$G$418,$G$4)</f>
        <v>0</v>
      </c>
      <c r="H10" s="277" t="n">
        <f aca="false">SUMIFS(Vtiger!$F$2:$F$418,Vtiger!$E$2:$E$418,B10,Vtiger!$A$2:$A$418,"G2B",Vtiger!$G$2:$G$418,$H$4)</f>
        <v>0</v>
      </c>
      <c r="I10" s="277" t="n">
        <f aca="false">SUMIFS(Vtiger!$F$2:$F$418,Vtiger!$E$2:$E$418,B10,Vtiger!$A$2:$A$418,"G2B",Vtiger!$G$2:$G$418,$I$4)</f>
        <v>0</v>
      </c>
      <c r="J10" s="277" t="n">
        <f aca="false">SUMIFS(Vtiger!$F$2:$F$418,Vtiger!$E$2:$E$418,B10,Vtiger!$A$2:$A$418,"G2B",Vtiger!$G$2:$G$418,$J$4)</f>
        <v>0</v>
      </c>
      <c r="L10" s="278" t="s">
        <v>138</v>
      </c>
      <c r="M10" s="279"/>
      <c r="N10" s="279" t="n">
        <f aca="false">M10</f>
        <v>0</v>
      </c>
    </row>
    <row r="11" customFormat="false" ht="18.75" hidden="false" customHeight="false" outlineLevel="0" collapsed="false">
      <c r="A11" s="273" t="n">
        <v>7</v>
      </c>
      <c r="B11" s="274" t="s">
        <v>139</v>
      </c>
      <c r="C11" s="275" t="n">
        <f aca="false">SUM(E11:G11)</f>
        <v>0</v>
      </c>
      <c r="D11" s="276" t="n">
        <f aca="false">SUM(H11:J11)</f>
        <v>0</v>
      </c>
      <c r="E11" s="277" t="n">
        <f aca="false">SUMIFS(Vtiger!$F$2:$F$418,Vtiger!$E$2:$E$418,B11,Vtiger!$A$2:$A$418,"UNI",Vtiger!$G$2:$G$418,$E$4)</f>
        <v>0</v>
      </c>
      <c r="F11" s="277" t="n">
        <f aca="false">SUMIFS(Vtiger!$F$2:$F$418,Vtiger!$E$2:$E$418,B11,Vtiger!$A$2:$A$418,"UNI",Vtiger!$G$2:$G$418,$F$4)</f>
        <v>0</v>
      </c>
      <c r="G11" s="277" t="n">
        <f aca="false">SUMIFS(Vtiger!$F$2:$F$418,Vtiger!$E$2:$E$418,B11,Vtiger!$A$2:$A$418,"UNI",Vtiger!$G$2:$G$418,$G$4)</f>
        <v>0</v>
      </c>
      <c r="H11" s="277" t="n">
        <f aca="false">SUMIFS(Vtiger!$F$2:$F$418,Vtiger!$E$2:$E$418,B11,Vtiger!$A$2:$A$418,"G2B",Vtiger!$G$2:$G$418,$H$4)</f>
        <v>0</v>
      </c>
      <c r="I11" s="277" t="n">
        <f aca="false">SUMIFS(Vtiger!$F$2:$F$418,Vtiger!$E$2:$E$418,B11,Vtiger!$A$2:$A$418,"G2B",Vtiger!$G$2:$G$418,$I$4)</f>
        <v>0</v>
      </c>
      <c r="J11" s="277" t="n">
        <f aca="false">SUMIFS(Vtiger!$F$2:$F$418,Vtiger!$E$2:$E$418,B11,Vtiger!$A$2:$A$418,"G2B",Vtiger!$G$2:$G$418,$J$4)</f>
        <v>0</v>
      </c>
      <c r="L11" s="278" t="s">
        <v>139</v>
      </c>
      <c r="M11" s="279"/>
      <c r="N11" s="279" t="n">
        <f aca="false">M11</f>
        <v>0</v>
      </c>
    </row>
    <row r="12" customFormat="false" ht="18.75" hidden="false" customHeight="false" outlineLevel="0" collapsed="false">
      <c r="A12" s="273" t="n">
        <v>8</v>
      </c>
      <c r="B12" s="274" t="s">
        <v>140</v>
      </c>
      <c r="C12" s="275" t="n">
        <f aca="false">SUM(E12:G12)</f>
        <v>0</v>
      </c>
      <c r="D12" s="276" t="n">
        <f aca="false">SUM(H12:J12)</f>
        <v>0</v>
      </c>
      <c r="E12" s="277" t="n">
        <f aca="false">SUMIFS(Vtiger!$F$2:$F$418,Vtiger!$E$2:$E$418,B12,Vtiger!$A$2:$A$418,"UNI",Vtiger!$G$2:$G$418,$E$4)</f>
        <v>0</v>
      </c>
      <c r="F12" s="277" t="n">
        <f aca="false">SUMIFS(Vtiger!$F$2:$F$418,Vtiger!$E$2:$E$418,B12,Vtiger!$A$2:$A$418,"UNI",Vtiger!$G$2:$G$418,$F$4)</f>
        <v>0</v>
      </c>
      <c r="G12" s="277" t="n">
        <f aca="false">SUMIFS(Vtiger!$F$2:$F$418,Vtiger!$E$2:$E$418,B12,Vtiger!$A$2:$A$418,"UNI",Vtiger!$G$2:$G$418,$G$4)</f>
        <v>0</v>
      </c>
      <c r="H12" s="277" t="n">
        <f aca="false">SUMIFS(Vtiger!$F$2:$F$418,Vtiger!$E$2:$E$418,B12,Vtiger!$A$2:$A$418,"G2B",Vtiger!$G$2:$G$418,$H$4)</f>
        <v>0</v>
      </c>
      <c r="I12" s="277" t="n">
        <f aca="false">SUMIFS(Vtiger!$F$2:$F$418,Vtiger!$E$2:$E$418,B12,Vtiger!$A$2:$A$418,"G2B",Vtiger!$G$2:$G$418,$I$4)</f>
        <v>0</v>
      </c>
      <c r="J12" s="277" t="n">
        <f aca="false">SUMIFS(Vtiger!$F$2:$F$418,Vtiger!$E$2:$E$418,B12,Vtiger!$A$2:$A$418,"G2B",Vtiger!$G$2:$G$418,$J$4)</f>
        <v>0</v>
      </c>
      <c r="L12" s="278" t="s">
        <v>140</v>
      </c>
      <c r="M12" s="279"/>
      <c r="N12" s="279" t="n">
        <f aca="false">M12</f>
        <v>0</v>
      </c>
    </row>
    <row r="13" customFormat="false" ht="18.75" hidden="false" customHeight="false" outlineLevel="0" collapsed="false">
      <c r="A13" s="273" t="n">
        <v>9</v>
      </c>
      <c r="B13" s="274" t="s">
        <v>141</v>
      </c>
      <c r="C13" s="275" t="n">
        <f aca="false">SUM(E13:G13)</f>
        <v>0</v>
      </c>
      <c r="D13" s="276" t="n">
        <f aca="false">SUM(H13:J13)</f>
        <v>0</v>
      </c>
      <c r="E13" s="277" t="n">
        <f aca="false">SUMIFS(Vtiger!$F$2:$F$418,Vtiger!$E$2:$E$418,B13,Vtiger!$A$2:$A$418,"UNI",Vtiger!$G$2:$G$418,$E$4)</f>
        <v>0</v>
      </c>
      <c r="F13" s="277" t="n">
        <f aca="false">SUMIFS(Vtiger!$F$2:$F$418,Vtiger!$E$2:$E$418,B13,Vtiger!$A$2:$A$418,"UNI",Vtiger!$G$2:$G$418,$F$4)</f>
        <v>0</v>
      </c>
      <c r="G13" s="277" t="n">
        <f aca="false">SUMIFS(Vtiger!$F$2:$F$418,Vtiger!$E$2:$E$418,B13,Vtiger!$A$2:$A$418,"UNI",Vtiger!$G$2:$G$418,$G$4)</f>
        <v>0</v>
      </c>
      <c r="H13" s="277" t="n">
        <f aca="false">SUMIFS(Vtiger!$F$2:$F$418,Vtiger!$E$2:$E$418,B13,Vtiger!$A$2:$A$418,"G2B",Vtiger!$G$2:$G$418,$H$4)</f>
        <v>0</v>
      </c>
      <c r="I13" s="277" t="n">
        <f aca="false">SUMIFS(Vtiger!$F$2:$F$418,Vtiger!$E$2:$E$418,B13,Vtiger!$A$2:$A$418,"G2B",Vtiger!$G$2:$G$418,$I$4)</f>
        <v>0</v>
      </c>
      <c r="J13" s="277" t="n">
        <f aca="false">SUMIFS(Vtiger!$F$2:$F$418,Vtiger!$E$2:$E$418,B13,Vtiger!$A$2:$A$418,"G2B",Vtiger!$G$2:$G$418,$J$4)</f>
        <v>0</v>
      </c>
      <c r="L13" s="278" t="s">
        <v>141</v>
      </c>
      <c r="M13" s="279"/>
      <c r="N13" s="279" t="n">
        <f aca="false">M13</f>
        <v>0</v>
      </c>
    </row>
    <row r="14" customFormat="false" ht="18.75" hidden="false" customHeight="false" outlineLevel="0" collapsed="false">
      <c r="A14" s="273" t="n">
        <v>10</v>
      </c>
      <c r="B14" s="274" t="s">
        <v>142</v>
      </c>
      <c r="C14" s="275" t="n">
        <f aca="false">SUM(E14:G14)</f>
        <v>0</v>
      </c>
      <c r="D14" s="276" t="n">
        <f aca="false">SUM(H14:J14)</f>
        <v>0</v>
      </c>
      <c r="E14" s="277" t="n">
        <f aca="false">SUMIFS(Vtiger!$F$2:$F$418,Vtiger!$E$2:$E$418,B14,Vtiger!$A$2:$A$418,"UNI",Vtiger!$G$2:$G$418,$E$4)</f>
        <v>0</v>
      </c>
      <c r="F14" s="277" t="n">
        <f aca="false">SUMIFS(Vtiger!$F$2:$F$418,Vtiger!$E$2:$E$418,B14,Vtiger!$A$2:$A$418,"UNI",Vtiger!$G$2:$G$418,$F$4)</f>
        <v>0</v>
      </c>
      <c r="G14" s="277" t="n">
        <f aca="false">SUMIFS(Vtiger!$F$2:$F$418,Vtiger!$E$2:$E$418,B14,Vtiger!$A$2:$A$418,"UNI",Vtiger!$G$2:$G$418,$G$4)</f>
        <v>0</v>
      </c>
      <c r="H14" s="277" t="n">
        <f aca="false">SUMIFS(Vtiger!$F$2:$F$418,Vtiger!$E$2:$E$418,B14,Vtiger!$A$2:$A$418,"G2B",Vtiger!$G$2:$G$418,$H$4)</f>
        <v>0</v>
      </c>
      <c r="I14" s="277" t="n">
        <f aca="false">SUMIFS(Vtiger!$F$2:$F$418,Vtiger!$E$2:$E$418,B14,Vtiger!$A$2:$A$418,"G2B",Vtiger!$G$2:$G$418,$I$4)</f>
        <v>0</v>
      </c>
      <c r="J14" s="277" t="n">
        <f aca="false">SUMIFS(Vtiger!$F$2:$F$418,Vtiger!$E$2:$E$418,B14,Vtiger!$A$2:$A$418,"G2B",Vtiger!$G$2:$G$418,$J$4)</f>
        <v>0</v>
      </c>
      <c r="L14" s="278" t="s">
        <v>142</v>
      </c>
      <c r="M14" s="279"/>
      <c r="N14" s="279" t="n">
        <f aca="false">M14</f>
        <v>0</v>
      </c>
    </row>
    <row r="15" customFormat="false" ht="18.75" hidden="false" customHeight="false" outlineLevel="0" collapsed="false">
      <c r="A15" s="273" t="n">
        <v>11</v>
      </c>
      <c r="B15" s="274" t="s">
        <v>143</v>
      </c>
      <c r="C15" s="275" t="n">
        <f aca="false">SUM(E15:G15)</f>
        <v>0</v>
      </c>
      <c r="D15" s="276" t="n">
        <f aca="false">SUM(H15:J15)</f>
        <v>0</v>
      </c>
      <c r="E15" s="277" t="n">
        <f aca="false">SUMIFS(Vtiger!$F$2:$F$418,Vtiger!$E$2:$E$418,B15,Vtiger!$A$2:$A$418,"UNI",Vtiger!$G$2:$G$418,$E$4)</f>
        <v>0</v>
      </c>
      <c r="F15" s="277" t="n">
        <f aca="false">SUMIFS(Vtiger!$F$2:$F$418,Vtiger!$E$2:$E$418,B15,Vtiger!$A$2:$A$418,"UNI",Vtiger!$G$2:$G$418,$F$4)</f>
        <v>0</v>
      </c>
      <c r="G15" s="277" t="n">
        <f aca="false">SUMIFS(Vtiger!$F$2:$F$418,Vtiger!$E$2:$E$418,B15,Vtiger!$A$2:$A$418,"UNI",Vtiger!$G$2:$G$418,$G$4)</f>
        <v>0</v>
      </c>
      <c r="H15" s="277" t="n">
        <f aca="false">SUMIFS(Vtiger!$F$2:$F$418,Vtiger!$E$2:$E$418,B15,Vtiger!$A$2:$A$418,"G2B",Vtiger!$G$2:$G$418,$H$4)</f>
        <v>0</v>
      </c>
      <c r="I15" s="277" t="n">
        <f aca="false">SUMIFS(Vtiger!$F$2:$F$418,Vtiger!$E$2:$E$418,B15,Vtiger!$A$2:$A$418,"G2B",Vtiger!$G$2:$G$418,$I$4)</f>
        <v>0</v>
      </c>
      <c r="J15" s="277" t="n">
        <f aca="false">SUMIFS(Vtiger!$F$2:$F$418,Vtiger!$E$2:$E$418,B15,Vtiger!$A$2:$A$418,"G2B",Vtiger!$G$2:$G$418,$J$4)</f>
        <v>0</v>
      </c>
      <c r="L15" s="278" t="s">
        <v>143</v>
      </c>
      <c r="M15" s="279"/>
      <c r="N15" s="279" t="n">
        <f aca="false">M15</f>
        <v>0</v>
      </c>
    </row>
    <row r="16" customFormat="false" ht="18.75" hidden="false" customHeight="false" outlineLevel="0" collapsed="false">
      <c r="A16" s="273" t="n">
        <v>12</v>
      </c>
      <c r="B16" s="274" t="s">
        <v>144</v>
      </c>
      <c r="C16" s="275" t="n">
        <f aca="false">SUM(E16:G16)</f>
        <v>0</v>
      </c>
      <c r="D16" s="276" t="n">
        <f aca="false">SUM(H16:J16)</f>
        <v>854990000</v>
      </c>
      <c r="E16" s="277" t="n">
        <f aca="false">SUMIFS(Vtiger!$F$2:$F$418,Vtiger!$E$2:$E$418,B16,Vtiger!$A$2:$A$418,"UNI",Vtiger!$G$2:$G$418,$E$4)</f>
        <v>0</v>
      </c>
      <c r="F16" s="277" t="n">
        <f aca="false">SUMIFS(Vtiger!$F$2:$F$418,Vtiger!$E$2:$E$418,B16,Vtiger!$A$2:$A$418,"UNI",Vtiger!$G$2:$G$418,$F$4)</f>
        <v>0</v>
      </c>
      <c r="G16" s="277" t="n">
        <f aca="false">SUMIFS(Vtiger!$F$2:$F$418,Vtiger!$E$2:$E$418,B16,Vtiger!$A$2:$A$418,"UNI",Vtiger!$G$2:$G$418,$G$4)</f>
        <v>0</v>
      </c>
      <c r="H16" s="277" t="n">
        <f aca="false">SUMIFS(Vtiger!$F$2:$F$418,Vtiger!$E$2:$E$418,B16,Vtiger!$A$2:$A$418,"G2B",Vtiger!$G$2:$G$418,$H$4)</f>
        <v>854990000</v>
      </c>
      <c r="I16" s="277" t="n">
        <f aca="false">SUMIFS(Vtiger!$F$2:$F$418,Vtiger!$E$2:$E$418,B16,Vtiger!$A$2:$A$418,"G2B",Vtiger!$G$2:$G$418,$I$4)</f>
        <v>0</v>
      </c>
      <c r="J16" s="277" t="n">
        <f aca="false">SUMIFS(Vtiger!$F$2:$F$418,Vtiger!$E$2:$E$418,B16,Vtiger!$A$2:$A$418,"G2B",Vtiger!$G$2:$G$418,$J$4)</f>
        <v>0</v>
      </c>
      <c r="L16" s="278" t="s">
        <v>144</v>
      </c>
      <c r="M16" s="279"/>
      <c r="N16" s="279" t="n">
        <f aca="false">M16</f>
        <v>0</v>
      </c>
    </row>
    <row r="17" customFormat="false" ht="18.75" hidden="false" customHeight="false" outlineLevel="0" collapsed="false">
      <c r="A17" s="261"/>
      <c r="B17" s="267" t="s">
        <v>494</v>
      </c>
      <c r="C17" s="280" t="n">
        <f aca="false">SUM(C5:C16)</f>
        <v>0</v>
      </c>
      <c r="D17" s="281" t="n">
        <f aca="false">SUM(D5:D16)</f>
        <v>854990000</v>
      </c>
      <c r="E17" s="282" t="n">
        <f aca="false">SUM(E5:E16)</f>
        <v>0</v>
      </c>
      <c r="F17" s="282" t="n">
        <f aca="false">SUM(F5:F16)</f>
        <v>0</v>
      </c>
      <c r="G17" s="282" t="n">
        <f aca="false">SUM(G5:G16)</f>
        <v>0</v>
      </c>
      <c r="H17" s="282" t="n">
        <f aca="false">SUM(H5:H16)</f>
        <v>854990000</v>
      </c>
      <c r="I17" s="282" t="n">
        <f aca="false">SUM(I5:I16)</f>
        <v>0</v>
      </c>
      <c r="J17" s="282" t="n">
        <f aca="false">SUM(J5:J16)</f>
        <v>0</v>
      </c>
      <c r="L17" s="283"/>
      <c r="M17" s="284" t="n">
        <f aca="false">SUM(M4:M16)</f>
        <v>0</v>
      </c>
      <c r="N17" s="284" t="n">
        <f aca="false">SUM(N4:N16)</f>
        <v>0</v>
      </c>
    </row>
    <row r="18" customFormat="false" ht="18.75" hidden="false" customHeight="false" outlineLevel="0" collapsed="false">
      <c r="A18" s="285" t="s">
        <v>495</v>
      </c>
    </row>
    <row r="19" customFormat="false" ht="18.75" hidden="false" customHeight="false" outlineLevel="0" collapsed="false">
      <c r="A19" s="286"/>
      <c r="B19" s="286"/>
      <c r="C19" s="287" t="s">
        <v>3</v>
      </c>
      <c r="D19" s="287"/>
      <c r="E19" s="287"/>
      <c r="F19" s="288" t="s">
        <v>5</v>
      </c>
      <c r="G19" s="288"/>
      <c r="H19" s="288"/>
      <c r="L19" s="266" t="s">
        <v>496</v>
      </c>
      <c r="M19" s="266" t="s">
        <v>160</v>
      </c>
      <c r="N19" s="266" t="s">
        <v>166</v>
      </c>
    </row>
    <row r="20" customFormat="false" ht="18.75" hidden="false" customHeight="false" outlineLevel="0" collapsed="false">
      <c r="A20" s="267" t="s">
        <v>81</v>
      </c>
      <c r="B20" s="267" t="s">
        <v>496</v>
      </c>
      <c r="C20" s="289" t="s">
        <v>90</v>
      </c>
      <c r="D20" s="289" t="s">
        <v>497</v>
      </c>
      <c r="E20" s="289" t="s">
        <v>498</v>
      </c>
      <c r="F20" s="290" t="s">
        <v>90</v>
      </c>
      <c r="G20" s="290" t="s">
        <v>497</v>
      </c>
      <c r="H20" s="290" t="s">
        <v>498</v>
      </c>
      <c r="L20" s="291" t="s">
        <v>499</v>
      </c>
      <c r="M20" s="279" t="n">
        <v>10560000000</v>
      </c>
      <c r="N20" s="279" t="n">
        <v>10560000000</v>
      </c>
    </row>
    <row r="21" customFormat="false" ht="18.75" hidden="false" customHeight="false" outlineLevel="0" collapsed="false">
      <c r="A21" s="267" t="n">
        <v>1</v>
      </c>
      <c r="B21" s="292" t="s">
        <v>162</v>
      </c>
      <c r="C21" s="293" t="n">
        <f aca="false">'Tong hop (TH)'!F17</f>
        <v>0</v>
      </c>
      <c r="D21" s="293"/>
      <c r="E21" s="293"/>
      <c r="F21" s="293" t="n">
        <f aca="false">'Tong hop (TH)'!I17</f>
        <v>0</v>
      </c>
      <c r="G21" s="293"/>
      <c r="H21" s="293"/>
      <c r="L21" s="291" t="s">
        <v>500</v>
      </c>
      <c r="M21" s="279" t="n">
        <f aca="false">'Tong hop (TH)'!E17</f>
        <v>0</v>
      </c>
      <c r="N21" s="279" t="n">
        <f aca="false">'Tong hop (TH)'!E49</f>
        <v>0</v>
      </c>
    </row>
    <row r="22" customFormat="false" ht="18.75" hidden="false" customHeight="false" outlineLevel="0" collapsed="false">
      <c r="A22" s="273" t="n">
        <v>2</v>
      </c>
      <c r="B22" s="292" t="s">
        <v>501</v>
      </c>
      <c r="C22" s="293"/>
      <c r="D22" s="293" t="n">
        <f aca="false">C21-E23</f>
        <v>0</v>
      </c>
      <c r="E22" s="293"/>
      <c r="F22" s="293"/>
      <c r="G22" s="293" t="n">
        <f aca="false">F21-H23</f>
        <v>0</v>
      </c>
      <c r="H22" s="293"/>
      <c r="L22" s="291" t="s">
        <v>502</v>
      </c>
      <c r="M22" s="279" t="n">
        <f aca="false">M17</f>
        <v>0</v>
      </c>
      <c r="N22" s="279" t="n">
        <f aca="false">N17</f>
        <v>0</v>
      </c>
    </row>
    <row r="23" customFormat="false" ht="18.75" hidden="false" customHeight="false" outlineLevel="0" collapsed="false">
      <c r="A23" s="273" t="n">
        <v>3</v>
      </c>
      <c r="B23" s="292" t="s">
        <v>110</v>
      </c>
      <c r="C23" s="293"/>
      <c r="D23" s="293"/>
      <c r="E23" s="293" t="n">
        <f aca="false">'Tong hop (TH)'!H17</f>
        <v>0</v>
      </c>
      <c r="F23" s="293"/>
      <c r="G23" s="293"/>
      <c r="H23" s="293" t="n">
        <f aca="false">'Tong hop (TH)'!K17</f>
        <v>0</v>
      </c>
      <c r="L23" s="294" t="s">
        <v>503</v>
      </c>
      <c r="M23" s="284" t="n">
        <f aca="false">M21+M22</f>
        <v>0</v>
      </c>
      <c r="N23" s="284" t="n">
        <f aca="false">N21+N22</f>
        <v>0</v>
      </c>
    </row>
    <row r="24" customFormat="false" ht="18.75" hidden="false" customHeight="false" outlineLevel="0" collapsed="false">
      <c r="A24" s="273" t="n">
        <v>5</v>
      </c>
      <c r="B24" s="292" t="s">
        <v>504</v>
      </c>
      <c r="C24" s="293"/>
      <c r="D24" s="293"/>
      <c r="E24" s="293" t="n">
        <f aca="false">C17</f>
        <v>0</v>
      </c>
      <c r="F24" s="293"/>
      <c r="G24" s="293"/>
      <c r="H24" s="293" t="n">
        <f aca="false">D17</f>
        <v>854990000</v>
      </c>
      <c r="L24" s="291" t="s">
        <v>505</v>
      </c>
      <c r="M24" s="295" t="n">
        <f aca="false">M23/M20</f>
        <v>0</v>
      </c>
      <c r="N24" s="295" t="n">
        <f aca="false">N23/N20</f>
        <v>0</v>
      </c>
    </row>
    <row r="25" customFormat="false" ht="18.75" hidden="false" customHeight="false" outlineLevel="0" collapsed="false">
      <c r="A25" s="292"/>
      <c r="B25" s="267" t="s">
        <v>494</v>
      </c>
      <c r="C25" s="296" t="n">
        <f aca="false">SUM(C21:C24)</f>
        <v>0</v>
      </c>
      <c r="D25" s="296" t="n">
        <f aca="false">SUM(D21:D24)</f>
        <v>0</v>
      </c>
      <c r="E25" s="296" t="n">
        <f aca="false">SUM(E21:E24)</f>
        <v>0</v>
      </c>
      <c r="F25" s="296" t="n">
        <f aca="false">SUM(F21:F24)</f>
        <v>0</v>
      </c>
      <c r="G25" s="296" t="n">
        <f aca="false">SUM(G21:G24)</f>
        <v>0</v>
      </c>
      <c r="H25" s="296" t="n">
        <f aca="false">SUM(H21:H24)</f>
        <v>854990000</v>
      </c>
      <c r="L25" s="297"/>
      <c r="M25" s="297"/>
      <c r="N25" s="297"/>
    </row>
    <row r="27" customFormat="false" ht="18.75" hidden="false" customHeight="false" outlineLevel="0" collapsed="false">
      <c r="A27" s="259" t="s">
        <v>84</v>
      </c>
      <c r="B27" s="8"/>
      <c r="C27" s="8"/>
      <c r="D27" s="8"/>
      <c r="E27" s="8"/>
      <c r="F27" s="8"/>
      <c r="G27" s="8"/>
      <c r="H27" s="8"/>
      <c r="I27" s="8"/>
      <c r="J27" s="8"/>
    </row>
    <row r="28" customFormat="false" ht="18.75" hidden="false" customHeight="false" outlineLevel="0" collapsed="false">
      <c r="A28" s="260"/>
      <c r="B28" s="261"/>
      <c r="C28" s="267" t="s">
        <v>506</v>
      </c>
      <c r="D28" s="267"/>
      <c r="E28" s="263" t="s">
        <v>3</v>
      </c>
      <c r="F28" s="263"/>
      <c r="G28" s="263"/>
      <c r="H28" s="264" t="s">
        <v>5</v>
      </c>
      <c r="I28" s="264"/>
      <c r="J28" s="264"/>
      <c r="K28" s="298" t="s">
        <v>507</v>
      </c>
      <c r="L28" s="298"/>
      <c r="M28" s="262" t="s">
        <v>508</v>
      </c>
      <c r="N28" s="262"/>
    </row>
    <row r="29" customFormat="false" ht="18.75" hidden="false" customHeight="false" outlineLevel="0" collapsed="false">
      <c r="A29" s="267" t="s">
        <v>81</v>
      </c>
      <c r="B29" s="268" t="s">
        <v>6</v>
      </c>
      <c r="C29" s="299" t="s">
        <v>3</v>
      </c>
      <c r="D29" s="299" t="s">
        <v>5</v>
      </c>
      <c r="E29" s="271" t="s">
        <v>491</v>
      </c>
      <c r="F29" s="271" t="s">
        <v>492</v>
      </c>
      <c r="G29" s="271" t="s">
        <v>493</v>
      </c>
      <c r="H29" s="272" t="s">
        <v>491</v>
      </c>
      <c r="I29" s="272" t="s">
        <v>492</v>
      </c>
      <c r="J29" s="272" t="s">
        <v>493</v>
      </c>
      <c r="K29" s="299" t="s">
        <v>3</v>
      </c>
      <c r="L29" s="299" t="s">
        <v>5</v>
      </c>
      <c r="M29" s="269" t="s">
        <v>3</v>
      </c>
      <c r="N29" s="270" t="s">
        <v>5</v>
      </c>
    </row>
    <row r="30" customFormat="false" ht="18.75" hidden="false" customHeight="false" outlineLevel="0" collapsed="false">
      <c r="A30" s="273" t="n">
        <v>1</v>
      </c>
      <c r="B30" s="274" t="s">
        <v>133</v>
      </c>
      <c r="C30" s="277" t="n">
        <f aca="false">SUM(E30:G30)</f>
        <v>0</v>
      </c>
      <c r="D30" s="277" t="n">
        <f aca="false">SUM(H30:J30)</f>
        <v>0</v>
      </c>
      <c r="E30" s="277" t="n">
        <f aca="false">SUMIFS(Vtiger!$H$2:$H$418,Vtiger!$I$2:$I$418,B30,Vtiger!$A$2:$A$418,"UNI",Vtiger!$G$2:$G$418,$E$29)+SUMIFS(Vtiger!$J$2:$J$418,Vtiger!$K$2:$K$418,B30,Vtiger!$A$2:$A$418,"UNI",Vtiger!$G$2:$G$418,$E$29)</f>
        <v>0</v>
      </c>
      <c r="F30" s="277" t="n">
        <f aca="false">SUMIFS(Vtiger!$H$2:$H$418,Vtiger!$I$2:$I$418,B30,Vtiger!$A$2:$A$418,"UNI",Vtiger!$G$2:$G$418,$F$29)+SUMIFS(Vtiger!$J$2:$J$418,Vtiger!$K$2:$K$418,B30,Vtiger!$A$2:$A$418,"UNI",Vtiger!$G$2:$G$418,$F$29)</f>
        <v>0</v>
      </c>
      <c r="G30" s="277" t="n">
        <f aca="false">SUMIFS(Vtiger!$H$2:$H$418,Vtiger!$I$2:$I$418,B30,Vtiger!$A$2:$A$418,"UNI",Vtiger!$G$2:$G$418,$G$29)+SUMIFS(Vtiger!$J$2:$J$418,Vtiger!$K$2:$K$418,B30,Vtiger!$A$2:$A$418,"UNI",Vtiger!$G$2:$G$418,$G$29)</f>
        <v>0</v>
      </c>
      <c r="H30" s="277" t="n">
        <f aca="false">SUMIFS(Vtiger!$H$2:$H$418,Vtiger!$I$2:$I$418,B30,Vtiger!$A$2:$A$418,"G2B",Vtiger!$G$2:$G$418,$H$29)+SUMIFS(Vtiger!$J$2:$J$418,Vtiger!$K$2:$K$418,B30,Vtiger!$A$2:$A$418,"G2B",Vtiger!$G$2:$G$418,$H$29)</f>
        <v>0</v>
      </c>
      <c r="I30" s="277" t="n">
        <f aca="false">SUMIFS(Vtiger!$H$2:$H$418,Vtiger!$I$2:$I$418,B30,Vtiger!$A$2:$A$418,"G2B",Vtiger!$G$2:$G$418,$I$29)+SUMIFS(Vtiger!$J$2:$J$418,Vtiger!$K$2:$K$418,B30,Vtiger!$A$2:$A$418,"G2B",Vtiger!$G$2:$G$418,$I$29)</f>
        <v>0</v>
      </c>
      <c r="J30" s="277" t="n">
        <f aca="false">SUMIFS(Vtiger!$H$2:$H$418,Vtiger!$I$2:$I$418,B30,Vtiger!$A$2:$A$418,"G2B",Vtiger!$G$2:$G$418,$J$29)+SUMIFS(Vtiger!$J$2:$J$418,Vtiger!$K$2:$K$418,B30,Vtiger!$A$2:$A$418,"G2B",Vtiger!$G$2:$G$418,$J$29)</f>
        <v>0</v>
      </c>
      <c r="K30" s="277" t="n">
        <f aca="false">SUMIFS('TH theo khach hang'!$K$7:$K$106,'TH theo khach hang'!$M$7:$M$106,B30)</f>
        <v>0</v>
      </c>
      <c r="L30" s="277" t="n">
        <f aca="false">SUMIFS('TH theo khach hang'!$K$209:$K$308,'TH theo khach hang'!$M$209:$M$308,B30)</f>
        <v>0</v>
      </c>
      <c r="M30" s="275" t="n">
        <f aca="false">C30+K30</f>
        <v>0</v>
      </c>
      <c r="N30" s="276" t="n">
        <f aca="false">D30+L30</f>
        <v>0</v>
      </c>
    </row>
    <row r="31" customFormat="false" ht="18.75" hidden="false" customHeight="false" outlineLevel="0" collapsed="false">
      <c r="A31" s="273" t="n">
        <v>2</v>
      </c>
      <c r="B31" s="274" t="s">
        <v>134</v>
      </c>
      <c r="C31" s="277" t="n">
        <f aca="false">SUM(E31:G31)</f>
        <v>0</v>
      </c>
      <c r="D31" s="277" t="n">
        <f aca="false">SUM(H31:J31)</f>
        <v>0</v>
      </c>
      <c r="E31" s="277" t="n">
        <f aca="false">SUMIFS(Vtiger!$H$2:$H$418,Vtiger!$I$2:$I$418,B31,Vtiger!$A$2:$A$418,"UNI",Vtiger!$G$2:$G$418,$E$29)+SUMIFS(Vtiger!$J$2:$J$418,Vtiger!$K$2:$K$418,B31,Vtiger!$A$2:$A$418,"UNI",Vtiger!$G$2:$G$418,$E$29)</f>
        <v>0</v>
      </c>
      <c r="F31" s="277" t="n">
        <f aca="false">SUMIFS(Vtiger!$H$2:$H$418,Vtiger!$I$2:$I$418,B31,Vtiger!$A$2:$A$418,"UNI",Vtiger!$G$2:$G$418,$F$29)+SUMIFS(Vtiger!$J$2:$J$418,Vtiger!$K$2:$K$418,B31,Vtiger!$A$2:$A$418,"UNI",Vtiger!$G$2:$G$418,$F$29)</f>
        <v>0</v>
      </c>
      <c r="G31" s="277" t="n">
        <f aca="false">SUMIFS(Vtiger!$H$2:$H$418,Vtiger!$I$2:$I$418,B31,Vtiger!$A$2:$A$418,"UNI",Vtiger!$G$2:$G$418,$G$29)+SUMIFS(Vtiger!$J$2:$J$418,Vtiger!$K$2:$K$418,B31,Vtiger!$A$2:$A$418,"UNI",Vtiger!$G$2:$G$418,$G$29)</f>
        <v>0</v>
      </c>
      <c r="H31" s="277" t="n">
        <f aca="false">SUMIFS(Vtiger!$H$2:$H$418,Vtiger!$I$2:$I$418,B31,Vtiger!$A$2:$A$418,"G2B",Vtiger!$G$2:$G$418,$H$29)+SUMIFS(Vtiger!$J$2:$J$418,Vtiger!$K$2:$K$418,B31,Vtiger!$A$2:$A$418,"G2B",Vtiger!$G$2:$G$418,$H$29)</f>
        <v>0</v>
      </c>
      <c r="I31" s="277" t="n">
        <f aca="false">SUMIFS(Vtiger!$H$2:$H$418,Vtiger!$I$2:$I$418,B31,Vtiger!$A$2:$A$418,"G2B",Vtiger!$G$2:$G$418,$I$29)+SUMIFS(Vtiger!$J$2:$J$418,Vtiger!$K$2:$K$418,B31,Vtiger!$A$2:$A$418,"G2B",Vtiger!$G$2:$G$418,$I$29)</f>
        <v>0</v>
      </c>
      <c r="J31" s="277" t="n">
        <f aca="false">SUMIFS(Vtiger!$H$2:$H$418,Vtiger!$I$2:$I$418,B31,Vtiger!$A$2:$A$418,"G2B",Vtiger!$G$2:$G$418,$J$29)+SUMIFS(Vtiger!$J$2:$J$418,Vtiger!$K$2:$K$418,B31,Vtiger!$A$2:$A$418,"G2B",Vtiger!$G$2:$G$418,$J$29)</f>
        <v>0</v>
      </c>
      <c r="K31" s="277" t="n">
        <f aca="false">SUMIFS('TH theo khach hang'!$K$7:$K$106,'TH theo khach hang'!$M$7:$M$106,B31)</f>
        <v>0</v>
      </c>
      <c r="L31" s="277" t="n">
        <f aca="false">SUMIFS('TH theo khach hang'!$K$209:$K$308,'TH theo khach hang'!$M$209:$M$308,B31)</f>
        <v>0</v>
      </c>
      <c r="M31" s="275" t="n">
        <f aca="false">C31+K31</f>
        <v>0</v>
      </c>
      <c r="N31" s="276" t="n">
        <f aca="false">D31+L31</f>
        <v>0</v>
      </c>
    </row>
    <row r="32" customFormat="false" ht="18.75" hidden="false" customHeight="false" outlineLevel="0" collapsed="false">
      <c r="A32" s="273" t="n">
        <v>3</v>
      </c>
      <c r="B32" s="274" t="s">
        <v>135</v>
      </c>
      <c r="C32" s="277" t="n">
        <f aca="false">SUM(E32:G32)</f>
        <v>0</v>
      </c>
      <c r="D32" s="277" t="n">
        <f aca="false">SUM(H32:J32)</f>
        <v>0</v>
      </c>
      <c r="E32" s="277" t="n">
        <f aca="false">SUMIFS(Vtiger!$H$2:$H$418,Vtiger!$I$2:$I$418,B32,Vtiger!$A$2:$A$418,"UNI",Vtiger!$G$2:$G$418,$E$29)+SUMIFS(Vtiger!$J$2:$J$418,Vtiger!$K$2:$K$418,B32,Vtiger!$A$2:$A$418,"UNI",Vtiger!$G$2:$G$418,$E$29)</f>
        <v>0</v>
      </c>
      <c r="F32" s="277" t="n">
        <f aca="false">SUMIFS(Vtiger!$H$2:$H$418,Vtiger!$I$2:$I$418,B32,Vtiger!$A$2:$A$418,"UNI",Vtiger!$G$2:$G$418,$F$29)+SUMIFS(Vtiger!$J$2:$J$418,Vtiger!$K$2:$K$418,B32,Vtiger!$A$2:$A$418,"UNI",Vtiger!$G$2:$G$418,$F$29)</f>
        <v>0</v>
      </c>
      <c r="G32" s="277" t="n">
        <f aca="false">SUMIFS(Vtiger!$H$2:$H$418,Vtiger!$I$2:$I$418,B32,Vtiger!$A$2:$A$418,"UNI",Vtiger!$G$2:$G$418,$G$29)+SUMIFS(Vtiger!$J$2:$J$418,Vtiger!$K$2:$K$418,B32,Vtiger!$A$2:$A$418,"UNI",Vtiger!$G$2:$G$418,$G$29)</f>
        <v>0</v>
      </c>
      <c r="H32" s="277" t="n">
        <f aca="false">SUMIFS(Vtiger!$H$2:$H$418,Vtiger!$I$2:$I$418,B32,Vtiger!$A$2:$A$418,"G2B",Vtiger!$G$2:$G$418,$H$29)+SUMIFS(Vtiger!$J$2:$J$418,Vtiger!$K$2:$K$418,B32,Vtiger!$A$2:$A$418,"G2B",Vtiger!$G$2:$G$418,$H$29)</f>
        <v>0</v>
      </c>
      <c r="I32" s="277" t="n">
        <f aca="false">SUMIFS(Vtiger!$H$2:$H$418,Vtiger!$I$2:$I$418,B32,Vtiger!$A$2:$A$418,"G2B",Vtiger!$G$2:$G$418,$I$29)+SUMIFS(Vtiger!$J$2:$J$418,Vtiger!$K$2:$K$418,B32,Vtiger!$A$2:$A$418,"G2B",Vtiger!$G$2:$G$418,$I$29)</f>
        <v>0</v>
      </c>
      <c r="J32" s="277" t="n">
        <f aca="false">SUMIFS(Vtiger!$H$2:$H$418,Vtiger!$I$2:$I$418,B32,Vtiger!$A$2:$A$418,"G2B",Vtiger!$G$2:$G$418,$J$29)+SUMIFS(Vtiger!$J$2:$J$418,Vtiger!$K$2:$K$418,B32,Vtiger!$A$2:$A$418,"G2B",Vtiger!$G$2:$G$418,$J$29)</f>
        <v>0</v>
      </c>
      <c r="K32" s="277" t="n">
        <f aca="false">SUMIFS('TH theo khach hang'!$K$7:$K$106,'TH theo khach hang'!$M$7:$M$106,B32)</f>
        <v>0</v>
      </c>
      <c r="L32" s="277" t="n">
        <f aca="false">SUMIFS('TH theo khach hang'!$K$209:$K$308,'TH theo khach hang'!$M$209:$M$308,B32)</f>
        <v>0</v>
      </c>
      <c r="M32" s="275" t="n">
        <f aca="false">C32+K32</f>
        <v>0</v>
      </c>
      <c r="N32" s="276" t="n">
        <f aca="false">D32+L32</f>
        <v>0</v>
      </c>
    </row>
    <row r="33" customFormat="false" ht="18.75" hidden="false" customHeight="false" outlineLevel="0" collapsed="false">
      <c r="A33" s="273" t="n">
        <v>4</v>
      </c>
      <c r="B33" s="274" t="s">
        <v>136</v>
      </c>
      <c r="C33" s="277" t="n">
        <f aca="false">SUM(E33:G33)</f>
        <v>0</v>
      </c>
      <c r="D33" s="277" t="n">
        <f aca="false">SUM(H33:J33)</f>
        <v>0</v>
      </c>
      <c r="E33" s="277" t="n">
        <f aca="false">SUMIFS(Vtiger!$H$2:$H$418,Vtiger!$I$2:$I$418,B33,Vtiger!$A$2:$A$418,"UNI",Vtiger!$G$2:$G$418,$E$29)+SUMIFS(Vtiger!$J$2:$J$418,Vtiger!$K$2:$K$418,B33,Vtiger!$A$2:$A$418,"UNI",Vtiger!$G$2:$G$418,$E$29)</f>
        <v>0</v>
      </c>
      <c r="F33" s="277" t="n">
        <f aca="false">SUMIFS(Vtiger!$H$2:$H$418,Vtiger!$I$2:$I$418,B33,Vtiger!$A$2:$A$418,"UNI",Vtiger!$G$2:$G$418,$F$29)+SUMIFS(Vtiger!$J$2:$J$418,Vtiger!$K$2:$K$418,B33,Vtiger!$A$2:$A$418,"UNI",Vtiger!$G$2:$G$418,$F$29)</f>
        <v>0</v>
      </c>
      <c r="G33" s="277" t="n">
        <f aca="false">SUMIFS(Vtiger!$H$2:$H$418,Vtiger!$I$2:$I$418,B33,Vtiger!$A$2:$A$418,"UNI",Vtiger!$G$2:$G$418,$G$29)+SUMIFS(Vtiger!$J$2:$J$418,Vtiger!$K$2:$K$418,B33,Vtiger!$A$2:$A$418,"UNI",Vtiger!$G$2:$G$418,$G$29)</f>
        <v>0</v>
      </c>
      <c r="H33" s="277" t="n">
        <f aca="false">SUMIFS(Vtiger!$H$2:$H$418,Vtiger!$I$2:$I$418,B33,Vtiger!$A$2:$A$418,"G2B",Vtiger!$G$2:$G$418,$H$29)+SUMIFS(Vtiger!$J$2:$J$418,Vtiger!$K$2:$K$418,B33,Vtiger!$A$2:$A$418,"G2B",Vtiger!$G$2:$G$418,$H$29)</f>
        <v>0</v>
      </c>
      <c r="I33" s="277" t="n">
        <f aca="false">SUMIFS(Vtiger!$H$2:$H$418,Vtiger!$I$2:$I$418,B33,Vtiger!$A$2:$A$418,"G2B",Vtiger!$G$2:$G$418,$I$29)+SUMIFS(Vtiger!$J$2:$J$418,Vtiger!$K$2:$K$418,B33,Vtiger!$A$2:$A$418,"G2B",Vtiger!$G$2:$G$418,$I$29)</f>
        <v>0</v>
      </c>
      <c r="J33" s="277" t="n">
        <f aca="false">SUMIFS(Vtiger!$H$2:$H$418,Vtiger!$I$2:$I$418,B33,Vtiger!$A$2:$A$418,"G2B",Vtiger!$G$2:$G$418,$J$29)+SUMIFS(Vtiger!$J$2:$J$418,Vtiger!$K$2:$K$418,B33,Vtiger!$A$2:$A$418,"G2B",Vtiger!$G$2:$G$418,$J$29)</f>
        <v>0</v>
      </c>
      <c r="K33" s="277" t="n">
        <f aca="false">SUMIFS('TH theo khach hang'!$K$7:$K$106,'TH theo khach hang'!$M$7:$M$106,B33)</f>
        <v>0</v>
      </c>
      <c r="L33" s="277" t="n">
        <f aca="false">SUMIFS('TH theo khach hang'!$K$209:$K$308,'TH theo khach hang'!$M$209:$M$308,B33)</f>
        <v>0</v>
      </c>
      <c r="M33" s="275" t="n">
        <f aca="false">C33+K33</f>
        <v>0</v>
      </c>
      <c r="N33" s="276" t="n">
        <f aca="false">D33+L33</f>
        <v>0</v>
      </c>
    </row>
    <row r="34" customFormat="false" ht="18.75" hidden="false" customHeight="false" outlineLevel="0" collapsed="false">
      <c r="A34" s="273" t="n">
        <v>5</v>
      </c>
      <c r="B34" s="274" t="s">
        <v>137</v>
      </c>
      <c r="C34" s="277" t="n">
        <f aca="false">SUM(E34:G34)</f>
        <v>0</v>
      </c>
      <c r="D34" s="277" t="n">
        <f aca="false">SUM(H34:J34)</f>
        <v>0</v>
      </c>
      <c r="E34" s="277" t="n">
        <f aca="false">SUMIFS(Vtiger!$H$2:$H$418,Vtiger!$I$2:$I$418,B34,Vtiger!$A$2:$A$418,"UNI",Vtiger!$G$2:$G$418,$E$29)+SUMIFS(Vtiger!$J$2:$J$418,Vtiger!$K$2:$K$418,B34,Vtiger!$A$2:$A$418,"UNI",Vtiger!$G$2:$G$418,$E$29)</f>
        <v>0</v>
      </c>
      <c r="F34" s="277" t="n">
        <f aca="false">SUMIFS(Vtiger!$H$2:$H$418,Vtiger!$I$2:$I$418,B34,Vtiger!$A$2:$A$418,"UNI",Vtiger!$G$2:$G$418,$F$29)+SUMIFS(Vtiger!$J$2:$J$418,Vtiger!$K$2:$K$418,B34,Vtiger!$A$2:$A$418,"UNI",Vtiger!$G$2:$G$418,$F$29)</f>
        <v>0</v>
      </c>
      <c r="G34" s="277" t="n">
        <f aca="false">SUMIFS(Vtiger!$H$2:$H$418,Vtiger!$I$2:$I$418,B34,Vtiger!$A$2:$A$418,"UNI",Vtiger!$G$2:$G$418,$G$29)+SUMIFS(Vtiger!$J$2:$J$418,Vtiger!$K$2:$K$418,B34,Vtiger!$A$2:$A$418,"UNI",Vtiger!$G$2:$G$418,$G$29)</f>
        <v>0</v>
      </c>
      <c r="H34" s="277" t="n">
        <f aca="false">SUMIFS(Vtiger!$H$2:$H$418,Vtiger!$I$2:$I$418,B34,Vtiger!$A$2:$A$418,"G2B",Vtiger!$G$2:$G$418,$H$29)+SUMIFS(Vtiger!$J$2:$J$418,Vtiger!$K$2:$K$418,B34,Vtiger!$A$2:$A$418,"G2B",Vtiger!$G$2:$G$418,$H$29)</f>
        <v>0</v>
      </c>
      <c r="I34" s="277" t="n">
        <f aca="false">SUMIFS(Vtiger!$H$2:$H$418,Vtiger!$I$2:$I$418,B34,Vtiger!$A$2:$A$418,"G2B",Vtiger!$G$2:$G$418,$I$29)+SUMIFS(Vtiger!$J$2:$J$418,Vtiger!$K$2:$K$418,B34,Vtiger!$A$2:$A$418,"G2B",Vtiger!$G$2:$G$418,$I$29)</f>
        <v>0</v>
      </c>
      <c r="J34" s="277" t="n">
        <f aca="false">SUMIFS(Vtiger!$H$2:$H$418,Vtiger!$I$2:$I$418,B34,Vtiger!$A$2:$A$418,"G2B",Vtiger!$G$2:$G$418,$J$29)+SUMIFS(Vtiger!$J$2:$J$418,Vtiger!$K$2:$K$418,B34,Vtiger!$A$2:$A$418,"G2B",Vtiger!$G$2:$G$418,$J$29)</f>
        <v>0</v>
      </c>
      <c r="K34" s="277" t="n">
        <f aca="false">SUMIFS('TH theo khach hang'!$K$7:$K$106,'TH theo khach hang'!$M$7:$M$106,B34)</f>
        <v>0</v>
      </c>
      <c r="L34" s="277" t="n">
        <f aca="false">SUMIFS('TH theo khach hang'!$K$209:$K$308,'TH theo khach hang'!$M$209:$M$308,B34)</f>
        <v>0</v>
      </c>
      <c r="M34" s="275" t="n">
        <f aca="false">C34+K34</f>
        <v>0</v>
      </c>
      <c r="N34" s="276" t="n">
        <f aca="false">D34+L34</f>
        <v>0</v>
      </c>
    </row>
    <row r="35" customFormat="false" ht="18.75" hidden="false" customHeight="false" outlineLevel="0" collapsed="false">
      <c r="A35" s="273" t="n">
        <v>6</v>
      </c>
      <c r="B35" s="274" t="s">
        <v>138</v>
      </c>
      <c r="C35" s="277" t="n">
        <f aca="false">SUM(E35:G35)</f>
        <v>0</v>
      </c>
      <c r="D35" s="277" t="n">
        <f aca="false">SUM(H35:J35)</f>
        <v>0</v>
      </c>
      <c r="E35" s="277" t="n">
        <f aca="false">SUMIFS(Vtiger!$H$2:$H$418,Vtiger!$I$2:$I$418,B35,Vtiger!$A$2:$A$418,"UNI",Vtiger!$G$2:$G$418,$E$29)+SUMIFS(Vtiger!$J$2:$J$418,Vtiger!$K$2:$K$418,B35,Vtiger!$A$2:$A$418,"UNI",Vtiger!$G$2:$G$418,$E$29)</f>
        <v>0</v>
      </c>
      <c r="F35" s="277" t="n">
        <f aca="false">SUMIFS(Vtiger!$H$2:$H$418,Vtiger!$I$2:$I$418,B35,Vtiger!$A$2:$A$418,"UNI",Vtiger!$G$2:$G$418,$F$29)+SUMIFS(Vtiger!$J$2:$J$418,Vtiger!$K$2:$K$418,B35,Vtiger!$A$2:$A$418,"UNI",Vtiger!$G$2:$G$418,$F$29)</f>
        <v>0</v>
      </c>
      <c r="G35" s="277" t="n">
        <f aca="false">SUMIFS(Vtiger!$H$2:$H$418,Vtiger!$I$2:$I$418,B35,Vtiger!$A$2:$A$418,"UNI",Vtiger!$G$2:$G$418,$G$29)+SUMIFS(Vtiger!$J$2:$J$418,Vtiger!$K$2:$K$418,B35,Vtiger!$A$2:$A$418,"UNI",Vtiger!$G$2:$G$418,$G$29)</f>
        <v>0</v>
      </c>
      <c r="H35" s="277" t="n">
        <f aca="false">SUMIFS(Vtiger!$H$2:$H$418,Vtiger!$I$2:$I$418,B35,Vtiger!$A$2:$A$418,"G2B",Vtiger!$G$2:$G$418,$H$29)+SUMIFS(Vtiger!$J$2:$J$418,Vtiger!$K$2:$K$418,B35,Vtiger!$A$2:$A$418,"G2B",Vtiger!$G$2:$G$418,$H$29)</f>
        <v>0</v>
      </c>
      <c r="I35" s="277" t="n">
        <f aca="false">SUMIFS(Vtiger!$H$2:$H$418,Vtiger!$I$2:$I$418,B35,Vtiger!$A$2:$A$418,"G2B",Vtiger!$G$2:$G$418,$I$29)+SUMIFS(Vtiger!$J$2:$J$418,Vtiger!$K$2:$K$418,B35,Vtiger!$A$2:$A$418,"G2B",Vtiger!$G$2:$G$418,$I$29)</f>
        <v>0</v>
      </c>
      <c r="J35" s="277" t="n">
        <f aca="false">SUMIFS(Vtiger!$H$2:$H$418,Vtiger!$I$2:$I$418,B35,Vtiger!$A$2:$A$418,"G2B",Vtiger!$G$2:$G$418,$J$29)+SUMIFS(Vtiger!$J$2:$J$418,Vtiger!$K$2:$K$418,B35,Vtiger!$A$2:$A$418,"G2B",Vtiger!$G$2:$G$418,$J$29)</f>
        <v>0</v>
      </c>
      <c r="K35" s="277" t="n">
        <f aca="false">SUMIFS('TH theo khach hang'!$K$7:$K$106,'TH theo khach hang'!$M$7:$M$106,B35)</f>
        <v>0</v>
      </c>
      <c r="L35" s="277" t="n">
        <f aca="false">SUMIFS('TH theo khach hang'!$K$209:$K$308,'TH theo khach hang'!$M$209:$M$308,B35)</f>
        <v>0</v>
      </c>
      <c r="M35" s="275" t="n">
        <f aca="false">C35+K35</f>
        <v>0</v>
      </c>
      <c r="N35" s="276" t="n">
        <f aca="false">D35+L35</f>
        <v>0</v>
      </c>
    </row>
    <row r="36" customFormat="false" ht="18.75" hidden="false" customHeight="false" outlineLevel="0" collapsed="false">
      <c r="A36" s="273" t="n">
        <v>7</v>
      </c>
      <c r="B36" s="274" t="s">
        <v>139</v>
      </c>
      <c r="C36" s="277" t="n">
        <f aca="false">SUM(E36:G36)</f>
        <v>0</v>
      </c>
      <c r="D36" s="277" t="n">
        <f aca="false">SUM(H36:J36)</f>
        <v>0</v>
      </c>
      <c r="E36" s="277" t="n">
        <f aca="false">SUMIFS(Vtiger!$H$2:$H$418,Vtiger!$I$2:$I$418,B36,Vtiger!$A$2:$A$418,"UNI",Vtiger!$G$2:$G$418,$E$29)+SUMIFS(Vtiger!$J$2:$J$418,Vtiger!$K$2:$K$418,B36,Vtiger!$A$2:$A$418,"UNI",Vtiger!$G$2:$G$418,$E$29)</f>
        <v>0</v>
      </c>
      <c r="F36" s="277" t="n">
        <f aca="false">SUMIFS(Vtiger!$H$2:$H$418,Vtiger!$I$2:$I$418,B36,Vtiger!$A$2:$A$418,"UNI",Vtiger!$G$2:$G$418,$F$29)+SUMIFS(Vtiger!$J$2:$J$418,Vtiger!$K$2:$K$418,B36,Vtiger!$A$2:$A$418,"UNI",Vtiger!$G$2:$G$418,$F$29)</f>
        <v>0</v>
      </c>
      <c r="G36" s="277" t="n">
        <f aca="false">SUMIFS(Vtiger!$H$2:$H$418,Vtiger!$I$2:$I$418,B36,Vtiger!$A$2:$A$418,"UNI",Vtiger!$G$2:$G$418,$G$29)+SUMIFS(Vtiger!$J$2:$J$418,Vtiger!$K$2:$K$418,B36,Vtiger!$A$2:$A$418,"UNI",Vtiger!$G$2:$G$418,$G$29)</f>
        <v>0</v>
      </c>
      <c r="H36" s="277" t="n">
        <f aca="false">SUMIFS(Vtiger!$H$2:$H$418,Vtiger!$I$2:$I$418,B36,Vtiger!$A$2:$A$418,"G2B",Vtiger!$G$2:$G$418,$H$29)+SUMIFS(Vtiger!$J$2:$J$418,Vtiger!$K$2:$K$418,B36,Vtiger!$A$2:$A$418,"G2B",Vtiger!$G$2:$G$418,$H$29)</f>
        <v>0</v>
      </c>
      <c r="I36" s="277" t="n">
        <f aca="false">SUMIFS(Vtiger!$H$2:$H$418,Vtiger!$I$2:$I$418,B36,Vtiger!$A$2:$A$418,"G2B",Vtiger!$G$2:$G$418,$I$29)+SUMIFS(Vtiger!$J$2:$J$418,Vtiger!$K$2:$K$418,B36,Vtiger!$A$2:$A$418,"G2B",Vtiger!$G$2:$G$418,$I$29)</f>
        <v>0</v>
      </c>
      <c r="J36" s="277" t="n">
        <f aca="false">SUMIFS(Vtiger!$H$2:$H$418,Vtiger!$I$2:$I$418,B36,Vtiger!$A$2:$A$418,"G2B",Vtiger!$G$2:$G$418,$J$29)+SUMIFS(Vtiger!$J$2:$J$418,Vtiger!$K$2:$K$418,B36,Vtiger!$A$2:$A$418,"G2B",Vtiger!$G$2:$G$418,$J$29)</f>
        <v>0</v>
      </c>
      <c r="K36" s="277" t="n">
        <f aca="false">SUMIFS('TH theo khach hang'!$K$7:$K$106,'TH theo khach hang'!$M$7:$M$106,B36)</f>
        <v>0</v>
      </c>
      <c r="L36" s="277" t="n">
        <f aca="false">SUMIFS('TH theo khach hang'!$K$209:$K$308,'TH theo khach hang'!$M$209:$M$308,B36)</f>
        <v>0</v>
      </c>
      <c r="M36" s="275" t="n">
        <f aca="false">C36+K36</f>
        <v>0</v>
      </c>
      <c r="N36" s="276" t="n">
        <f aca="false">D36+L36</f>
        <v>0</v>
      </c>
    </row>
    <row r="37" customFormat="false" ht="18.75" hidden="false" customHeight="false" outlineLevel="0" collapsed="false">
      <c r="A37" s="273" t="n">
        <v>8</v>
      </c>
      <c r="B37" s="274" t="s">
        <v>140</v>
      </c>
      <c r="C37" s="277" t="n">
        <f aca="false">SUM(E37:G37)</f>
        <v>0</v>
      </c>
      <c r="D37" s="277" t="n">
        <f aca="false">SUM(H37:J37)</f>
        <v>0</v>
      </c>
      <c r="E37" s="277" t="n">
        <f aca="false">SUMIFS(Vtiger!$H$2:$H$418,Vtiger!$I$2:$I$418,B37,Vtiger!$A$2:$A$418,"UNI",Vtiger!$G$2:$G$418,$E$29)+SUMIFS(Vtiger!$J$2:$J$418,Vtiger!$K$2:$K$418,B37,Vtiger!$A$2:$A$418,"UNI",Vtiger!$G$2:$G$418,$E$29)</f>
        <v>0</v>
      </c>
      <c r="F37" s="277" t="n">
        <f aca="false">SUMIFS(Vtiger!$H$2:$H$418,Vtiger!$I$2:$I$418,B37,Vtiger!$A$2:$A$418,"UNI",Vtiger!$G$2:$G$418,$F$29)+SUMIFS(Vtiger!$J$2:$J$418,Vtiger!$K$2:$K$418,B37,Vtiger!$A$2:$A$418,"UNI",Vtiger!$G$2:$G$418,$F$29)</f>
        <v>0</v>
      </c>
      <c r="G37" s="277" t="n">
        <f aca="false">SUMIFS(Vtiger!$H$2:$H$418,Vtiger!$I$2:$I$418,B37,Vtiger!$A$2:$A$418,"UNI",Vtiger!$G$2:$G$418,$G$29)+SUMIFS(Vtiger!$J$2:$J$418,Vtiger!$K$2:$K$418,B37,Vtiger!$A$2:$A$418,"UNI",Vtiger!$G$2:$G$418,$G$29)</f>
        <v>0</v>
      </c>
      <c r="H37" s="277" t="n">
        <f aca="false">SUMIFS(Vtiger!$H$2:$H$418,Vtiger!$I$2:$I$418,B37,Vtiger!$A$2:$A$418,"G2B",Vtiger!$G$2:$G$418,$H$29)+SUMIFS(Vtiger!$J$2:$J$418,Vtiger!$K$2:$K$418,B37,Vtiger!$A$2:$A$418,"G2B",Vtiger!$G$2:$G$418,$H$29)</f>
        <v>0</v>
      </c>
      <c r="I37" s="277" t="n">
        <f aca="false">SUMIFS(Vtiger!$H$2:$H$418,Vtiger!$I$2:$I$418,B37,Vtiger!$A$2:$A$418,"G2B",Vtiger!$G$2:$G$418,$I$29)+SUMIFS(Vtiger!$J$2:$J$418,Vtiger!$K$2:$K$418,B37,Vtiger!$A$2:$A$418,"G2B",Vtiger!$G$2:$G$418,$I$29)</f>
        <v>0</v>
      </c>
      <c r="J37" s="277" t="n">
        <f aca="false">SUMIFS(Vtiger!$H$2:$H$418,Vtiger!$I$2:$I$418,B37,Vtiger!$A$2:$A$418,"G2B",Vtiger!$G$2:$G$418,$J$29)+SUMIFS(Vtiger!$J$2:$J$418,Vtiger!$K$2:$K$418,B37,Vtiger!$A$2:$A$418,"G2B",Vtiger!$G$2:$G$418,$J$29)</f>
        <v>0</v>
      </c>
      <c r="K37" s="277" t="n">
        <f aca="false">SUMIFS('TH theo khach hang'!$K$7:$K$106,'TH theo khach hang'!$M$7:$M$106,B37)</f>
        <v>0</v>
      </c>
      <c r="L37" s="277" t="n">
        <f aca="false">SUMIFS('TH theo khach hang'!$K$209:$K$308,'TH theo khach hang'!$M$209:$M$308,B37)</f>
        <v>0</v>
      </c>
      <c r="M37" s="275" t="n">
        <f aca="false">C37+K37</f>
        <v>0</v>
      </c>
      <c r="N37" s="276" t="n">
        <f aca="false">D37+L37</f>
        <v>0</v>
      </c>
    </row>
    <row r="38" customFormat="false" ht="18.75" hidden="false" customHeight="false" outlineLevel="0" collapsed="false">
      <c r="A38" s="273" t="n">
        <v>9</v>
      </c>
      <c r="B38" s="274" t="s">
        <v>141</v>
      </c>
      <c r="C38" s="277" t="n">
        <f aca="false">SUM(E38:G38)</f>
        <v>0</v>
      </c>
      <c r="D38" s="277" t="n">
        <f aca="false">SUM(H38:J38)</f>
        <v>0</v>
      </c>
      <c r="E38" s="277" t="n">
        <f aca="false">SUMIFS(Vtiger!$H$2:$H$418,Vtiger!$I$2:$I$418,B38,Vtiger!$A$2:$A$418,"UNI",Vtiger!$G$2:$G$418,$E$29)+SUMIFS(Vtiger!$J$2:$J$418,Vtiger!$K$2:$K$418,B38,Vtiger!$A$2:$A$418,"UNI",Vtiger!$G$2:$G$418,$E$29)</f>
        <v>0</v>
      </c>
      <c r="F38" s="277" t="n">
        <f aca="false">SUMIFS(Vtiger!$H$2:$H$418,Vtiger!$I$2:$I$418,B38,Vtiger!$A$2:$A$418,"UNI",Vtiger!$G$2:$G$418,$F$29)+SUMIFS(Vtiger!$J$2:$J$418,Vtiger!$K$2:$K$418,B38,Vtiger!$A$2:$A$418,"UNI",Vtiger!$G$2:$G$418,$F$29)</f>
        <v>0</v>
      </c>
      <c r="G38" s="277" t="n">
        <f aca="false">SUMIFS(Vtiger!$H$2:$H$418,Vtiger!$I$2:$I$418,B38,Vtiger!$A$2:$A$418,"UNI",Vtiger!$G$2:$G$418,$G$29)+SUMIFS(Vtiger!$J$2:$J$418,Vtiger!$K$2:$K$418,B38,Vtiger!$A$2:$A$418,"UNI",Vtiger!$G$2:$G$418,$G$29)</f>
        <v>0</v>
      </c>
      <c r="H38" s="277" t="n">
        <f aca="false">SUMIFS(Vtiger!$H$2:$H$418,Vtiger!$I$2:$I$418,B38,Vtiger!$A$2:$A$418,"G2B",Vtiger!$G$2:$G$418,$H$29)+SUMIFS(Vtiger!$J$2:$J$418,Vtiger!$K$2:$K$418,B38,Vtiger!$A$2:$A$418,"G2B",Vtiger!$G$2:$G$418,$H$29)</f>
        <v>0</v>
      </c>
      <c r="I38" s="277" t="n">
        <f aca="false">SUMIFS(Vtiger!$H$2:$H$418,Vtiger!$I$2:$I$418,B38,Vtiger!$A$2:$A$418,"G2B",Vtiger!$G$2:$G$418,$I$29)+SUMIFS(Vtiger!$J$2:$J$418,Vtiger!$K$2:$K$418,B38,Vtiger!$A$2:$A$418,"G2B",Vtiger!$G$2:$G$418,$I$29)</f>
        <v>0</v>
      </c>
      <c r="J38" s="277" t="n">
        <f aca="false">SUMIFS(Vtiger!$H$2:$H$418,Vtiger!$I$2:$I$418,B38,Vtiger!$A$2:$A$418,"G2B",Vtiger!$G$2:$G$418,$J$29)+SUMIFS(Vtiger!$J$2:$J$418,Vtiger!$K$2:$K$418,B38,Vtiger!$A$2:$A$418,"G2B",Vtiger!$G$2:$G$418,$J$29)</f>
        <v>0</v>
      </c>
      <c r="K38" s="277" t="n">
        <f aca="false">SUMIFS('TH theo khach hang'!$K$7:$K$106,'TH theo khach hang'!$M$7:$M$106,B38)</f>
        <v>0</v>
      </c>
      <c r="L38" s="277" t="n">
        <f aca="false">SUMIFS('TH theo khach hang'!$K$209:$K$308,'TH theo khach hang'!$M$209:$M$308,B38)</f>
        <v>0</v>
      </c>
      <c r="M38" s="275" t="n">
        <f aca="false">C38+K38</f>
        <v>0</v>
      </c>
      <c r="N38" s="276" t="n">
        <f aca="false">D38+L38</f>
        <v>0</v>
      </c>
    </row>
    <row r="39" customFormat="false" ht="18.75" hidden="false" customHeight="false" outlineLevel="0" collapsed="false">
      <c r="A39" s="273" t="n">
        <v>10</v>
      </c>
      <c r="B39" s="274" t="s">
        <v>142</v>
      </c>
      <c r="C39" s="277" t="n">
        <f aca="false">SUM(E39:G39)</f>
        <v>0</v>
      </c>
      <c r="D39" s="277" t="n">
        <f aca="false">SUM(H39:J39)</f>
        <v>0</v>
      </c>
      <c r="E39" s="277" t="n">
        <f aca="false">SUMIFS(Vtiger!$H$2:$H$418,Vtiger!$I$2:$I$418,B39,Vtiger!$A$2:$A$418,"UNI",Vtiger!$G$2:$G$418,$E$29)+SUMIFS(Vtiger!$J$2:$J$418,Vtiger!$K$2:$K$418,B39,Vtiger!$A$2:$A$418,"UNI",Vtiger!$G$2:$G$418,$E$29)</f>
        <v>0</v>
      </c>
      <c r="F39" s="277" t="n">
        <f aca="false">SUMIFS(Vtiger!$H$2:$H$418,Vtiger!$I$2:$I$418,B39,Vtiger!$A$2:$A$418,"UNI",Vtiger!$G$2:$G$418,$F$29)+SUMIFS(Vtiger!$J$2:$J$418,Vtiger!$K$2:$K$418,B39,Vtiger!$A$2:$A$418,"UNI",Vtiger!$G$2:$G$418,$F$29)</f>
        <v>0</v>
      </c>
      <c r="G39" s="277" t="n">
        <f aca="false">SUMIFS(Vtiger!$H$2:$H$418,Vtiger!$I$2:$I$418,B39,Vtiger!$A$2:$A$418,"UNI",Vtiger!$G$2:$G$418,$G$29)+SUMIFS(Vtiger!$J$2:$J$418,Vtiger!$K$2:$K$418,B39,Vtiger!$A$2:$A$418,"UNI",Vtiger!$G$2:$G$418,$G$29)</f>
        <v>0</v>
      </c>
      <c r="H39" s="277" t="n">
        <f aca="false">SUMIFS(Vtiger!$H$2:$H$418,Vtiger!$I$2:$I$418,B39,Vtiger!$A$2:$A$418,"G2B",Vtiger!$G$2:$G$418,$H$29)+SUMIFS(Vtiger!$J$2:$J$418,Vtiger!$K$2:$K$418,B39,Vtiger!$A$2:$A$418,"G2B",Vtiger!$G$2:$G$418,$H$29)</f>
        <v>0</v>
      </c>
      <c r="I39" s="277" t="n">
        <f aca="false">SUMIFS(Vtiger!$H$2:$H$418,Vtiger!$I$2:$I$418,B39,Vtiger!$A$2:$A$418,"G2B",Vtiger!$G$2:$G$418,$I$29)+SUMIFS(Vtiger!$J$2:$J$418,Vtiger!$K$2:$K$418,B39,Vtiger!$A$2:$A$418,"G2B",Vtiger!$G$2:$G$418,$I$29)</f>
        <v>0</v>
      </c>
      <c r="J39" s="277" t="n">
        <f aca="false">SUMIFS(Vtiger!$H$2:$H$418,Vtiger!$I$2:$I$418,B39,Vtiger!$A$2:$A$418,"G2B",Vtiger!$G$2:$G$418,$J$29)+SUMIFS(Vtiger!$J$2:$J$418,Vtiger!$K$2:$K$418,B39,Vtiger!$A$2:$A$418,"G2B",Vtiger!$G$2:$G$418,$J$29)</f>
        <v>0</v>
      </c>
      <c r="K39" s="277" t="n">
        <f aca="false">SUMIFS('TH theo khach hang'!$K$7:$K$106,'TH theo khach hang'!$M$7:$M$106,B39)</f>
        <v>0</v>
      </c>
      <c r="L39" s="277" t="n">
        <f aca="false">SUMIFS('TH theo khach hang'!$K$209:$K$308,'TH theo khach hang'!$M$209:$M$308,B39)</f>
        <v>0</v>
      </c>
      <c r="M39" s="275" t="n">
        <f aca="false">C39+K39</f>
        <v>0</v>
      </c>
      <c r="N39" s="276" t="n">
        <f aca="false">D39+L39</f>
        <v>0</v>
      </c>
    </row>
    <row r="40" customFormat="false" ht="18.75" hidden="false" customHeight="false" outlineLevel="0" collapsed="false">
      <c r="A40" s="273" t="n">
        <v>11</v>
      </c>
      <c r="B40" s="274" t="s">
        <v>143</v>
      </c>
      <c r="C40" s="277" t="n">
        <f aca="false">SUM(E40:G40)</f>
        <v>0</v>
      </c>
      <c r="D40" s="277" t="n">
        <f aca="false">SUM(H40:J40)</f>
        <v>0</v>
      </c>
      <c r="E40" s="277" t="n">
        <f aca="false">SUMIFS(Vtiger!$H$2:$H$418,Vtiger!$I$2:$I$418,B40,Vtiger!$A$2:$A$418,"UNI",Vtiger!$G$2:$G$418,$E$29)+SUMIFS(Vtiger!$J$2:$J$418,Vtiger!$K$2:$K$418,B40,Vtiger!$A$2:$A$418,"UNI",Vtiger!$G$2:$G$418,$E$29)</f>
        <v>0</v>
      </c>
      <c r="F40" s="277" t="n">
        <f aca="false">SUMIFS(Vtiger!$H$2:$H$418,Vtiger!$I$2:$I$418,B40,Vtiger!$A$2:$A$418,"UNI",Vtiger!$G$2:$G$418,$F$29)+SUMIFS(Vtiger!$J$2:$J$418,Vtiger!$K$2:$K$418,B40,Vtiger!$A$2:$A$418,"UNI",Vtiger!$G$2:$G$418,$F$29)</f>
        <v>0</v>
      </c>
      <c r="G40" s="277" t="n">
        <f aca="false">SUMIFS(Vtiger!$H$2:$H$418,Vtiger!$I$2:$I$418,B40,Vtiger!$A$2:$A$418,"UNI",Vtiger!$G$2:$G$418,$G$29)+SUMIFS(Vtiger!$J$2:$J$418,Vtiger!$K$2:$K$418,B40,Vtiger!$A$2:$A$418,"UNI",Vtiger!$G$2:$G$418,$G$29)</f>
        <v>0</v>
      </c>
      <c r="H40" s="277" t="n">
        <f aca="false">SUMIFS(Vtiger!$H$2:$H$418,Vtiger!$I$2:$I$418,B40,Vtiger!$A$2:$A$418,"G2B",Vtiger!$G$2:$G$418,$H$29)+SUMIFS(Vtiger!$J$2:$J$418,Vtiger!$K$2:$K$418,B40,Vtiger!$A$2:$A$418,"G2B",Vtiger!$G$2:$G$418,$H$29)</f>
        <v>0</v>
      </c>
      <c r="I40" s="277" t="n">
        <f aca="false">SUMIFS(Vtiger!$H$2:$H$418,Vtiger!$I$2:$I$418,B40,Vtiger!$A$2:$A$418,"G2B",Vtiger!$G$2:$G$418,$I$29)+SUMIFS(Vtiger!$J$2:$J$418,Vtiger!$K$2:$K$418,B40,Vtiger!$A$2:$A$418,"G2B",Vtiger!$G$2:$G$418,$I$29)</f>
        <v>0</v>
      </c>
      <c r="J40" s="277" t="n">
        <f aca="false">SUMIFS(Vtiger!$H$2:$H$418,Vtiger!$I$2:$I$418,B40,Vtiger!$A$2:$A$418,"G2B",Vtiger!$G$2:$G$418,$J$29)+SUMIFS(Vtiger!$J$2:$J$418,Vtiger!$K$2:$K$418,B40,Vtiger!$A$2:$A$418,"G2B",Vtiger!$G$2:$G$418,$J$29)</f>
        <v>0</v>
      </c>
      <c r="K40" s="277" t="n">
        <f aca="false">SUMIFS('TH theo khach hang'!$K$7:$K$106,'TH theo khach hang'!$M$7:$M$106,B40)</f>
        <v>0</v>
      </c>
      <c r="L40" s="277" t="n">
        <f aca="false">SUMIFS('TH theo khach hang'!$K$209:$K$308,'TH theo khach hang'!$M$209:$M$308,B40)</f>
        <v>0</v>
      </c>
      <c r="M40" s="275" t="n">
        <f aca="false">C40+K40</f>
        <v>0</v>
      </c>
      <c r="N40" s="276" t="n">
        <f aca="false">D40+L40</f>
        <v>0</v>
      </c>
    </row>
    <row r="41" customFormat="false" ht="18.75" hidden="false" customHeight="false" outlineLevel="0" collapsed="false">
      <c r="A41" s="273" t="n">
        <v>12</v>
      </c>
      <c r="B41" s="274" t="s">
        <v>144</v>
      </c>
      <c r="C41" s="277" t="n">
        <f aca="false">SUM(E41:G41)</f>
        <v>0</v>
      </c>
      <c r="D41" s="277" t="n">
        <f aca="false">SUM(H41:J41)</f>
        <v>854990000</v>
      </c>
      <c r="E41" s="277" t="n">
        <f aca="false">SUMIFS(Vtiger!$H$2:$H$418,Vtiger!$I$2:$I$418,B41,Vtiger!$A$2:$A$418,"UNI",Vtiger!$G$2:$G$418,$E$29)+SUMIFS(Vtiger!$J$2:$J$418,Vtiger!$K$2:$K$418,B41,Vtiger!$A$2:$A$418,"UNI",Vtiger!$G$2:$G$418,$E$29)</f>
        <v>0</v>
      </c>
      <c r="F41" s="277" t="n">
        <f aca="false">SUMIFS(Vtiger!$H$2:$H$418,Vtiger!$I$2:$I$418,B41,Vtiger!$A$2:$A$418,"UNI",Vtiger!$G$2:$G$418,$F$29)+SUMIFS(Vtiger!$J$2:$J$418,Vtiger!$K$2:$K$418,B41,Vtiger!$A$2:$A$418,"UNI",Vtiger!$G$2:$G$418,$F$29)</f>
        <v>0</v>
      </c>
      <c r="G41" s="277" t="n">
        <f aca="false">SUMIFS(Vtiger!$H$2:$H$418,Vtiger!$I$2:$I$418,B41,Vtiger!$A$2:$A$418,"UNI",Vtiger!$G$2:$G$418,$G$29)+SUMIFS(Vtiger!$J$2:$J$418,Vtiger!$K$2:$K$418,B41,Vtiger!$A$2:$A$418,"UNI",Vtiger!$G$2:$G$418,$G$29)</f>
        <v>0</v>
      </c>
      <c r="H41" s="277" t="n">
        <f aca="false">SUMIFS(Vtiger!$H$2:$H$418,Vtiger!$I$2:$I$418,B41,Vtiger!$A$2:$A$418,"G2B",Vtiger!$G$2:$G$418,$H$29)+SUMIFS(Vtiger!$J$2:$J$418,Vtiger!$K$2:$K$418,B41,Vtiger!$A$2:$A$418,"G2B",Vtiger!$G$2:$G$418,$H$29)</f>
        <v>854990000</v>
      </c>
      <c r="I41" s="277" t="n">
        <f aca="false">SUMIFS(Vtiger!$H$2:$H$418,Vtiger!$I$2:$I$418,B41,Vtiger!$A$2:$A$418,"G2B",Vtiger!$G$2:$G$418,$I$29)+SUMIFS(Vtiger!$J$2:$J$418,Vtiger!$K$2:$K$418,B41,Vtiger!$A$2:$A$418,"G2B",Vtiger!$G$2:$G$418,$I$29)</f>
        <v>0</v>
      </c>
      <c r="J41" s="277" t="n">
        <f aca="false">SUMIFS(Vtiger!$H$2:$H$418,Vtiger!$I$2:$I$418,B41,Vtiger!$A$2:$A$418,"G2B",Vtiger!$G$2:$G$418,$J$29)+SUMIFS(Vtiger!$J$2:$J$418,Vtiger!$K$2:$K$418,B41,Vtiger!$A$2:$A$418,"G2B",Vtiger!$G$2:$G$418,$J$29)</f>
        <v>0</v>
      </c>
      <c r="K41" s="277" t="n">
        <f aca="false">SUMIFS('TH theo khach hang'!$K$7:$K$106,'TH theo khach hang'!$M$7:$M$106,B41)</f>
        <v>0</v>
      </c>
      <c r="L41" s="277" t="n">
        <f aca="false">SUMIFS('TH theo khach hang'!$K$209:$K$308,'TH theo khach hang'!$M$209:$M$308,B41)</f>
        <v>0</v>
      </c>
      <c r="M41" s="275" t="n">
        <f aca="false">C41+K41</f>
        <v>0</v>
      </c>
      <c r="N41" s="276" t="n">
        <f aca="false">D41+L41</f>
        <v>854990000</v>
      </c>
    </row>
    <row r="42" customFormat="false" ht="18.75" hidden="false" customHeight="false" outlineLevel="0" collapsed="false">
      <c r="A42" s="261"/>
      <c r="B42" s="267" t="s">
        <v>494</v>
      </c>
      <c r="C42" s="282" t="n">
        <f aca="false">SUM(C30:C41)</f>
        <v>0</v>
      </c>
      <c r="D42" s="282" t="n">
        <f aca="false">SUM(D30:D41)</f>
        <v>854990000</v>
      </c>
      <c r="E42" s="282" t="n">
        <f aca="false">SUM(E30:E41)</f>
        <v>0</v>
      </c>
      <c r="F42" s="282" t="n">
        <f aca="false">SUM(F30:F41)</f>
        <v>0</v>
      </c>
      <c r="G42" s="282" t="n">
        <f aca="false">SUM(G30:G41)</f>
        <v>0</v>
      </c>
      <c r="H42" s="282" t="n">
        <f aca="false">SUM(H30:H41)</f>
        <v>854990000</v>
      </c>
      <c r="I42" s="282" t="n">
        <f aca="false">SUM(I30:I41)</f>
        <v>0</v>
      </c>
      <c r="J42" s="282" t="n">
        <f aca="false">SUM(J30:J41)</f>
        <v>0</v>
      </c>
      <c r="K42" s="282" t="n">
        <f aca="false">SUM(K30:K41)</f>
        <v>0</v>
      </c>
      <c r="L42" s="282" t="n">
        <f aca="false">SUM(L30:L41)</f>
        <v>0</v>
      </c>
      <c r="M42" s="280" t="n">
        <f aca="false">SUM(M30:M41)</f>
        <v>0</v>
      </c>
      <c r="N42" s="281" t="n">
        <f aca="false">SUM(N30:N41)</f>
        <v>854990000</v>
      </c>
    </row>
    <row r="43" customFormat="false" ht="18.75" hidden="false" customHeight="false" outlineLevel="0" collapsed="false">
      <c r="A43" s="285" t="s">
        <v>495</v>
      </c>
      <c r="B43" s="300"/>
      <c r="C43" s="301"/>
      <c r="D43" s="301"/>
      <c r="E43" s="301"/>
      <c r="F43" s="301"/>
      <c r="G43" s="301"/>
      <c r="H43" s="301"/>
      <c r="I43" s="301"/>
      <c r="J43" s="301"/>
    </row>
    <row r="44" customFormat="false" ht="18.75" hidden="false" customHeight="false" outlineLevel="0" collapsed="false">
      <c r="A44" s="286"/>
      <c r="B44" s="286"/>
      <c r="C44" s="287" t="s">
        <v>3</v>
      </c>
      <c r="D44" s="287"/>
      <c r="E44" s="287"/>
      <c r="F44" s="288" t="s">
        <v>5</v>
      </c>
      <c r="G44" s="288"/>
      <c r="H44" s="288"/>
    </row>
    <row r="45" customFormat="false" ht="18.75" hidden="false" customHeight="false" outlineLevel="0" collapsed="false">
      <c r="A45" s="267" t="s">
        <v>81</v>
      </c>
      <c r="B45" s="267" t="s">
        <v>496</v>
      </c>
      <c r="C45" s="289" t="s">
        <v>90</v>
      </c>
      <c r="D45" s="289" t="s">
        <v>497</v>
      </c>
      <c r="E45" s="289" t="s">
        <v>498</v>
      </c>
      <c r="F45" s="290" t="s">
        <v>90</v>
      </c>
      <c r="G45" s="290" t="s">
        <v>497</v>
      </c>
      <c r="H45" s="290" t="s">
        <v>498</v>
      </c>
    </row>
    <row r="46" customFormat="false" ht="18.75" hidden="false" customHeight="false" outlineLevel="0" collapsed="false">
      <c r="A46" s="267" t="n">
        <v>1</v>
      </c>
      <c r="B46" s="292" t="s">
        <v>162</v>
      </c>
      <c r="C46" s="293" t="n">
        <f aca="false">'Tong hop (TH)'!F49</f>
        <v>10000000000</v>
      </c>
      <c r="D46" s="293"/>
      <c r="E46" s="293"/>
      <c r="F46" s="293" t="n">
        <f aca="false">'Tong hop (TH)'!I49</f>
        <v>9000000000</v>
      </c>
      <c r="G46" s="293"/>
      <c r="H46" s="293"/>
    </row>
    <row r="47" customFormat="false" ht="18.75" hidden="false" customHeight="false" outlineLevel="0" collapsed="false">
      <c r="A47" s="273" t="n">
        <v>2</v>
      </c>
      <c r="B47" s="292" t="s">
        <v>501</v>
      </c>
      <c r="C47" s="293"/>
      <c r="D47" s="293" t="n">
        <f aca="false">C46-E48</f>
        <v>10000000000</v>
      </c>
      <c r="E47" s="293"/>
      <c r="F47" s="293"/>
      <c r="G47" s="293" t="n">
        <f aca="false">'Tong hop (TH)'!I49-'Tong hop (TH)'!K49</f>
        <v>9000000000</v>
      </c>
      <c r="H47" s="293"/>
    </row>
    <row r="48" customFormat="false" ht="18.75" hidden="false" customHeight="false" outlineLevel="0" collapsed="false">
      <c r="A48" s="273" t="n">
        <v>3</v>
      </c>
      <c r="B48" s="292" t="s">
        <v>110</v>
      </c>
      <c r="C48" s="293"/>
      <c r="D48" s="293"/>
      <c r="E48" s="293" t="n">
        <f aca="false">'Tong hop (TH)'!H49</f>
        <v>0</v>
      </c>
      <c r="F48" s="293"/>
      <c r="G48" s="293"/>
      <c r="H48" s="293" t="n">
        <f aca="false">'Tong hop (TH)'!K49</f>
        <v>0</v>
      </c>
      <c r="K48" s="302"/>
    </row>
    <row r="49" customFormat="false" ht="18.75" hidden="false" customHeight="false" outlineLevel="0" collapsed="false">
      <c r="A49" s="273" t="n">
        <v>4</v>
      </c>
      <c r="B49" s="292" t="s">
        <v>509</v>
      </c>
      <c r="C49" s="293"/>
      <c r="D49" s="293"/>
      <c r="E49" s="293" t="n">
        <f aca="false">K42</f>
        <v>0</v>
      </c>
      <c r="F49" s="293"/>
      <c r="G49" s="293"/>
      <c r="H49" s="293" t="n">
        <f aca="false">L42</f>
        <v>0</v>
      </c>
    </row>
    <row r="50" customFormat="false" ht="18.75" hidden="false" customHeight="false" outlineLevel="0" collapsed="false">
      <c r="A50" s="273" t="n">
        <v>5</v>
      </c>
      <c r="B50" s="292" t="s">
        <v>510</v>
      </c>
      <c r="C50" s="293"/>
      <c r="D50" s="293"/>
      <c r="E50" s="293" t="n">
        <f aca="false">C42</f>
        <v>0</v>
      </c>
      <c r="F50" s="293"/>
      <c r="G50" s="293"/>
      <c r="H50" s="293" t="n">
        <f aca="false">D42</f>
        <v>854990000</v>
      </c>
      <c r="N50" s="302"/>
    </row>
    <row r="51" customFormat="false" ht="18.75" hidden="false" customHeight="false" outlineLevel="0" collapsed="false">
      <c r="A51" s="292"/>
      <c r="B51" s="267" t="s">
        <v>494</v>
      </c>
      <c r="C51" s="296" t="n">
        <f aca="false">SUM(C46:C50)</f>
        <v>10000000000</v>
      </c>
      <c r="D51" s="296" t="n">
        <f aca="false">SUM(D46:D50)</f>
        <v>10000000000</v>
      </c>
      <c r="E51" s="296" t="n">
        <f aca="false">SUM(E46:E50)</f>
        <v>0</v>
      </c>
      <c r="F51" s="296" t="n">
        <f aca="false">SUM(F46:F50)</f>
        <v>9000000000</v>
      </c>
      <c r="G51" s="296" t="n">
        <f aca="false">SUM(G46:G50)</f>
        <v>9000000000</v>
      </c>
      <c r="H51" s="296" t="n">
        <f aca="false">SUM(H46:H50)</f>
        <v>854990000</v>
      </c>
    </row>
    <row r="53" customFormat="false" ht="18.75" hidden="false" customHeight="false" outlineLevel="0" collapsed="false">
      <c r="A53" s="10" t="s">
        <v>86</v>
      </c>
    </row>
    <row r="54" customFormat="false" ht="18.75" hidden="false" customHeight="false" outlineLevel="0" collapsed="false">
      <c r="A54" s="303" t="s">
        <v>81</v>
      </c>
      <c r="B54" s="304" t="s">
        <v>511</v>
      </c>
      <c r="C54" s="303" t="s">
        <v>160</v>
      </c>
      <c r="D54" s="303" t="s">
        <v>166</v>
      </c>
    </row>
    <row r="55" customFormat="false" ht="18.75" hidden="false" customHeight="false" outlineLevel="0" collapsed="false">
      <c r="A55" s="305" t="n">
        <v>1</v>
      </c>
      <c r="B55" s="306" t="s">
        <v>512</v>
      </c>
      <c r="C55" s="307"/>
      <c r="D55" s="308" t="n">
        <f aca="false">K42</f>
        <v>0</v>
      </c>
    </row>
    <row r="56" customFormat="false" ht="18.75" hidden="false" customHeight="false" outlineLevel="0" collapsed="false">
      <c r="A56" s="305" t="n">
        <v>2</v>
      </c>
      <c r="B56" s="309" t="s">
        <v>491</v>
      </c>
      <c r="C56" s="308" t="n">
        <f aca="false">E17</f>
        <v>0</v>
      </c>
      <c r="D56" s="308" t="n">
        <f aca="false">E42</f>
        <v>0</v>
      </c>
    </row>
    <row r="57" customFormat="false" ht="18.75" hidden="false" customHeight="false" outlineLevel="0" collapsed="false">
      <c r="A57" s="305" t="n">
        <v>3</v>
      </c>
      <c r="B57" s="309" t="s">
        <v>492</v>
      </c>
      <c r="C57" s="308" t="n">
        <f aca="false">F17</f>
        <v>0</v>
      </c>
      <c r="D57" s="308" t="n">
        <f aca="false">F42</f>
        <v>0</v>
      </c>
    </row>
    <row r="58" customFormat="false" ht="18.75" hidden="false" customHeight="false" outlineLevel="0" collapsed="false">
      <c r="A58" s="305" t="n">
        <v>4</v>
      </c>
      <c r="B58" s="309" t="s">
        <v>493</v>
      </c>
      <c r="C58" s="308" t="n">
        <f aca="false">G17</f>
        <v>0</v>
      </c>
      <c r="D58" s="308" t="n">
        <f aca="false">G42</f>
        <v>0</v>
      </c>
    </row>
    <row r="59" customFormat="false" ht="18.75" hidden="false" customHeight="false" outlineLevel="0" collapsed="false">
      <c r="A59" s="303"/>
      <c r="B59" s="303" t="s">
        <v>494</v>
      </c>
      <c r="C59" s="310" t="n">
        <f aca="false">SUM(C55:C58)</f>
        <v>0</v>
      </c>
      <c r="D59" s="310" t="n">
        <f aca="false">SUM(D55:D58)</f>
        <v>0</v>
      </c>
    </row>
    <row r="61" customFormat="false" ht="18.75" hidden="false" customHeight="false" outlineLevel="0" collapsed="false">
      <c r="A61" s="10" t="s">
        <v>130</v>
      </c>
    </row>
    <row r="62" customFormat="false" ht="18.75" hidden="false" customHeight="false" outlineLevel="0" collapsed="false">
      <c r="A62" s="267" t="s">
        <v>81</v>
      </c>
      <c r="B62" s="267" t="s">
        <v>513</v>
      </c>
      <c r="C62" s="267" t="s">
        <v>160</v>
      </c>
      <c r="D62" s="267" t="s">
        <v>166</v>
      </c>
    </row>
    <row r="63" customFormat="false" ht="18.75" hidden="false" customHeight="false" outlineLevel="0" collapsed="false">
      <c r="A63" s="305" t="n">
        <v>1</v>
      </c>
      <c r="B63" s="306" t="s">
        <v>512</v>
      </c>
      <c r="C63" s="307"/>
      <c r="D63" s="308" t="n">
        <f aca="false">L42</f>
        <v>0</v>
      </c>
    </row>
    <row r="64" customFormat="false" ht="18.75" hidden="false" customHeight="false" outlineLevel="0" collapsed="false">
      <c r="A64" s="305" t="n">
        <v>2</v>
      </c>
      <c r="B64" s="309" t="s">
        <v>491</v>
      </c>
      <c r="C64" s="308" t="n">
        <f aca="false">H17</f>
        <v>854990000</v>
      </c>
      <c r="D64" s="308" t="n">
        <f aca="false">H42</f>
        <v>854990000</v>
      </c>
    </row>
    <row r="65" customFormat="false" ht="18.75" hidden="false" customHeight="false" outlineLevel="0" collapsed="false">
      <c r="A65" s="305" t="n">
        <v>3</v>
      </c>
      <c r="B65" s="309" t="s">
        <v>492</v>
      </c>
      <c r="C65" s="308" t="n">
        <f aca="false">I17</f>
        <v>0</v>
      </c>
      <c r="D65" s="308" t="n">
        <f aca="false">I42</f>
        <v>0</v>
      </c>
    </row>
    <row r="66" customFormat="false" ht="18.75" hidden="false" customHeight="false" outlineLevel="0" collapsed="false">
      <c r="A66" s="305" t="n">
        <v>4</v>
      </c>
      <c r="B66" s="309" t="s">
        <v>493</v>
      </c>
      <c r="C66" s="308" t="n">
        <f aca="false">J17</f>
        <v>0</v>
      </c>
      <c r="D66" s="308" t="n">
        <f aca="false">J42</f>
        <v>0</v>
      </c>
    </row>
    <row r="67" customFormat="false" ht="18.75" hidden="false" customHeight="false" outlineLevel="0" collapsed="false">
      <c r="A67" s="303"/>
      <c r="B67" s="303" t="s">
        <v>494</v>
      </c>
      <c r="C67" s="310" t="n">
        <f aca="false">SUM(C63:C66)</f>
        <v>854990000</v>
      </c>
      <c r="D67" s="310" t="n">
        <f aca="false">SUM(D63:D66)</f>
        <v>854990000</v>
      </c>
    </row>
  </sheetData>
  <mergeCells count="14">
    <mergeCell ref="C3:D3"/>
    <mergeCell ref="E3:G3"/>
    <mergeCell ref="H3:J3"/>
    <mergeCell ref="L3:L4"/>
    <mergeCell ref="M3:N3"/>
    <mergeCell ref="C19:E19"/>
    <mergeCell ref="F19:H19"/>
    <mergeCell ref="C28:D28"/>
    <mergeCell ref="E28:G28"/>
    <mergeCell ref="H28:J28"/>
    <mergeCell ref="K28:L28"/>
    <mergeCell ref="M28:N28"/>
    <mergeCell ref="C44:E44"/>
    <mergeCell ref="F44:H4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90"/>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pane xSplit="3" ySplit="1" topLeftCell="D26" activePane="bottomRight" state="frozen"/>
      <selection pane="topLeft" activeCell="A1" activeCellId="0" sqref="A1"/>
      <selection pane="topRight" activeCell="D1" activeCellId="0" sqref="D1"/>
      <selection pane="bottomLeft" activeCell="A26" activeCellId="0" sqref="A26"/>
      <selection pane="bottomRight" activeCell="C20" activeCellId="0" sqref="C20"/>
    </sheetView>
  </sheetViews>
  <sheetFormatPr defaultColWidth="9.1484375" defaultRowHeight="15" customHeight="false" zeroHeight="false" outlineLevelRow="0" outlineLevelCol="0"/>
  <cols>
    <col collapsed="false" customWidth="true" hidden="false" outlineLevel="0" max="1" min="1" style="1" width="8.71"/>
    <col collapsed="false" customWidth="true" hidden="false" outlineLevel="0" max="2" min="2" style="1" width="55"/>
    <col collapsed="false" customWidth="true" hidden="false" outlineLevel="0" max="3" min="3" style="1" width="87.71"/>
    <col collapsed="false" customWidth="true" hidden="false" outlineLevel="0" max="4" min="4" style="1" width="7.42"/>
    <col collapsed="false" customWidth="true" hidden="false" outlineLevel="0" max="5" min="5" style="1" width="15.14"/>
    <col collapsed="false" customWidth="true" hidden="false" outlineLevel="0" max="6" min="6" style="1" width="13.86"/>
    <col collapsed="false" customWidth="true" hidden="false" outlineLevel="0" max="7" min="7" style="1" width="19.71"/>
    <col collapsed="false" customWidth="true" hidden="false" outlineLevel="0" max="8" min="8" style="1" width="13.86"/>
    <col collapsed="false" customWidth="true" hidden="false" outlineLevel="0" max="9" min="9" style="1" width="18.57"/>
    <col collapsed="false" customWidth="true" hidden="false" outlineLevel="0" max="10" min="10" style="1" width="18.42"/>
    <col collapsed="false" customWidth="true" hidden="false" outlineLevel="0" max="11" min="11" style="1" width="18.57"/>
    <col collapsed="false" customWidth="true" hidden="false" outlineLevel="0" max="12" min="12" style="1" width="11.29"/>
    <col collapsed="false" customWidth="true" hidden="false" outlineLevel="0" max="13" min="13" style="1" width="13.86"/>
    <col collapsed="false" customWidth="true" hidden="false" outlineLevel="0" max="14" min="14" style="1" width="41.71"/>
    <col collapsed="false" customWidth="true" hidden="false" outlineLevel="0" max="17" min="17" style="1" width="12.15"/>
  </cols>
  <sheetData>
    <row r="1" s="24" customFormat="true" ht="15" hidden="false" customHeight="false" outlineLevel="0" collapsed="false">
      <c r="A1" s="311" t="s">
        <v>161</v>
      </c>
      <c r="B1" s="311" t="s">
        <v>514</v>
      </c>
      <c r="C1" s="311" t="s">
        <v>515</v>
      </c>
      <c r="D1" s="311" t="s">
        <v>11</v>
      </c>
      <c r="E1" s="311" t="s">
        <v>516</v>
      </c>
      <c r="F1" s="311" t="s">
        <v>160</v>
      </c>
      <c r="G1" s="311" t="s">
        <v>517</v>
      </c>
      <c r="H1" s="311" t="s">
        <v>518</v>
      </c>
      <c r="I1" s="311" t="s">
        <v>519</v>
      </c>
      <c r="J1" s="311" t="s">
        <v>520</v>
      </c>
      <c r="K1" s="311" t="s">
        <v>521</v>
      </c>
      <c r="L1" s="311" t="s">
        <v>522</v>
      </c>
      <c r="M1" s="311" t="s">
        <v>166</v>
      </c>
      <c r="N1" s="312" t="s">
        <v>523</v>
      </c>
      <c r="O1" s="1"/>
      <c r="P1" s="1"/>
      <c r="Q1" s="1"/>
    </row>
    <row r="2" s="24" customFormat="true" ht="26.85" hidden="false" customHeight="false" outlineLevel="0" collapsed="false">
      <c r="A2" s="313" t="s">
        <v>3</v>
      </c>
      <c r="B2" s="313" t="s">
        <v>524</v>
      </c>
      <c r="C2" s="313" t="s">
        <v>525</v>
      </c>
      <c r="D2" s="313"/>
      <c r="E2" s="313"/>
      <c r="F2" s="314"/>
      <c r="G2" s="315"/>
      <c r="H2" s="314"/>
      <c r="I2" s="313"/>
      <c r="J2" s="314"/>
      <c r="K2" s="313"/>
      <c r="L2" s="313"/>
      <c r="M2" s="314"/>
      <c r="N2" s="313" t="s">
        <v>526</v>
      </c>
      <c r="P2" s="316"/>
      <c r="Q2" s="316"/>
    </row>
    <row r="3" s="24" customFormat="true" ht="39.55" hidden="false" customHeight="false" outlineLevel="0" collapsed="false">
      <c r="A3" s="313" t="s">
        <v>5</v>
      </c>
      <c r="B3" s="313" t="s">
        <v>527</v>
      </c>
      <c r="C3" s="313" t="s">
        <v>528</v>
      </c>
      <c r="D3" s="313" t="s">
        <v>529</v>
      </c>
      <c r="E3" s="313"/>
      <c r="F3" s="314"/>
      <c r="G3" s="315"/>
      <c r="H3" s="314"/>
      <c r="I3" s="313"/>
      <c r="J3" s="314"/>
      <c r="K3" s="313"/>
      <c r="L3" s="313"/>
      <c r="M3" s="314"/>
      <c r="N3" s="313" t="s">
        <v>530</v>
      </c>
      <c r="O3" s="317"/>
    </row>
    <row r="4" s="24" customFormat="true" ht="26.85" hidden="false" customHeight="false" outlineLevel="0" collapsed="false">
      <c r="A4" s="313" t="s">
        <v>5</v>
      </c>
      <c r="B4" s="313" t="s">
        <v>531</v>
      </c>
      <c r="C4" s="313" t="s">
        <v>532</v>
      </c>
      <c r="D4" s="313" t="s">
        <v>529</v>
      </c>
      <c r="E4" s="313" t="s">
        <v>144</v>
      </c>
      <c r="F4" s="314" t="n">
        <v>854990000</v>
      </c>
      <c r="G4" s="315" t="s">
        <v>491</v>
      </c>
      <c r="H4" s="314" t="n">
        <v>854990000</v>
      </c>
      <c r="I4" s="313" t="s">
        <v>144</v>
      </c>
      <c r="J4" s="314" t="n">
        <v>0</v>
      </c>
      <c r="K4" s="313" t="s">
        <v>533</v>
      </c>
      <c r="L4" s="313" t="s">
        <v>534</v>
      </c>
      <c r="M4" s="314" t="n">
        <f aca="false">SUM(H4+J4)</f>
        <v>854990000</v>
      </c>
      <c r="N4" s="313" t="s">
        <v>535</v>
      </c>
      <c r="O4" s="316"/>
    </row>
    <row r="5" s="24" customFormat="true" ht="15" hidden="false" customHeight="false" outlineLevel="0" collapsed="false">
      <c r="A5" s="315"/>
      <c r="B5" s="313"/>
      <c r="C5" s="313"/>
      <c r="D5" s="315"/>
      <c r="E5" s="313"/>
      <c r="F5" s="318"/>
      <c r="G5" s="315"/>
      <c r="H5" s="319"/>
      <c r="I5" s="313"/>
      <c r="J5" s="320"/>
      <c r="K5" s="320"/>
      <c r="L5" s="315"/>
      <c r="M5" s="318"/>
      <c r="N5" s="313"/>
    </row>
    <row r="6" s="24" customFormat="true" ht="15" hidden="false" customHeight="false" outlineLevel="0" collapsed="false">
      <c r="A6" s="321"/>
      <c r="B6" s="321"/>
      <c r="C6" s="321"/>
      <c r="D6" s="321"/>
      <c r="E6" s="321"/>
      <c r="F6" s="321"/>
      <c r="G6" s="321"/>
      <c r="H6" s="321"/>
      <c r="I6" s="321"/>
      <c r="J6" s="321"/>
      <c r="K6" s="321"/>
      <c r="L6" s="321"/>
      <c r="M6" s="321"/>
      <c r="N6" s="321"/>
    </row>
    <row r="7" s="24" customFormat="true" ht="15" hidden="false" customHeight="false" outlineLevel="0" collapsed="false">
      <c r="A7" s="321"/>
      <c r="B7" s="321"/>
      <c r="C7" s="321"/>
      <c r="D7" s="321"/>
      <c r="E7" s="321"/>
      <c r="F7" s="321"/>
      <c r="G7" s="321"/>
      <c r="H7" s="321"/>
      <c r="I7" s="321"/>
      <c r="J7" s="321"/>
      <c r="K7" s="321"/>
      <c r="L7" s="321"/>
      <c r="M7" s="321"/>
      <c r="N7" s="321"/>
    </row>
    <row r="8" s="24" customFormat="true" ht="15" hidden="false" customHeight="false" outlineLevel="0" collapsed="false">
      <c r="A8" s="321"/>
      <c r="B8" s="321"/>
      <c r="C8" s="321"/>
      <c r="D8" s="321"/>
      <c r="E8" s="321"/>
      <c r="F8" s="321"/>
      <c r="G8" s="321"/>
      <c r="H8" s="321"/>
      <c r="I8" s="321"/>
      <c r="J8" s="321"/>
      <c r="K8" s="321"/>
      <c r="L8" s="321"/>
      <c r="M8" s="321"/>
      <c r="N8" s="321"/>
    </row>
    <row r="9" s="24" customFormat="true" ht="15" hidden="false" customHeight="false" outlineLevel="0" collapsed="false">
      <c r="A9" s="321"/>
      <c r="B9" s="321"/>
      <c r="C9" s="321"/>
      <c r="D9" s="321"/>
      <c r="E9" s="321"/>
      <c r="F9" s="321"/>
      <c r="G9" s="321"/>
      <c r="H9" s="321"/>
      <c r="I9" s="321"/>
      <c r="J9" s="321"/>
      <c r="K9" s="321"/>
      <c r="L9" s="321"/>
      <c r="M9" s="321"/>
      <c r="N9" s="321"/>
    </row>
    <row r="10" s="24" customFormat="true" ht="15" hidden="false" customHeight="false" outlineLevel="0" collapsed="false">
      <c r="A10" s="321"/>
      <c r="B10" s="321"/>
      <c r="C10" s="321"/>
      <c r="D10" s="321"/>
      <c r="E10" s="321"/>
      <c r="F10" s="321"/>
      <c r="G10" s="321"/>
      <c r="H10" s="321"/>
      <c r="I10" s="321"/>
      <c r="J10" s="321"/>
      <c r="K10" s="321"/>
      <c r="L10" s="321"/>
      <c r="M10" s="321"/>
      <c r="N10" s="321"/>
    </row>
    <row r="11" s="24" customFormat="true" ht="15" hidden="false" customHeight="false" outlineLevel="0" collapsed="false">
      <c r="A11" s="321"/>
      <c r="B11" s="321"/>
      <c r="C11" s="321"/>
      <c r="D11" s="321"/>
      <c r="E11" s="321"/>
      <c r="F11" s="321"/>
      <c r="G11" s="321"/>
      <c r="H11" s="321"/>
      <c r="I11" s="321"/>
      <c r="J11" s="321"/>
      <c r="K11" s="321"/>
      <c r="L11" s="321"/>
      <c r="M11" s="321"/>
      <c r="N11" s="321"/>
    </row>
    <row r="12" s="24" customFormat="true" ht="15" hidden="false" customHeight="false" outlineLevel="0" collapsed="false">
      <c r="A12" s="321"/>
      <c r="B12" s="321"/>
      <c r="C12" s="321"/>
      <c r="D12" s="321"/>
      <c r="E12" s="321"/>
      <c r="F12" s="321"/>
      <c r="G12" s="321"/>
      <c r="H12" s="321"/>
      <c r="I12" s="321"/>
      <c r="J12" s="321"/>
      <c r="K12" s="321"/>
      <c r="L12" s="321"/>
      <c r="M12" s="321"/>
      <c r="N12" s="321"/>
    </row>
    <row r="13" s="24" customFormat="true" ht="15" hidden="false" customHeight="false" outlineLevel="0" collapsed="false">
      <c r="A13" s="321"/>
      <c r="B13" s="322"/>
      <c r="C13" s="322"/>
      <c r="D13" s="321"/>
      <c r="E13" s="321"/>
      <c r="F13" s="321"/>
      <c r="G13" s="321"/>
      <c r="H13" s="323"/>
      <c r="I13" s="321"/>
      <c r="J13" s="321"/>
      <c r="K13" s="321"/>
      <c r="L13" s="321"/>
      <c r="M13" s="321"/>
      <c r="N13" s="321"/>
    </row>
    <row r="14" s="24" customFormat="true" ht="15" hidden="false" customHeight="false" outlineLevel="0" collapsed="false">
      <c r="A14" s="321"/>
      <c r="B14" s="322"/>
      <c r="C14" s="322"/>
      <c r="D14" s="321"/>
      <c r="E14" s="321"/>
      <c r="F14" s="321"/>
      <c r="G14" s="321"/>
      <c r="H14" s="323"/>
      <c r="I14" s="321"/>
      <c r="J14" s="321"/>
      <c r="K14" s="321"/>
      <c r="L14" s="321"/>
      <c r="M14" s="321"/>
      <c r="N14" s="321"/>
    </row>
    <row r="15" s="24" customFormat="true" ht="15" hidden="false" customHeight="false" outlineLevel="0" collapsed="false">
      <c r="A15" s="321"/>
      <c r="B15" s="322"/>
      <c r="C15" s="322"/>
      <c r="D15" s="321"/>
      <c r="E15" s="321"/>
      <c r="F15" s="321"/>
      <c r="G15" s="321"/>
      <c r="H15" s="323"/>
      <c r="I15" s="321"/>
      <c r="J15" s="321"/>
      <c r="K15" s="321"/>
      <c r="L15" s="321"/>
      <c r="M15" s="321"/>
      <c r="N15" s="321"/>
    </row>
    <row r="16" s="24" customFormat="true" ht="15" hidden="false" customHeight="false" outlineLevel="0" collapsed="false">
      <c r="A16" s="321"/>
      <c r="B16" s="322"/>
      <c r="C16" s="322"/>
      <c r="D16" s="321"/>
      <c r="E16" s="321"/>
      <c r="F16" s="321"/>
      <c r="G16" s="321"/>
      <c r="H16" s="323"/>
      <c r="I16" s="321"/>
      <c r="J16" s="321"/>
      <c r="K16" s="321"/>
      <c r="L16" s="321"/>
      <c r="M16" s="321"/>
      <c r="N16" s="321"/>
    </row>
    <row r="17" s="24" customFormat="true" ht="15" hidden="false" customHeight="false" outlineLevel="0" collapsed="false">
      <c r="A17" s="321"/>
      <c r="B17" s="322"/>
      <c r="C17" s="322"/>
      <c r="D17" s="321"/>
      <c r="E17" s="321"/>
      <c r="F17" s="321"/>
      <c r="G17" s="321"/>
      <c r="H17" s="323"/>
      <c r="I17" s="321"/>
      <c r="J17" s="321"/>
      <c r="K17" s="321"/>
      <c r="L17" s="321"/>
      <c r="M17" s="321"/>
      <c r="N17" s="321"/>
    </row>
    <row r="18" s="24" customFormat="true" ht="15" hidden="false" customHeight="false" outlineLevel="0" collapsed="false">
      <c r="A18" s="321"/>
      <c r="B18" s="322"/>
      <c r="C18" s="322"/>
      <c r="D18" s="321"/>
      <c r="E18" s="321"/>
      <c r="F18" s="321"/>
      <c r="G18" s="321"/>
      <c r="H18" s="323"/>
      <c r="I18" s="321"/>
      <c r="J18" s="321"/>
      <c r="K18" s="321"/>
      <c r="L18" s="321"/>
      <c r="M18" s="321"/>
      <c r="N18" s="321"/>
    </row>
    <row r="19" s="24" customFormat="true" ht="15" hidden="false" customHeight="false" outlineLevel="0" collapsed="false">
      <c r="A19" s="321"/>
      <c r="B19" s="322"/>
      <c r="C19" s="322"/>
      <c r="D19" s="321"/>
      <c r="E19" s="321"/>
      <c r="F19" s="321"/>
      <c r="G19" s="321"/>
      <c r="H19" s="323"/>
      <c r="I19" s="321"/>
      <c r="J19" s="321"/>
      <c r="K19" s="321"/>
      <c r="L19" s="321"/>
      <c r="M19" s="321"/>
      <c r="N19" s="321"/>
    </row>
    <row r="20" s="24" customFormat="true" ht="15" hidden="false" customHeight="false" outlineLevel="0" collapsed="false">
      <c r="A20" s="321"/>
      <c r="B20" s="322"/>
      <c r="C20" s="322"/>
      <c r="D20" s="321"/>
      <c r="E20" s="321"/>
      <c r="F20" s="321"/>
      <c r="G20" s="321"/>
      <c r="H20" s="323"/>
      <c r="I20" s="321"/>
      <c r="J20" s="321"/>
      <c r="K20" s="321"/>
      <c r="L20" s="321"/>
      <c r="M20" s="321"/>
      <c r="N20" s="321"/>
    </row>
    <row r="21" s="24" customFormat="true" ht="15" hidden="false" customHeight="false" outlineLevel="0" collapsed="false">
      <c r="A21" s="321"/>
      <c r="B21" s="322"/>
      <c r="C21" s="322"/>
      <c r="D21" s="321"/>
      <c r="E21" s="321"/>
      <c r="F21" s="321"/>
      <c r="G21" s="321"/>
      <c r="H21" s="323"/>
      <c r="I21" s="321"/>
      <c r="J21" s="321"/>
      <c r="K21" s="321"/>
      <c r="L21" s="321"/>
      <c r="M21" s="321"/>
      <c r="N21" s="321"/>
    </row>
    <row r="22" s="24" customFormat="true" ht="15" hidden="false" customHeight="false" outlineLevel="0" collapsed="false">
      <c r="A22" s="321"/>
      <c r="B22" s="322"/>
      <c r="C22" s="322"/>
      <c r="D22" s="321"/>
      <c r="E22" s="321"/>
      <c r="F22" s="321"/>
      <c r="G22" s="321"/>
      <c r="H22" s="323"/>
      <c r="I22" s="321"/>
      <c r="J22" s="321"/>
      <c r="K22" s="321"/>
      <c r="L22" s="321"/>
      <c r="M22" s="321"/>
      <c r="N22" s="321"/>
    </row>
    <row r="23" s="24" customFormat="true" ht="15" hidden="false" customHeight="false" outlineLevel="0" collapsed="false">
      <c r="A23" s="321"/>
      <c r="B23" s="322"/>
      <c r="C23" s="322"/>
      <c r="D23" s="321"/>
      <c r="E23" s="321"/>
      <c r="F23" s="321"/>
      <c r="G23" s="321"/>
      <c r="H23" s="323"/>
      <c r="I23" s="321"/>
      <c r="J23" s="321"/>
      <c r="K23" s="321"/>
      <c r="L23" s="321"/>
      <c r="M23" s="321"/>
      <c r="N23" s="321"/>
    </row>
    <row r="24" s="24" customFormat="true" ht="15" hidden="false" customHeight="false" outlineLevel="0" collapsed="false">
      <c r="A24" s="321"/>
      <c r="B24" s="322"/>
      <c r="C24" s="322"/>
      <c r="D24" s="321"/>
      <c r="E24" s="321"/>
      <c r="F24" s="321"/>
      <c r="G24" s="321"/>
      <c r="H24" s="323"/>
      <c r="I24" s="321"/>
      <c r="J24" s="321"/>
      <c r="K24" s="321"/>
      <c r="L24" s="321"/>
      <c r="M24" s="321"/>
      <c r="N24" s="321"/>
    </row>
    <row r="25" s="24" customFormat="true" ht="15" hidden="false" customHeight="false" outlineLevel="0" collapsed="false">
      <c r="A25" s="316"/>
      <c r="B25" s="316"/>
      <c r="C25" s="316"/>
      <c r="E25" s="316"/>
      <c r="F25" s="321"/>
      <c r="G25" s="316"/>
      <c r="H25" s="104"/>
      <c r="I25" s="321"/>
      <c r="J25" s="321"/>
      <c r="K25" s="321"/>
      <c r="L25" s="321"/>
      <c r="M25" s="321"/>
      <c r="N25" s="321"/>
    </row>
    <row r="26" s="24" customFormat="true" ht="15" hidden="false" customHeight="false" outlineLevel="0" collapsed="false">
      <c r="A26" s="316"/>
      <c r="B26" s="316"/>
      <c r="C26" s="316"/>
      <c r="E26" s="316"/>
      <c r="F26" s="321"/>
      <c r="G26" s="324"/>
      <c r="H26" s="104"/>
      <c r="I26" s="321"/>
      <c r="J26" s="321"/>
      <c r="K26" s="321"/>
      <c r="L26" s="321"/>
      <c r="M26" s="321"/>
      <c r="N26" s="321"/>
    </row>
    <row r="27" s="24" customFormat="true" ht="15" hidden="false" customHeight="false" outlineLevel="0" collapsed="false">
      <c r="A27" s="316"/>
      <c r="B27" s="316"/>
      <c r="C27" s="316"/>
      <c r="E27" s="316"/>
      <c r="F27" s="321"/>
      <c r="G27" s="316"/>
      <c r="H27" s="104"/>
      <c r="I27" s="321"/>
      <c r="J27" s="321"/>
      <c r="K27" s="321"/>
      <c r="L27" s="321"/>
      <c r="M27" s="321"/>
      <c r="N27" s="321"/>
    </row>
    <row r="28" s="24" customFormat="true" ht="15" hidden="false" customHeight="false" outlineLevel="0" collapsed="false">
      <c r="A28" s="316"/>
      <c r="B28" s="316"/>
      <c r="C28" s="316"/>
      <c r="E28" s="316"/>
      <c r="F28" s="321"/>
      <c r="G28" s="316"/>
      <c r="H28" s="104"/>
      <c r="I28" s="321"/>
      <c r="J28" s="321"/>
      <c r="K28" s="321"/>
      <c r="L28" s="321"/>
      <c r="M28" s="321"/>
      <c r="N28" s="321"/>
    </row>
    <row r="29" s="24" customFormat="true" ht="15" hidden="false" customHeight="false" outlineLevel="0" collapsed="false">
      <c r="A29" s="316"/>
      <c r="B29" s="316"/>
      <c r="C29" s="316"/>
      <c r="E29" s="316"/>
      <c r="F29" s="321"/>
      <c r="G29" s="316"/>
      <c r="H29" s="104"/>
      <c r="I29" s="321"/>
      <c r="J29" s="321"/>
      <c r="K29" s="321"/>
      <c r="L29" s="321"/>
      <c r="M29" s="321"/>
      <c r="N29" s="321"/>
    </row>
    <row r="30" s="24" customFormat="true" ht="15" hidden="false" customHeight="false" outlineLevel="0" collapsed="false">
      <c r="A30" s="316"/>
      <c r="B30" s="316"/>
      <c r="C30" s="316"/>
      <c r="E30" s="316"/>
      <c r="F30" s="321"/>
      <c r="G30" s="316"/>
      <c r="H30" s="104"/>
      <c r="I30" s="321"/>
      <c r="J30" s="321"/>
      <c r="K30" s="321"/>
      <c r="L30" s="321"/>
      <c r="M30" s="321"/>
      <c r="N30" s="321"/>
    </row>
    <row r="31" s="24" customFormat="true" ht="15" hidden="false" customHeight="false" outlineLevel="0" collapsed="false">
      <c r="A31" s="316"/>
      <c r="B31" s="316"/>
      <c r="C31" s="316"/>
      <c r="E31" s="316"/>
      <c r="F31" s="321"/>
      <c r="G31" s="316"/>
      <c r="H31" s="104"/>
      <c r="I31" s="321"/>
      <c r="J31" s="321"/>
      <c r="K31" s="321"/>
      <c r="L31" s="321"/>
      <c r="M31" s="321"/>
      <c r="N31" s="321"/>
    </row>
    <row r="32" customFormat="false" ht="15" hidden="false" customHeight="false" outlineLevel="0" collapsed="false">
      <c r="A32" s="325" t="s">
        <v>161</v>
      </c>
      <c r="B32" s="325" t="s">
        <v>514</v>
      </c>
      <c r="C32" s="325" t="s">
        <v>515</v>
      </c>
      <c r="D32" s="325" t="s">
        <v>11</v>
      </c>
      <c r="E32" s="325" t="s">
        <v>516</v>
      </c>
      <c r="F32" s="325" t="s">
        <v>160</v>
      </c>
      <c r="G32" s="325" t="s">
        <v>517</v>
      </c>
      <c r="H32" s="325" t="s">
        <v>518</v>
      </c>
      <c r="I32" s="325" t="s">
        <v>519</v>
      </c>
      <c r="J32" s="325" t="s">
        <v>520</v>
      </c>
      <c r="K32" s="325" t="s">
        <v>521</v>
      </c>
      <c r="L32" s="325" t="s">
        <v>536</v>
      </c>
      <c r="M32" s="325" t="s">
        <v>166</v>
      </c>
      <c r="N32" s="325" t="s">
        <v>523</v>
      </c>
      <c r="O32" s="24" t="s">
        <v>537</v>
      </c>
      <c r="P32" s="24"/>
      <c r="Q32" s="24"/>
    </row>
    <row r="33" customFormat="false" ht="15" hidden="false" customHeight="false" outlineLevel="0" collapsed="false">
      <c r="A33" s="315" t="s">
        <v>5</v>
      </c>
      <c r="B33" s="313" t="s">
        <v>538</v>
      </c>
      <c r="C33" s="315" t="s">
        <v>539</v>
      </c>
      <c r="D33" s="315" t="s">
        <v>529</v>
      </c>
      <c r="E33" s="315" t="s">
        <v>540</v>
      </c>
      <c r="F33" s="318" t="n">
        <v>1065600000</v>
      </c>
      <c r="G33" s="315" t="s">
        <v>541</v>
      </c>
      <c r="H33" s="319"/>
      <c r="I33" s="320"/>
      <c r="J33" s="320"/>
      <c r="K33" s="320"/>
      <c r="L33" s="315" t="s">
        <v>534</v>
      </c>
      <c r="M33" s="326" t="n">
        <f aca="false">SUM(H33+J33)</f>
        <v>0</v>
      </c>
      <c r="N33" s="313" t="s">
        <v>542</v>
      </c>
      <c r="O33" s="24" t="s">
        <v>537</v>
      </c>
      <c r="P33" s="24"/>
      <c r="Q33" s="24"/>
    </row>
    <row r="34" customFormat="false" ht="15" hidden="false" customHeight="false" outlineLevel="0" collapsed="false">
      <c r="A34" s="315" t="s">
        <v>5</v>
      </c>
      <c r="B34" s="313" t="s">
        <v>543</v>
      </c>
      <c r="C34" s="315" t="s">
        <v>544</v>
      </c>
      <c r="D34" s="315" t="s">
        <v>545</v>
      </c>
      <c r="E34" s="315" t="s">
        <v>540</v>
      </c>
      <c r="F34" s="318" t="n">
        <v>20000000</v>
      </c>
      <c r="G34" s="315" t="s">
        <v>541</v>
      </c>
      <c r="H34" s="319" t="n">
        <v>20000000</v>
      </c>
      <c r="I34" s="320" t="s">
        <v>144</v>
      </c>
      <c r="J34" s="319"/>
      <c r="K34" s="320" t="s">
        <v>533</v>
      </c>
      <c r="L34" s="315" t="s">
        <v>534</v>
      </c>
      <c r="M34" s="326" t="n">
        <f aca="false">SUM(H34+J34)</f>
        <v>20000000</v>
      </c>
      <c r="N34" s="315"/>
      <c r="O34" s="24"/>
      <c r="P34" s="24"/>
      <c r="Q34" s="24"/>
    </row>
    <row r="35" customFormat="false" ht="26.85" hidden="false" customHeight="false" outlineLevel="0" collapsed="false">
      <c r="A35" s="315" t="s">
        <v>3</v>
      </c>
      <c r="B35" s="313" t="s">
        <v>546</v>
      </c>
      <c r="C35" s="315" t="s">
        <v>547</v>
      </c>
      <c r="D35" s="315" t="s">
        <v>545</v>
      </c>
      <c r="E35" s="315" t="s">
        <v>540</v>
      </c>
      <c r="F35" s="318" t="n">
        <v>60000000</v>
      </c>
      <c r="G35" s="315" t="s">
        <v>541</v>
      </c>
      <c r="H35" s="319" t="n">
        <v>60000000</v>
      </c>
      <c r="I35" s="320" t="s">
        <v>143</v>
      </c>
      <c r="J35" s="319"/>
      <c r="K35" s="320" t="s">
        <v>533</v>
      </c>
      <c r="L35" s="315" t="s">
        <v>534</v>
      </c>
      <c r="M35" s="326" t="n">
        <f aca="false">SUM(H35+J35)</f>
        <v>60000000</v>
      </c>
      <c r="N35" s="315"/>
      <c r="O35" s="24"/>
      <c r="P35" s="24"/>
      <c r="Q35" s="24"/>
    </row>
    <row r="36" customFormat="false" ht="15" hidden="false" customHeight="false" outlineLevel="0" collapsed="false">
      <c r="A36" s="315" t="s">
        <v>5</v>
      </c>
      <c r="B36" s="313" t="s">
        <v>548</v>
      </c>
      <c r="C36" s="315" t="s">
        <v>549</v>
      </c>
      <c r="D36" s="315" t="s">
        <v>545</v>
      </c>
      <c r="E36" s="315" t="s">
        <v>540</v>
      </c>
      <c r="F36" s="318" t="n">
        <v>500000000</v>
      </c>
      <c r="G36" s="315" t="s">
        <v>541</v>
      </c>
      <c r="H36" s="319" t="n">
        <v>150000000</v>
      </c>
      <c r="I36" s="320" t="s">
        <v>144</v>
      </c>
      <c r="J36" s="319"/>
      <c r="K36" s="320" t="s">
        <v>533</v>
      </c>
      <c r="L36" s="315" t="s">
        <v>534</v>
      </c>
      <c r="M36" s="326" t="n">
        <f aca="false">SUM(H36+J36)</f>
        <v>150000000</v>
      </c>
      <c r="N36" s="315"/>
      <c r="O36" s="24"/>
      <c r="P36" s="24"/>
      <c r="Q36" s="24"/>
    </row>
    <row r="37" customFormat="false" ht="15" hidden="false" customHeight="false" outlineLevel="0" collapsed="false">
      <c r="A37" s="315" t="s">
        <v>3</v>
      </c>
      <c r="B37" s="313" t="s">
        <v>550</v>
      </c>
      <c r="C37" s="315" t="s">
        <v>551</v>
      </c>
      <c r="D37" s="315" t="s">
        <v>545</v>
      </c>
      <c r="E37" s="315" t="s">
        <v>540</v>
      </c>
      <c r="F37" s="318" t="n">
        <v>600000000</v>
      </c>
      <c r="G37" s="315" t="s">
        <v>541</v>
      </c>
      <c r="H37" s="319" t="n">
        <v>180000000</v>
      </c>
      <c r="I37" s="320" t="s">
        <v>141</v>
      </c>
      <c r="J37" s="319" t="n">
        <v>420000000</v>
      </c>
      <c r="K37" s="320" t="s">
        <v>144</v>
      </c>
      <c r="L37" s="315" t="s">
        <v>534</v>
      </c>
      <c r="M37" s="326" t="n">
        <f aca="false">SUM(H37+J37)</f>
        <v>600000000</v>
      </c>
      <c r="N37" s="315"/>
      <c r="O37" s="24"/>
      <c r="P37" s="24"/>
      <c r="Q37" s="24"/>
    </row>
    <row r="38" customFormat="false" ht="15" hidden="false" customHeight="false" outlineLevel="0" collapsed="false">
      <c r="A38" s="315" t="s">
        <v>3</v>
      </c>
      <c r="B38" s="313" t="s">
        <v>552</v>
      </c>
      <c r="C38" s="315" t="s">
        <v>553</v>
      </c>
      <c r="D38" s="315" t="s">
        <v>529</v>
      </c>
      <c r="E38" s="315" t="s">
        <v>540</v>
      </c>
      <c r="F38" s="318" t="n">
        <v>1297300000</v>
      </c>
      <c r="G38" s="315" t="s">
        <v>541</v>
      </c>
      <c r="H38" s="319" t="n">
        <v>389190000</v>
      </c>
      <c r="I38" s="320" t="s">
        <v>144</v>
      </c>
      <c r="J38" s="319" t="n">
        <v>908110000</v>
      </c>
      <c r="K38" s="320" t="s">
        <v>144</v>
      </c>
      <c r="L38" s="315" t="s">
        <v>534</v>
      </c>
      <c r="M38" s="326" t="n">
        <f aca="false">SUM(H38+J38)</f>
        <v>1297300000</v>
      </c>
      <c r="N38" s="315"/>
      <c r="O38" s="24"/>
      <c r="P38" s="24"/>
      <c r="Q38" s="24"/>
    </row>
    <row r="39" customFormat="false" ht="15" hidden="false" customHeight="false" outlineLevel="0" collapsed="false">
      <c r="A39" s="315" t="s">
        <v>3</v>
      </c>
      <c r="B39" s="313" t="s">
        <v>554</v>
      </c>
      <c r="C39" s="315" t="s">
        <v>555</v>
      </c>
      <c r="D39" s="315" t="s">
        <v>529</v>
      </c>
      <c r="E39" s="315" t="s">
        <v>540</v>
      </c>
      <c r="F39" s="318" t="n">
        <v>600000000</v>
      </c>
      <c r="G39" s="315" t="s">
        <v>541</v>
      </c>
      <c r="H39" s="319" t="n">
        <v>180000000</v>
      </c>
      <c r="I39" s="320" t="s">
        <v>144</v>
      </c>
      <c r="J39" s="319"/>
      <c r="K39" s="320" t="s">
        <v>533</v>
      </c>
      <c r="L39" s="315" t="s">
        <v>534</v>
      </c>
      <c r="M39" s="326" t="n">
        <f aca="false">SUM(H39+J39)</f>
        <v>180000000</v>
      </c>
      <c r="N39" s="315"/>
      <c r="O39" s="24"/>
      <c r="P39" s="24"/>
      <c r="Q39" s="24"/>
    </row>
    <row r="40" customFormat="false" ht="15" hidden="false" customHeight="false" outlineLevel="0" collapsed="false">
      <c r="A40" s="315" t="s">
        <v>3</v>
      </c>
      <c r="B40" s="313" t="s">
        <v>556</v>
      </c>
      <c r="C40" s="315" t="s">
        <v>557</v>
      </c>
      <c r="D40" s="315" t="s">
        <v>529</v>
      </c>
      <c r="E40" s="315" t="s">
        <v>540</v>
      </c>
      <c r="F40" s="318" t="n">
        <v>600000000</v>
      </c>
      <c r="G40" s="315" t="s">
        <v>541</v>
      </c>
      <c r="H40" s="319" t="n">
        <v>180000000</v>
      </c>
      <c r="I40" s="320" t="s">
        <v>144</v>
      </c>
      <c r="J40" s="319"/>
      <c r="K40" s="320" t="s">
        <v>533</v>
      </c>
      <c r="L40" s="315" t="s">
        <v>534</v>
      </c>
      <c r="M40" s="326" t="n">
        <f aca="false">SUM(H40+J40)</f>
        <v>180000000</v>
      </c>
      <c r="N40" s="315"/>
      <c r="O40" s="24"/>
      <c r="P40" s="24"/>
      <c r="Q40" s="24"/>
    </row>
    <row r="41" customFormat="false" ht="15" hidden="false" customHeight="false" outlineLevel="0" collapsed="false">
      <c r="A41" s="315" t="s">
        <v>3</v>
      </c>
      <c r="B41" s="313" t="s">
        <v>558</v>
      </c>
      <c r="C41" s="315" t="s">
        <v>559</v>
      </c>
      <c r="D41" s="315" t="s">
        <v>545</v>
      </c>
      <c r="E41" s="315" t="s">
        <v>540</v>
      </c>
      <c r="F41" s="318" t="n">
        <v>259700000</v>
      </c>
      <c r="G41" s="315" t="s">
        <v>541</v>
      </c>
      <c r="H41" s="319" t="n">
        <v>77910000</v>
      </c>
      <c r="I41" s="320" t="s">
        <v>141</v>
      </c>
      <c r="J41" s="319" t="n">
        <v>181790000</v>
      </c>
      <c r="K41" s="320" t="s">
        <v>143</v>
      </c>
      <c r="L41" s="315" t="s">
        <v>534</v>
      </c>
      <c r="M41" s="326" t="n">
        <f aca="false">SUM(H41+J41)</f>
        <v>259700000</v>
      </c>
      <c r="N41" s="315"/>
      <c r="O41" s="24"/>
      <c r="P41" s="24"/>
      <c r="Q41" s="24"/>
    </row>
    <row r="42" customFormat="false" ht="15" hidden="false" customHeight="false" outlineLevel="0" collapsed="false">
      <c r="A42" s="315" t="s">
        <v>3</v>
      </c>
      <c r="B42" s="313" t="s">
        <v>560</v>
      </c>
      <c r="C42" s="315" t="s">
        <v>561</v>
      </c>
      <c r="D42" s="315" t="s">
        <v>529</v>
      </c>
      <c r="E42" s="315" t="s">
        <v>540</v>
      </c>
      <c r="F42" s="318" t="n">
        <v>5550000000</v>
      </c>
      <c r="G42" s="315" t="s">
        <v>541</v>
      </c>
      <c r="H42" s="319"/>
      <c r="I42" s="320"/>
      <c r="J42" s="320"/>
      <c r="K42" s="320"/>
      <c r="L42" s="315" t="s">
        <v>534</v>
      </c>
      <c r="M42" s="326" t="n">
        <f aca="false">SUM(H42+J42)</f>
        <v>0</v>
      </c>
      <c r="N42" s="313" t="s">
        <v>562</v>
      </c>
      <c r="O42" s="24" t="s">
        <v>563</v>
      </c>
      <c r="P42" s="24"/>
      <c r="Q42" s="24"/>
    </row>
    <row r="43" customFormat="false" ht="26.85" hidden="false" customHeight="false" outlineLevel="0" collapsed="false">
      <c r="A43" s="315" t="s">
        <v>3</v>
      </c>
      <c r="B43" s="313" t="s">
        <v>564</v>
      </c>
      <c r="C43" s="315" t="s">
        <v>565</v>
      </c>
      <c r="D43" s="315" t="s">
        <v>529</v>
      </c>
      <c r="E43" s="315" t="s">
        <v>540</v>
      </c>
      <c r="F43" s="318" t="n">
        <v>160000000</v>
      </c>
      <c r="G43" s="315" t="s">
        <v>541</v>
      </c>
      <c r="H43" s="319"/>
      <c r="I43" s="320"/>
      <c r="J43" s="320"/>
      <c r="K43" s="320"/>
      <c r="L43" s="315" t="s">
        <v>534</v>
      </c>
      <c r="M43" s="326" t="n">
        <f aca="false">SUM(H43+J43)</f>
        <v>0</v>
      </c>
      <c r="N43" s="313" t="s">
        <v>566</v>
      </c>
      <c r="O43" s="24" t="s">
        <v>563</v>
      </c>
    </row>
    <row r="44" customFormat="false" ht="17.25" hidden="false" customHeight="true" outlineLevel="0" collapsed="false">
      <c r="A44" s="315" t="s">
        <v>5</v>
      </c>
      <c r="B44" s="313" t="s">
        <v>543</v>
      </c>
      <c r="C44" s="315" t="s">
        <v>567</v>
      </c>
      <c r="D44" s="315" t="s">
        <v>545</v>
      </c>
      <c r="E44" s="315" t="s">
        <v>540</v>
      </c>
      <c r="F44" s="318" t="n">
        <v>50000000</v>
      </c>
      <c r="G44" s="315" t="s">
        <v>541</v>
      </c>
      <c r="H44" s="319" t="n">
        <v>50000000</v>
      </c>
      <c r="I44" s="320" t="s">
        <v>144</v>
      </c>
      <c r="J44" s="320"/>
      <c r="K44" s="320" t="s">
        <v>533</v>
      </c>
      <c r="L44" s="315" t="s">
        <v>534</v>
      </c>
      <c r="M44" s="326" t="n">
        <f aca="false">SUM(H44+J44)</f>
        <v>50000000</v>
      </c>
      <c r="N44" s="315"/>
    </row>
    <row r="45" customFormat="false" ht="17.25" hidden="false" customHeight="true" outlineLevel="0" collapsed="false">
      <c r="A45" s="315" t="s">
        <v>5</v>
      </c>
      <c r="B45" s="313" t="s">
        <v>543</v>
      </c>
      <c r="C45" s="315" t="s">
        <v>568</v>
      </c>
      <c r="D45" s="315" t="s">
        <v>545</v>
      </c>
      <c r="E45" s="315" t="s">
        <v>540</v>
      </c>
      <c r="F45" s="318" t="n">
        <v>50000000</v>
      </c>
      <c r="G45" s="315" t="s">
        <v>541</v>
      </c>
      <c r="H45" s="319" t="n">
        <v>50000000</v>
      </c>
      <c r="I45" s="320" t="s">
        <v>144</v>
      </c>
      <c r="J45" s="320"/>
      <c r="K45" s="320" t="s">
        <v>533</v>
      </c>
      <c r="L45" s="315" t="s">
        <v>534</v>
      </c>
      <c r="M45" s="326" t="n">
        <f aca="false">SUM(H45+J45)</f>
        <v>50000000</v>
      </c>
      <c r="N45" s="315"/>
    </row>
    <row r="46" customFormat="false" ht="17.25" hidden="false" customHeight="true" outlineLevel="0" collapsed="false">
      <c r="A46" s="315" t="s">
        <v>5</v>
      </c>
      <c r="B46" s="313" t="s">
        <v>543</v>
      </c>
      <c r="C46" s="315" t="s">
        <v>569</v>
      </c>
      <c r="D46" s="315" t="s">
        <v>545</v>
      </c>
      <c r="E46" s="315" t="s">
        <v>540</v>
      </c>
      <c r="F46" s="318" t="n">
        <v>50000000</v>
      </c>
      <c r="G46" s="315" t="s">
        <v>541</v>
      </c>
      <c r="H46" s="319" t="n">
        <v>50000000</v>
      </c>
      <c r="I46" s="320" t="s">
        <v>144</v>
      </c>
      <c r="J46" s="320"/>
      <c r="K46" s="320" t="s">
        <v>533</v>
      </c>
      <c r="L46" s="315" t="s">
        <v>534</v>
      </c>
      <c r="M46" s="326" t="n">
        <f aca="false">SUM(H46+J46)</f>
        <v>50000000</v>
      </c>
      <c r="N46" s="315"/>
    </row>
    <row r="47" customFormat="false" ht="17.25" hidden="false" customHeight="true" outlineLevel="0" collapsed="false">
      <c r="A47" s="315" t="s">
        <v>3</v>
      </c>
      <c r="B47" s="313" t="s">
        <v>570</v>
      </c>
      <c r="C47" s="315" t="s">
        <v>571</v>
      </c>
      <c r="D47" s="315" t="s">
        <v>545</v>
      </c>
      <c r="E47" s="315" t="s">
        <v>540</v>
      </c>
      <c r="F47" s="318" t="n">
        <v>596283000</v>
      </c>
      <c r="G47" s="315" t="s">
        <v>541</v>
      </c>
      <c r="H47" s="319" t="n">
        <v>178884900</v>
      </c>
      <c r="I47" s="320" t="s">
        <v>143</v>
      </c>
      <c r="J47" s="320" t="n">
        <v>417398100</v>
      </c>
      <c r="K47" s="320" t="s">
        <v>144</v>
      </c>
      <c r="L47" s="315" t="s">
        <v>534</v>
      </c>
      <c r="M47" s="326" t="n">
        <f aca="false">SUM(H47+J47)</f>
        <v>596283000</v>
      </c>
      <c r="N47" s="315"/>
    </row>
    <row r="48" customFormat="false" ht="16.5" hidden="false" customHeight="true" outlineLevel="0" collapsed="false">
      <c r="A48" s="315" t="s">
        <v>3</v>
      </c>
      <c r="B48" s="313" t="s">
        <v>570</v>
      </c>
      <c r="C48" s="315" t="s">
        <v>572</v>
      </c>
      <c r="D48" s="315" t="s">
        <v>545</v>
      </c>
      <c r="E48" s="315" t="s">
        <v>540</v>
      </c>
      <c r="F48" s="318" t="n">
        <v>735652000</v>
      </c>
      <c r="G48" s="315" t="s">
        <v>541</v>
      </c>
      <c r="H48" s="319" t="n">
        <v>220695600</v>
      </c>
      <c r="I48" s="320" t="s">
        <v>143</v>
      </c>
      <c r="J48" s="320" t="n">
        <v>514956400</v>
      </c>
      <c r="K48" s="320" t="s">
        <v>144</v>
      </c>
      <c r="L48" s="315" t="s">
        <v>534</v>
      </c>
      <c r="M48" s="326" t="n">
        <f aca="false">SUM(H48+J48)</f>
        <v>735652000</v>
      </c>
      <c r="N48" s="315"/>
    </row>
    <row r="49" customFormat="false" ht="26.85" hidden="false" customHeight="false" outlineLevel="0" collapsed="false">
      <c r="A49" s="315" t="s">
        <v>5</v>
      </c>
      <c r="B49" s="313" t="s">
        <v>573</v>
      </c>
      <c r="C49" s="315" t="s">
        <v>574</v>
      </c>
      <c r="D49" s="315" t="s">
        <v>529</v>
      </c>
      <c r="E49" s="315" t="s">
        <v>540</v>
      </c>
      <c r="F49" s="318" t="n">
        <v>0</v>
      </c>
      <c r="G49" s="315" t="s">
        <v>541</v>
      </c>
      <c r="H49" s="319"/>
      <c r="I49" s="320"/>
      <c r="J49" s="320"/>
      <c r="K49" s="320"/>
      <c r="L49" s="315" t="s">
        <v>534</v>
      </c>
      <c r="M49" s="326" t="n">
        <f aca="false">SUM(H49+J49)</f>
        <v>0</v>
      </c>
      <c r="N49" s="313" t="s">
        <v>575</v>
      </c>
      <c r="O49" s="1" t="s">
        <v>563</v>
      </c>
    </row>
    <row r="50" customFormat="false" ht="15" hidden="false" customHeight="false" outlineLevel="0" collapsed="false">
      <c r="A50" s="315" t="s">
        <v>5</v>
      </c>
      <c r="B50" s="313" t="s">
        <v>543</v>
      </c>
      <c r="C50" s="315" t="s">
        <v>576</v>
      </c>
      <c r="D50" s="315" t="s">
        <v>545</v>
      </c>
      <c r="E50" s="315" t="s">
        <v>540</v>
      </c>
      <c r="F50" s="318" t="n">
        <v>100000000</v>
      </c>
      <c r="G50" s="315" t="s">
        <v>541</v>
      </c>
      <c r="H50" s="319" t="n">
        <v>100000000</v>
      </c>
      <c r="I50" s="320" t="s">
        <v>144</v>
      </c>
      <c r="J50" s="320"/>
      <c r="K50" s="320" t="s">
        <v>533</v>
      </c>
      <c r="L50" s="315" t="s">
        <v>534</v>
      </c>
      <c r="M50" s="326" t="n">
        <f aca="false">SUM(H50+J50)</f>
        <v>100000000</v>
      </c>
      <c r="N50" s="315"/>
    </row>
    <row r="51" customFormat="false" ht="15" hidden="false" customHeight="false" outlineLevel="0" collapsed="false">
      <c r="A51" s="315" t="s">
        <v>5</v>
      </c>
      <c r="B51" s="313" t="s">
        <v>543</v>
      </c>
      <c r="C51" s="315" t="s">
        <v>577</v>
      </c>
      <c r="D51" s="315" t="s">
        <v>545</v>
      </c>
      <c r="E51" s="315" t="s">
        <v>540</v>
      </c>
      <c r="F51" s="318" t="n">
        <v>100000000</v>
      </c>
      <c r="G51" s="315" t="s">
        <v>541</v>
      </c>
      <c r="H51" s="319" t="n">
        <v>100000000</v>
      </c>
      <c r="I51" s="320" t="s">
        <v>144</v>
      </c>
      <c r="J51" s="320"/>
      <c r="K51" s="320" t="s">
        <v>533</v>
      </c>
      <c r="L51" s="315" t="s">
        <v>534</v>
      </c>
      <c r="M51" s="326" t="n">
        <f aca="false">SUM(H51+J51)</f>
        <v>100000000</v>
      </c>
      <c r="N51" s="315"/>
    </row>
    <row r="52" customFormat="false" ht="15" hidden="false" customHeight="false" outlineLevel="0" collapsed="false">
      <c r="A52" s="315" t="s">
        <v>5</v>
      </c>
      <c r="B52" s="313" t="s">
        <v>531</v>
      </c>
      <c r="C52" s="315" t="s">
        <v>578</v>
      </c>
      <c r="D52" s="315" t="s">
        <v>529</v>
      </c>
      <c r="E52" s="315" t="s">
        <v>540</v>
      </c>
      <c r="F52" s="318" t="n">
        <v>2400000000</v>
      </c>
      <c r="G52" s="315" t="s">
        <v>541</v>
      </c>
      <c r="H52" s="319" t="n">
        <v>0</v>
      </c>
      <c r="I52" s="320" t="s">
        <v>533</v>
      </c>
      <c r="J52" s="320"/>
      <c r="K52" s="320" t="s">
        <v>533</v>
      </c>
      <c r="L52" s="315" t="s">
        <v>534</v>
      </c>
      <c r="M52" s="326" t="n">
        <f aca="false">SUM(H52+J52)</f>
        <v>0</v>
      </c>
      <c r="N52" s="315" t="s">
        <v>579</v>
      </c>
    </row>
    <row r="53" customFormat="false" ht="15" hidden="false" customHeight="false" outlineLevel="0" collapsed="false">
      <c r="A53" s="315" t="s">
        <v>5</v>
      </c>
      <c r="B53" s="313" t="s">
        <v>531</v>
      </c>
      <c r="C53" s="315" t="s">
        <v>580</v>
      </c>
      <c r="D53" s="315" t="s">
        <v>529</v>
      </c>
      <c r="E53" s="315" t="s">
        <v>540</v>
      </c>
      <c r="F53" s="318" t="n">
        <v>2690500000</v>
      </c>
      <c r="G53" s="315" t="s">
        <v>541</v>
      </c>
      <c r="H53" s="319"/>
      <c r="I53" s="320"/>
      <c r="J53" s="320"/>
      <c r="K53" s="320"/>
      <c r="L53" s="315" t="s">
        <v>534</v>
      </c>
      <c r="M53" s="326" t="n">
        <f aca="false">SUM(H53+J53)</f>
        <v>0</v>
      </c>
      <c r="N53" s="313" t="s">
        <v>542</v>
      </c>
      <c r="O53" s="1" t="s">
        <v>537</v>
      </c>
    </row>
    <row r="54" customFormat="false" ht="15" hidden="false" customHeight="false" outlineLevel="0" collapsed="false">
      <c r="A54" s="315" t="s">
        <v>5</v>
      </c>
      <c r="B54" s="313" t="s">
        <v>581</v>
      </c>
      <c r="C54" s="315" t="s">
        <v>582</v>
      </c>
      <c r="D54" s="315" t="s">
        <v>545</v>
      </c>
      <c r="E54" s="315" t="s">
        <v>540</v>
      </c>
      <c r="F54" s="318" t="n">
        <v>800000000</v>
      </c>
      <c r="G54" s="315" t="s">
        <v>541</v>
      </c>
      <c r="H54" s="319" t="n">
        <v>240000000</v>
      </c>
      <c r="I54" s="320" t="s">
        <v>140</v>
      </c>
      <c r="J54" s="320" t="n">
        <v>560000000</v>
      </c>
      <c r="K54" s="320" t="s">
        <v>144</v>
      </c>
      <c r="L54" s="315" t="s">
        <v>534</v>
      </c>
      <c r="M54" s="326" t="n">
        <f aca="false">SUM(H54+J54)</f>
        <v>800000000</v>
      </c>
      <c r="N54" s="315"/>
    </row>
    <row r="55" customFormat="false" ht="15" hidden="false" customHeight="false" outlineLevel="0" collapsed="false">
      <c r="A55" s="315" t="s">
        <v>5</v>
      </c>
      <c r="B55" s="313" t="s">
        <v>583</v>
      </c>
      <c r="C55" s="315" t="s">
        <v>584</v>
      </c>
      <c r="D55" s="315" t="s">
        <v>529</v>
      </c>
      <c r="E55" s="315" t="s">
        <v>540</v>
      </c>
      <c r="F55" s="318" t="n">
        <v>2000000000</v>
      </c>
      <c r="G55" s="315" t="s">
        <v>541</v>
      </c>
      <c r="H55" s="319"/>
      <c r="I55" s="320"/>
      <c r="J55" s="320"/>
      <c r="K55" s="320"/>
      <c r="L55" s="315" t="s">
        <v>534</v>
      </c>
      <c r="M55" s="326" t="n">
        <f aca="false">SUM(H55+J55)</f>
        <v>0</v>
      </c>
      <c r="N55" s="313" t="s">
        <v>542</v>
      </c>
      <c r="O55" s="1" t="s">
        <v>537</v>
      </c>
    </row>
    <row r="56" customFormat="false" ht="26.85" hidden="false" customHeight="false" outlineLevel="0" collapsed="false">
      <c r="A56" s="315" t="s">
        <v>5</v>
      </c>
      <c r="B56" s="313" t="s">
        <v>585</v>
      </c>
      <c r="C56" s="315" t="s">
        <v>586</v>
      </c>
      <c r="D56" s="315" t="s">
        <v>529</v>
      </c>
      <c r="E56" s="315" t="s">
        <v>540</v>
      </c>
      <c r="F56" s="318" t="n">
        <v>2000000000</v>
      </c>
      <c r="G56" s="315" t="s">
        <v>541</v>
      </c>
      <c r="H56" s="319"/>
      <c r="I56" s="320"/>
      <c r="J56" s="320"/>
      <c r="K56" s="320"/>
      <c r="L56" s="315" t="s">
        <v>534</v>
      </c>
      <c r="M56" s="326" t="n">
        <f aca="false">SUM(H56+J56)</f>
        <v>0</v>
      </c>
      <c r="N56" s="313" t="s">
        <v>587</v>
      </c>
      <c r="O56" s="1" t="s">
        <v>563</v>
      </c>
    </row>
    <row r="57" customFormat="false" ht="15" hidden="false" customHeight="false" outlineLevel="0" collapsed="false">
      <c r="A57" s="315" t="s">
        <v>3</v>
      </c>
      <c r="B57" s="313" t="s">
        <v>533</v>
      </c>
      <c r="C57" s="315" t="s">
        <v>588</v>
      </c>
      <c r="D57" s="315" t="s">
        <v>529</v>
      </c>
      <c r="E57" s="315" t="s">
        <v>540</v>
      </c>
      <c r="F57" s="318" t="n">
        <v>300000000</v>
      </c>
      <c r="G57" s="315" t="s">
        <v>541</v>
      </c>
      <c r="H57" s="319" t="n">
        <v>90000000</v>
      </c>
      <c r="I57" s="320" t="s">
        <v>144</v>
      </c>
      <c r="J57" s="320"/>
      <c r="K57" s="320" t="s">
        <v>533</v>
      </c>
      <c r="L57" s="315" t="s">
        <v>534</v>
      </c>
      <c r="M57" s="326" t="n">
        <f aca="false">SUM(H57+J57)</f>
        <v>90000000</v>
      </c>
      <c r="N57" s="315"/>
    </row>
    <row r="58" customFormat="false" ht="26.85" hidden="false" customHeight="false" outlineLevel="0" collapsed="false">
      <c r="A58" s="315" t="s">
        <v>5</v>
      </c>
      <c r="B58" s="313" t="s">
        <v>589</v>
      </c>
      <c r="C58" s="315" t="s">
        <v>590</v>
      </c>
      <c r="D58" s="315" t="s">
        <v>529</v>
      </c>
      <c r="E58" s="315" t="s">
        <v>540</v>
      </c>
      <c r="F58" s="318" t="n">
        <v>200000000</v>
      </c>
      <c r="G58" s="315" t="s">
        <v>541</v>
      </c>
      <c r="H58" s="319"/>
      <c r="I58" s="320"/>
      <c r="J58" s="320"/>
      <c r="K58" s="320"/>
      <c r="L58" s="315" t="s">
        <v>534</v>
      </c>
      <c r="M58" s="326" t="n">
        <f aca="false">SUM(H58+J58)</f>
        <v>0</v>
      </c>
      <c r="N58" s="313" t="s">
        <v>591</v>
      </c>
      <c r="O58" s="1" t="s">
        <v>563</v>
      </c>
    </row>
    <row r="59" customFormat="false" ht="15" hidden="false" customHeight="false" outlineLevel="0" collapsed="false">
      <c r="A59" s="315" t="s">
        <v>5</v>
      </c>
      <c r="B59" s="313" t="s">
        <v>592</v>
      </c>
      <c r="C59" s="315" t="s">
        <v>593</v>
      </c>
      <c r="D59" s="315" t="s">
        <v>529</v>
      </c>
      <c r="E59" s="315" t="s">
        <v>540</v>
      </c>
      <c r="F59" s="318" t="n">
        <v>150000000</v>
      </c>
      <c r="G59" s="315" t="s">
        <v>541</v>
      </c>
      <c r="H59" s="319"/>
      <c r="I59" s="320"/>
      <c r="J59" s="320"/>
      <c r="K59" s="320"/>
      <c r="L59" s="315" t="s">
        <v>534</v>
      </c>
      <c r="M59" s="326" t="n">
        <f aca="false">SUM(H59+J59)</f>
        <v>0</v>
      </c>
      <c r="N59" s="313" t="s">
        <v>594</v>
      </c>
      <c r="O59" s="1" t="s">
        <v>563</v>
      </c>
    </row>
    <row r="60" customFormat="false" ht="26.85" hidden="false" customHeight="false" outlineLevel="0" collapsed="false">
      <c r="A60" s="315" t="s">
        <v>3</v>
      </c>
      <c r="B60" s="313" t="s">
        <v>595</v>
      </c>
      <c r="C60" s="315" t="s">
        <v>596</v>
      </c>
      <c r="D60" s="315" t="s">
        <v>529</v>
      </c>
      <c r="E60" s="315" t="s">
        <v>540</v>
      </c>
      <c r="F60" s="318" t="n">
        <v>2206200000</v>
      </c>
      <c r="G60" s="315" t="s">
        <v>541</v>
      </c>
      <c r="H60" s="319"/>
      <c r="I60" s="320"/>
      <c r="J60" s="320"/>
      <c r="K60" s="320"/>
      <c r="L60" s="315" t="s">
        <v>534</v>
      </c>
      <c r="M60" s="326" t="n">
        <f aca="false">SUM(H60+J60)</f>
        <v>0</v>
      </c>
      <c r="N60" s="313" t="s">
        <v>597</v>
      </c>
      <c r="O60" s="1" t="s">
        <v>563</v>
      </c>
    </row>
    <row r="61" s="317" customFormat="true" ht="26.85" hidden="false" customHeight="false" outlineLevel="0" collapsed="false">
      <c r="A61" s="315" t="s">
        <v>3</v>
      </c>
      <c r="B61" s="313" t="s">
        <v>598</v>
      </c>
      <c r="C61" s="315" t="s">
        <v>599</v>
      </c>
      <c r="D61" s="315" t="s">
        <v>529</v>
      </c>
      <c r="E61" s="315" t="s">
        <v>540</v>
      </c>
      <c r="F61" s="318" t="n">
        <v>1000000000</v>
      </c>
      <c r="G61" s="315" t="s">
        <v>541</v>
      </c>
      <c r="H61" s="319"/>
      <c r="I61" s="320"/>
      <c r="J61" s="320"/>
      <c r="K61" s="320"/>
      <c r="L61" s="315" t="s">
        <v>534</v>
      </c>
      <c r="M61" s="326" t="n">
        <f aca="false">SUM(H61+J61)</f>
        <v>0</v>
      </c>
      <c r="N61" s="313" t="s">
        <v>600</v>
      </c>
      <c r="O61" s="1" t="s">
        <v>537</v>
      </c>
      <c r="P61" s="1"/>
      <c r="Q61" s="1"/>
    </row>
    <row r="62" s="317" customFormat="true" ht="15" hidden="false" customHeight="false" outlineLevel="0" collapsed="false">
      <c r="A62" s="315" t="s">
        <v>3</v>
      </c>
      <c r="B62" s="313" t="s">
        <v>601</v>
      </c>
      <c r="C62" s="315" t="s">
        <v>602</v>
      </c>
      <c r="D62" s="315" t="s">
        <v>529</v>
      </c>
      <c r="E62" s="315" t="s">
        <v>540</v>
      </c>
      <c r="F62" s="318" t="n">
        <v>1393100000</v>
      </c>
      <c r="G62" s="315" t="s">
        <v>541</v>
      </c>
      <c r="H62" s="319"/>
      <c r="I62" s="320"/>
      <c r="J62" s="320"/>
      <c r="K62" s="320"/>
      <c r="L62" s="315" t="s">
        <v>534</v>
      </c>
      <c r="M62" s="326" t="n">
        <f aca="false">SUM(H62+J62)</f>
        <v>0</v>
      </c>
      <c r="N62" s="313" t="s">
        <v>597</v>
      </c>
      <c r="O62" s="1" t="s">
        <v>563</v>
      </c>
      <c r="P62" s="1"/>
      <c r="Q62" s="1"/>
    </row>
    <row r="63" s="316" customFormat="true" ht="15" hidden="false" customHeight="false" outlineLevel="0" collapsed="false">
      <c r="A63" s="315" t="s">
        <v>3</v>
      </c>
      <c r="B63" s="313" t="s">
        <v>524</v>
      </c>
      <c r="C63" s="315" t="s">
        <v>603</v>
      </c>
      <c r="D63" s="315" t="s">
        <v>545</v>
      </c>
      <c r="E63" s="315" t="s">
        <v>540</v>
      </c>
      <c r="F63" s="318" t="n">
        <v>436364000</v>
      </c>
      <c r="G63" s="315" t="s">
        <v>541</v>
      </c>
      <c r="H63" s="319" t="n">
        <v>130909200</v>
      </c>
      <c r="I63" s="320" t="s">
        <v>144</v>
      </c>
      <c r="J63" s="320" t="n">
        <v>305454800</v>
      </c>
      <c r="K63" s="320" t="s">
        <v>144</v>
      </c>
      <c r="L63" s="315" t="s">
        <v>534</v>
      </c>
      <c r="M63" s="326" t="n">
        <f aca="false">SUM(H63+J63)</f>
        <v>436364000</v>
      </c>
      <c r="N63" s="315"/>
      <c r="O63" s="1"/>
      <c r="P63" s="1"/>
      <c r="Q63" s="1"/>
    </row>
    <row r="64" s="317" customFormat="true" ht="15" hidden="false" customHeight="false" outlineLevel="0" collapsed="false">
      <c r="A64" s="315" t="s">
        <v>3</v>
      </c>
      <c r="B64" s="313" t="s">
        <v>524</v>
      </c>
      <c r="C64" s="315" t="s">
        <v>604</v>
      </c>
      <c r="D64" s="315" t="s">
        <v>545</v>
      </c>
      <c r="E64" s="315" t="s">
        <v>540</v>
      </c>
      <c r="F64" s="318" t="n">
        <v>350000000</v>
      </c>
      <c r="G64" s="315" t="s">
        <v>541</v>
      </c>
      <c r="H64" s="319" t="n">
        <v>105000000</v>
      </c>
      <c r="I64" s="320" t="s">
        <v>139</v>
      </c>
      <c r="J64" s="320" t="n">
        <v>245000000</v>
      </c>
      <c r="K64" s="320" t="s">
        <v>142</v>
      </c>
      <c r="L64" s="315" t="s">
        <v>534</v>
      </c>
      <c r="M64" s="326" t="n">
        <f aca="false">SUM(H64+J64)</f>
        <v>350000000</v>
      </c>
      <c r="N64" s="315"/>
      <c r="O64" s="1"/>
      <c r="P64" s="1"/>
      <c r="Q64" s="1"/>
    </row>
    <row r="65" customFormat="false" ht="15" hidden="false" customHeight="false" outlineLevel="0" collapsed="false">
      <c r="A65" s="315" t="s">
        <v>3</v>
      </c>
      <c r="B65" s="313" t="s">
        <v>605</v>
      </c>
      <c r="C65" s="315" t="s">
        <v>606</v>
      </c>
      <c r="D65" s="315" t="s">
        <v>529</v>
      </c>
      <c r="E65" s="315" t="s">
        <v>540</v>
      </c>
      <c r="F65" s="318" t="n">
        <v>1393100000</v>
      </c>
      <c r="G65" s="315" t="s">
        <v>541</v>
      </c>
      <c r="H65" s="319"/>
      <c r="I65" s="320"/>
      <c r="J65" s="320"/>
      <c r="K65" s="320"/>
      <c r="L65" s="315" t="s">
        <v>534</v>
      </c>
      <c r="M65" s="326" t="n">
        <f aca="false">SUM(H65+J65)</f>
        <v>0</v>
      </c>
      <c r="N65" s="313" t="s">
        <v>597</v>
      </c>
      <c r="O65" s="1" t="s">
        <v>563</v>
      </c>
      <c r="P65" s="1"/>
    </row>
    <row r="66" customFormat="false" ht="15" hidden="false" customHeight="false" outlineLevel="0" collapsed="false">
      <c r="A66" s="315" t="s">
        <v>3</v>
      </c>
      <c r="B66" s="313" t="s">
        <v>607</v>
      </c>
      <c r="C66" s="315" t="s">
        <v>608</v>
      </c>
      <c r="D66" s="315" t="s">
        <v>529</v>
      </c>
      <c r="E66" s="315" t="s">
        <v>540</v>
      </c>
      <c r="F66" s="318" t="n">
        <v>3172829000</v>
      </c>
      <c r="G66" s="315" t="s">
        <v>541</v>
      </c>
      <c r="H66" s="319" t="n">
        <v>951848700</v>
      </c>
      <c r="I66" s="320" t="s">
        <v>144</v>
      </c>
      <c r="J66" s="320" t="n">
        <v>2220980300</v>
      </c>
      <c r="K66" s="320" t="s">
        <v>144</v>
      </c>
      <c r="L66" s="315" t="s">
        <v>534</v>
      </c>
      <c r="M66" s="326" t="n">
        <f aca="false">SUM(H66+J66)</f>
        <v>3172829000</v>
      </c>
      <c r="N66" s="315"/>
      <c r="O66" s="1"/>
      <c r="P66" s="1"/>
    </row>
    <row r="67" customFormat="false" ht="26.85" hidden="false" customHeight="false" outlineLevel="0" collapsed="false">
      <c r="A67" s="315" t="s">
        <v>3</v>
      </c>
      <c r="B67" s="313" t="s">
        <v>609</v>
      </c>
      <c r="C67" s="315" t="s">
        <v>610</v>
      </c>
      <c r="D67" s="315" t="s">
        <v>529</v>
      </c>
      <c r="E67" s="315" t="s">
        <v>540</v>
      </c>
      <c r="F67" s="318" t="n">
        <v>559690000</v>
      </c>
      <c r="G67" s="315" t="s">
        <v>541</v>
      </c>
      <c r="H67" s="319"/>
      <c r="I67" s="320"/>
      <c r="J67" s="320"/>
      <c r="K67" s="320"/>
      <c r="L67" s="315" t="s">
        <v>534</v>
      </c>
      <c r="M67" s="326" t="n">
        <f aca="false">SUM(H67+J67)</f>
        <v>0</v>
      </c>
      <c r="N67" s="313" t="s">
        <v>611</v>
      </c>
      <c r="O67" s="1" t="s">
        <v>563</v>
      </c>
      <c r="P67" s="1"/>
    </row>
    <row r="68" customFormat="false" ht="15" hidden="false" customHeight="false" outlineLevel="0" collapsed="false">
      <c r="A68" s="315" t="s">
        <v>3</v>
      </c>
      <c r="B68" s="313" t="s">
        <v>612</v>
      </c>
      <c r="C68" s="315" t="s">
        <v>613</v>
      </c>
      <c r="D68" s="315" t="s">
        <v>529</v>
      </c>
      <c r="E68" s="315" t="s">
        <v>540</v>
      </c>
      <c r="F68" s="318" t="n">
        <v>315800000</v>
      </c>
      <c r="G68" s="315" t="s">
        <v>541</v>
      </c>
      <c r="H68" s="319"/>
      <c r="I68" s="320"/>
      <c r="J68" s="320"/>
      <c r="K68" s="320"/>
      <c r="L68" s="315" t="s">
        <v>534</v>
      </c>
      <c r="M68" s="326" t="n">
        <f aca="false">SUM(H68+J68)</f>
        <v>0</v>
      </c>
      <c r="N68" s="313" t="s">
        <v>597</v>
      </c>
      <c r="O68" s="1" t="s">
        <v>563</v>
      </c>
      <c r="P68" s="1"/>
    </row>
    <row r="69" s="316" customFormat="true" ht="15" hidden="false" customHeight="false" outlineLevel="0" collapsed="false">
      <c r="A69" s="315" t="s">
        <v>3</v>
      </c>
      <c r="B69" s="313" t="s">
        <v>614</v>
      </c>
      <c r="C69" s="315" t="s">
        <v>615</v>
      </c>
      <c r="D69" s="315" t="s">
        <v>545</v>
      </c>
      <c r="E69" s="315" t="s">
        <v>540</v>
      </c>
      <c r="F69" s="318" t="n">
        <v>98800000</v>
      </c>
      <c r="G69" s="315" t="s">
        <v>541</v>
      </c>
      <c r="H69" s="319" t="n">
        <v>29640000</v>
      </c>
      <c r="I69" s="320" t="s">
        <v>142</v>
      </c>
      <c r="J69" s="320" t="n">
        <v>69160000</v>
      </c>
      <c r="K69" s="320" t="s">
        <v>144</v>
      </c>
      <c r="L69" s="315" t="s">
        <v>534</v>
      </c>
      <c r="M69" s="326" t="n">
        <f aca="false">SUM(H69+J69)</f>
        <v>98800000</v>
      </c>
      <c r="N69" s="315" t="s">
        <v>597</v>
      </c>
      <c r="O69" s="1"/>
      <c r="P69" s="1"/>
      <c r="Q69" s="1"/>
    </row>
    <row r="70" customFormat="false" ht="15" hidden="false" customHeight="false" outlineLevel="0" collapsed="false">
      <c r="A70" s="315" t="s">
        <v>3</v>
      </c>
      <c r="B70" s="313" t="s">
        <v>616</v>
      </c>
      <c r="C70" s="315" t="s">
        <v>617</v>
      </c>
      <c r="D70" s="315" t="s">
        <v>529</v>
      </c>
      <c r="E70" s="315" t="s">
        <v>540</v>
      </c>
      <c r="F70" s="318" t="n">
        <v>0</v>
      </c>
      <c r="G70" s="315" t="s">
        <v>541</v>
      </c>
      <c r="H70" s="319"/>
      <c r="I70" s="320"/>
      <c r="J70" s="320"/>
      <c r="K70" s="320"/>
      <c r="L70" s="315" t="s">
        <v>534</v>
      </c>
      <c r="M70" s="326" t="n">
        <f aca="false">SUM(H70+J70)</f>
        <v>0</v>
      </c>
      <c r="N70" s="313" t="s">
        <v>597</v>
      </c>
      <c r="O70" s="1" t="s">
        <v>563</v>
      </c>
      <c r="P70" s="1"/>
    </row>
    <row r="71" customFormat="false" ht="15" hidden="false" customHeight="false" outlineLevel="0" collapsed="false">
      <c r="A71" s="315" t="s">
        <v>3</v>
      </c>
      <c r="B71" s="313" t="s">
        <v>618</v>
      </c>
      <c r="C71" s="315" t="s">
        <v>619</v>
      </c>
      <c r="D71" s="315" t="s">
        <v>545</v>
      </c>
      <c r="E71" s="315" t="s">
        <v>540</v>
      </c>
      <c r="F71" s="318" t="n">
        <v>68500000</v>
      </c>
      <c r="G71" s="315" t="s">
        <v>541</v>
      </c>
      <c r="H71" s="319" t="n">
        <v>68500000</v>
      </c>
      <c r="I71" s="320" t="s">
        <v>141</v>
      </c>
      <c r="J71" s="320"/>
      <c r="K71" s="320" t="s">
        <v>533</v>
      </c>
      <c r="L71" s="315" t="s">
        <v>534</v>
      </c>
      <c r="M71" s="326" t="n">
        <f aca="false">SUM(H71+J71)</f>
        <v>68500000</v>
      </c>
      <c r="N71" s="315"/>
      <c r="O71" s="1"/>
      <c r="P71" s="1"/>
    </row>
    <row r="72" customFormat="false" ht="15" hidden="false" customHeight="false" outlineLevel="0" collapsed="false">
      <c r="A72" s="315" t="s">
        <v>5</v>
      </c>
      <c r="B72" s="313" t="s">
        <v>618</v>
      </c>
      <c r="C72" s="315" t="s">
        <v>620</v>
      </c>
      <c r="D72" s="315" t="s">
        <v>529</v>
      </c>
      <c r="E72" s="315" t="s">
        <v>540</v>
      </c>
      <c r="F72" s="318" t="n">
        <v>0</v>
      </c>
      <c r="G72" s="315" t="s">
        <v>541</v>
      </c>
      <c r="H72" s="319"/>
      <c r="I72" s="320"/>
      <c r="J72" s="320"/>
      <c r="K72" s="320"/>
      <c r="L72" s="315" t="s">
        <v>534</v>
      </c>
      <c r="M72" s="326" t="n">
        <f aca="false">SUM(H72+J72)</f>
        <v>0</v>
      </c>
      <c r="N72" s="313" t="s">
        <v>597</v>
      </c>
      <c r="O72" s="1" t="s">
        <v>563</v>
      </c>
      <c r="P72" s="1"/>
    </row>
    <row r="73" customFormat="false" ht="15" hidden="false" customHeight="false" outlineLevel="0" collapsed="false">
      <c r="A73" s="315" t="s">
        <v>3</v>
      </c>
      <c r="B73" s="313" t="s">
        <v>618</v>
      </c>
      <c r="C73" s="315" t="s">
        <v>621</v>
      </c>
      <c r="D73" s="315" t="s">
        <v>545</v>
      </c>
      <c r="E73" s="315" t="s">
        <v>540</v>
      </c>
      <c r="F73" s="318" t="n">
        <v>90000000</v>
      </c>
      <c r="G73" s="315" t="s">
        <v>541</v>
      </c>
      <c r="H73" s="319" t="n">
        <v>90000000</v>
      </c>
      <c r="I73" s="320" t="s">
        <v>139</v>
      </c>
      <c r="J73" s="320"/>
      <c r="K73" s="320" t="s">
        <v>533</v>
      </c>
      <c r="L73" s="315" t="s">
        <v>534</v>
      </c>
      <c r="M73" s="326" t="n">
        <f aca="false">SUM(H73+J73)</f>
        <v>90000000</v>
      </c>
      <c r="N73" s="315"/>
      <c r="O73" s="1"/>
      <c r="P73" s="1"/>
    </row>
    <row r="74" customFormat="false" ht="15" hidden="false" customHeight="false" outlineLevel="0" collapsed="false">
      <c r="A74" s="315" t="s">
        <v>3</v>
      </c>
      <c r="B74" s="313" t="s">
        <v>622</v>
      </c>
      <c r="C74" s="315" t="s">
        <v>623</v>
      </c>
      <c r="D74" s="315" t="s">
        <v>529</v>
      </c>
      <c r="E74" s="315" t="s">
        <v>540</v>
      </c>
      <c r="F74" s="318" t="n">
        <v>63162000</v>
      </c>
      <c r="G74" s="315" t="s">
        <v>541</v>
      </c>
      <c r="H74" s="319"/>
      <c r="I74" s="320"/>
      <c r="J74" s="320"/>
      <c r="K74" s="320"/>
      <c r="L74" s="315" t="s">
        <v>534</v>
      </c>
      <c r="M74" s="326" t="n">
        <f aca="false">SUM(H74+J74)</f>
        <v>0</v>
      </c>
      <c r="N74" s="313" t="s">
        <v>597</v>
      </c>
      <c r="O74" s="1" t="s">
        <v>563</v>
      </c>
      <c r="P74" s="317"/>
      <c r="Q74" s="317"/>
    </row>
    <row r="75" customFormat="false" ht="15" hidden="false" customHeight="false" outlineLevel="0" collapsed="false">
      <c r="A75" s="315" t="s">
        <v>3</v>
      </c>
      <c r="B75" s="313" t="s">
        <v>560</v>
      </c>
      <c r="C75" s="315" t="s">
        <v>624</v>
      </c>
      <c r="D75" s="315" t="s">
        <v>529</v>
      </c>
      <c r="E75" s="315" t="s">
        <v>540</v>
      </c>
      <c r="F75" s="318" t="n">
        <v>190000000</v>
      </c>
      <c r="G75" s="315" t="s">
        <v>541</v>
      </c>
      <c r="H75" s="319"/>
      <c r="I75" s="320"/>
      <c r="J75" s="320"/>
      <c r="K75" s="320"/>
      <c r="L75" s="315" t="s">
        <v>534</v>
      </c>
      <c r="M75" s="326" t="n">
        <f aca="false">SUM(H75+J75)</f>
        <v>0</v>
      </c>
      <c r="N75" s="313" t="s">
        <v>625</v>
      </c>
      <c r="O75" s="317" t="s">
        <v>563</v>
      </c>
      <c r="P75" s="317"/>
      <c r="Q75" s="317"/>
    </row>
    <row r="76" customFormat="false" ht="26.85" hidden="false" customHeight="false" outlineLevel="0" collapsed="false">
      <c r="A76" s="315" t="s">
        <v>3</v>
      </c>
      <c r="B76" s="313" t="s">
        <v>626</v>
      </c>
      <c r="C76" s="315" t="s">
        <v>627</v>
      </c>
      <c r="D76" s="315" t="s">
        <v>529</v>
      </c>
      <c r="E76" s="315" t="s">
        <v>540</v>
      </c>
      <c r="F76" s="318" t="n">
        <v>355232000</v>
      </c>
      <c r="G76" s="315" t="s">
        <v>541</v>
      </c>
      <c r="H76" s="319"/>
      <c r="I76" s="320"/>
      <c r="J76" s="320"/>
      <c r="K76" s="320"/>
      <c r="L76" s="315" t="s">
        <v>534</v>
      </c>
      <c r="M76" s="326" t="n">
        <f aca="false">SUM(H76+J76)</f>
        <v>0</v>
      </c>
      <c r="N76" s="313" t="s">
        <v>628</v>
      </c>
      <c r="O76" s="317" t="s">
        <v>563</v>
      </c>
      <c r="P76" s="316"/>
      <c r="Q76" s="316"/>
    </row>
    <row r="77" customFormat="false" ht="26.85" hidden="false" customHeight="false" outlineLevel="0" collapsed="false">
      <c r="A77" s="315" t="s">
        <v>3</v>
      </c>
      <c r="B77" s="313" t="s">
        <v>629</v>
      </c>
      <c r="C77" s="315" t="s">
        <v>630</v>
      </c>
      <c r="D77" s="315" t="s">
        <v>529</v>
      </c>
      <c r="E77" s="315" t="s">
        <v>540</v>
      </c>
      <c r="F77" s="318" t="n">
        <v>697917000</v>
      </c>
      <c r="G77" s="315" t="s">
        <v>541</v>
      </c>
      <c r="H77" s="319"/>
      <c r="I77" s="320"/>
      <c r="J77" s="320"/>
      <c r="K77" s="320"/>
      <c r="L77" s="315" t="s">
        <v>534</v>
      </c>
      <c r="M77" s="326" t="n">
        <f aca="false">SUM(H77+J77)</f>
        <v>0</v>
      </c>
      <c r="N77" s="313" t="s">
        <v>631</v>
      </c>
      <c r="O77" s="316" t="s">
        <v>537</v>
      </c>
      <c r="P77" s="317"/>
      <c r="Q77" s="317"/>
    </row>
    <row r="78" customFormat="false" ht="30" hidden="false" customHeight="true" outlineLevel="0" collapsed="false">
      <c r="A78" s="315" t="s">
        <v>3</v>
      </c>
      <c r="B78" s="313" t="s">
        <v>632</v>
      </c>
      <c r="C78" s="315" t="s">
        <v>633</v>
      </c>
      <c r="D78" s="315" t="s">
        <v>529</v>
      </c>
      <c r="E78" s="315" t="s">
        <v>540</v>
      </c>
      <c r="F78" s="318" t="n">
        <v>6000000000</v>
      </c>
      <c r="G78" s="315" t="s">
        <v>541</v>
      </c>
      <c r="H78" s="319"/>
      <c r="I78" s="320"/>
      <c r="J78" s="320"/>
      <c r="K78" s="320"/>
      <c r="L78" s="315" t="s">
        <v>534</v>
      </c>
      <c r="M78" s="326" t="n">
        <f aca="false">SUM(H78+J78)</f>
        <v>0</v>
      </c>
      <c r="N78" s="313" t="s">
        <v>542</v>
      </c>
      <c r="O78" s="317" t="s">
        <v>537</v>
      </c>
    </row>
    <row r="79" customFormat="false" ht="15" hidden="false" customHeight="true" outlineLevel="0" collapsed="false">
      <c r="O79" s="317" t="s">
        <v>537</v>
      </c>
    </row>
    <row r="80" customFormat="false" ht="15" hidden="false" customHeight="false" outlineLevel="0" collapsed="false">
      <c r="A80" s="315" t="s">
        <v>3</v>
      </c>
      <c r="B80" s="313" t="s">
        <v>634</v>
      </c>
      <c r="C80" s="315" t="s">
        <v>635</v>
      </c>
      <c r="D80" s="315" t="s">
        <v>529</v>
      </c>
      <c r="E80" s="315" t="s">
        <v>540</v>
      </c>
      <c r="F80" s="318" t="n">
        <v>289736000</v>
      </c>
      <c r="G80" s="315" t="s">
        <v>541</v>
      </c>
      <c r="H80" s="319"/>
      <c r="I80" s="320"/>
      <c r="J80" s="320"/>
      <c r="K80" s="320"/>
      <c r="L80" s="315" t="s">
        <v>534</v>
      </c>
      <c r="M80" s="326" t="n">
        <f aca="false">SUM(H80+J80)</f>
        <v>0</v>
      </c>
      <c r="N80" s="313" t="s">
        <v>597</v>
      </c>
      <c r="O80" s="317" t="s">
        <v>563</v>
      </c>
    </row>
    <row r="81" customFormat="false" ht="15" hidden="false" customHeight="false" outlineLevel="0" collapsed="false">
      <c r="A81" s="327" t="s">
        <v>3</v>
      </c>
      <c r="B81" s="328" t="s">
        <v>618</v>
      </c>
      <c r="C81" s="328" t="s">
        <v>636</v>
      </c>
      <c r="D81" s="327" t="s">
        <v>545</v>
      </c>
      <c r="E81" s="327" t="s">
        <v>141</v>
      </c>
      <c r="F81" s="329" t="n">
        <v>28570000</v>
      </c>
      <c r="G81" s="327"/>
      <c r="H81" s="330" t="n">
        <v>28570000</v>
      </c>
      <c r="I81" s="327" t="s">
        <v>141</v>
      </c>
      <c r="J81" s="330" t="n">
        <v>0</v>
      </c>
      <c r="K81" s="327" t="s">
        <v>533</v>
      </c>
      <c r="L81" s="327" t="s">
        <v>534</v>
      </c>
      <c r="M81" s="331" t="n">
        <f aca="false">SUM(H81+J81)</f>
        <v>28570000</v>
      </c>
      <c r="N81" s="313"/>
    </row>
    <row r="82" customFormat="false" ht="15" hidden="false" customHeight="false" outlineLevel="0" collapsed="false">
      <c r="A82" s="327" t="s">
        <v>3</v>
      </c>
      <c r="B82" s="328" t="s">
        <v>618</v>
      </c>
      <c r="C82" s="328" t="s">
        <v>637</v>
      </c>
      <c r="D82" s="327" t="s">
        <v>545</v>
      </c>
      <c r="E82" s="327" t="s">
        <v>141</v>
      </c>
      <c r="F82" s="329" t="n">
        <v>83800000</v>
      </c>
      <c r="G82" s="327"/>
      <c r="H82" s="330" t="n">
        <v>83800000</v>
      </c>
      <c r="I82" s="327" t="s">
        <v>142</v>
      </c>
      <c r="J82" s="330" t="n">
        <v>0</v>
      </c>
      <c r="K82" s="327" t="s">
        <v>533</v>
      </c>
      <c r="L82" s="327" t="s">
        <v>534</v>
      </c>
      <c r="M82" s="331" t="n">
        <f aca="false">SUM(H82+J82)</f>
        <v>83800000</v>
      </c>
      <c r="N82" s="313"/>
      <c r="O82" s="1"/>
      <c r="P82" s="316"/>
      <c r="Q82" s="316"/>
    </row>
    <row r="83" customFormat="false" ht="31.5" hidden="false" customHeight="true" outlineLevel="0" collapsed="false">
      <c r="A83" s="327" t="s">
        <v>5</v>
      </c>
      <c r="B83" s="328" t="s">
        <v>638</v>
      </c>
      <c r="C83" s="328" t="s">
        <v>639</v>
      </c>
      <c r="D83" s="327" t="s">
        <v>529</v>
      </c>
      <c r="E83" s="327" t="s">
        <v>144</v>
      </c>
      <c r="F83" s="329" t="n">
        <v>99000000</v>
      </c>
      <c r="G83" s="327"/>
      <c r="H83" s="330" t="n">
        <v>99000000</v>
      </c>
      <c r="I83" s="327" t="s">
        <v>144</v>
      </c>
      <c r="J83" s="330" t="n">
        <v>0</v>
      </c>
      <c r="K83" s="327" t="s">
        <v>533</v>
      </c>
      <c r="L83" s="327" t="s">
        <v>534</v>
      </c>
      <c r="M83" s="331" t="n">
        <f aca="false">SUM(H83+J83)</f>
        <v>99000000</v>
      </c>
      <c r="N83" s="328"/>
      <c r="O83" s="316"/>
    </row>
    <row r="84" customFormat="false" ht="26.85" hidden="false" customHeight="false" outlineLevel="0" collapsed="false">
      <c r="A84" s="327" t="s">
        <v>3</v>
      </c>
      <c r="B84" s="328" t="s">
        <v>640</v>
      </c>
      <c r="C84" s="328" t="s">
        <v>641</v>
      </c>
      <c r="D84" s="327" t="s">
        <v>545</v>
      </c>
      <c r="E84" s="327" t="s">
        <v>142</v>
      </c>
      <c r="F84" s="329" t="n">
        <v>60000000</v>
      </c>
      <c r="G84" s="327"/>
      <c r="H84" s="330" t="n">
        <v>18000000</v>
      </c>
      <c r="I84" s="327" t="s">
        <v>141</v>
      </c>
      <c r="J84" s="330" t="n">
        <v>42000000</v>
      </c>
      <c r="K84" s="327" t="s">
        <v>142</v>
      </c>
      <c r="L84" s="327" t="s">
        <v>534</v>
      </c>
      <c r="M84" s="331" t="n">
        <f aca="false">SUM(H84+J84)</f>
        <v>60000000</v>
      </c>
      <c r="N84" s="328"/>
    </row>
    <row r="85" customFormat="false" ht="15" hidden="false" customHeight="false" outlineLevel="0" collapsed="false">
      <c r="A85" s="327" t="s">
        <v>5</v>
      </c>
      <c r="B85" s="328" t="s">
        <v>642</v>
      </c>
      <c r="C85" s="328" t="s">
        <v>643</v>
      </c>
      <c r="D85" s="327" t="s">
        <v>529</v>
      </c>
      <c r="E85" s="327" t="s">
        <v>142</v>
      </c>
      <c r="F85" s="329" t="n">
        <v>18480000</v>
      </c>
      <c r="G85" s="327"/>
      <c r="H85" s="330" t="n">
        <v>18480000</v>
      </c>
      <c r="I85" s="327" t="s">
        <v>143</v>
      </c>
      <c r="J85" s="332"/>
      <c r="K85" s="327"/>
      <c r="L85" s="327" t="s">
        <v>534</v>
      </c>
      <c r="M85" s="331" t="n">
        <f aca="false">SUM(H85+J85)</f>
        <v>18480000</v>
      </c>
      <c r="N85" s="313"/>
    </row>
    <row r="86" customFormat="false" ht="26.85" hidden="false" customHeight="false" outlineLevel="0" collapsed="false">
      <c r="A86" s="313" t="s">
        <v>3</v>
      </c>
      <c r="B86" s="313" t="s">
        <v>524</v>
      </c>
      <c r="C86" s="313" t="s">
        <v>644</v>
      </c>
      <c r="D86" s="313" t="s">
        <v>545</v>
      </c>
      <c r="E86" s="313" t="s">
        <v>144</v>
      </c>
      <c r="F86" s="314" t="n">
        <v>500000000</v>
      </c>
      <c r="G86" s="315"/>
      <c r="H86" s="314" t="n">
        <v>150000000</v>
      </c>
      <c r="I86" s="313" t="s">
        <v>144</v>
      </c>
      <c r="J86" s="314" t="n">
        <v>0</v>
      </c>
      <c r="K86" s="313" t="s">
        <v>533</v>
      </c>
      <c r="L86" s="313" t="s">
        <v>534</v>
      </c>
      <c r="M86" s="333" t="n">
        <f aca="false">SUM(H86+J86)</f>
        <v>150000000</v>
      </c>
      <c r="N86" s="313" t="s">
        <v>645</v>
      </c>
    </row>
    <row r="87" customFormat="false" ht="15" hidden="false" customHeight="false" outlineLevel="0" collapsed="false">
      <c r="A87" s="334" t="s">
        <v>5</v>
      </c>
      <c r="B87" s="334" t="s">
        <v>531</v>
      </c>
      <c r="C87" s="334" t="s">
        <v>646</v>
      </c>
      <c r="D87" s="334" t="s">
        <v>529</v>
      </c>
      <c r="E87" s="334" t="s">
        <v>144</v>
      </c>
      <c r="F87" s="335" t="n">
        <v>1000000000</v>
      </c>
      <c r="G87" s="336"/>
      <c r="H87" s="335" t="n">
        <f aca="false">F87</f>
        <v>1000000000</v>
      </c>
      <c r="I87" s="334" t="s">
        <v>144</v>
      </c>
      <c r="J87" s="335" t="n">
        <v>0</v>
      </c>
      <c r="K87" s="334" t="s">
        <v>533</v>
      </c>
      <c r="L87" s="334" t="s">
        <v>534</v>
      </c>
      <c r="M87" s="335" t="n">
        <f aca="false">SUM(H87+J87)</f>
        <v>1000000000</v>
      </c>
      <c r="N87" s="334" t="s">
        <v>647</v>
      </c>
    </row>
    <row r="88" customFormat="false" ht="39.55" hidden="false" customHeight="false" outlineLevel="0" collapsed="false">
      <c r="A88" s="334" t="s">
        <v>3</v>
      </c>
      <c r="B88" s="334" t="s">
        <v>648</v>
      </c>
      <c r="C88" s="334" t="s">
        <v>649</v>
      </c>
      <c r="D88" s="334" t="s">
        <v>545</v>
      </c>
      <c r="E88" s="334" t="s">
        <v>144</v>
      </c>
      <c r="F88" s="335" t="n">
        <v>3016200000</v>
      </c>
      <c r="G88" s="336"/>
      <c r="H88" s="335" t="n">
        <v>904860000</v>
      </c>
      <c r="I88" s="334" t="s">
        <v>144</v>
      </c>
      <c r="J88" s="335" t="n">
        <v>0</v>
      </c>
      <c r="K88" s="334" t="s">
        <v>533</v>
      </c>
      <c r="L88" s="334" t="s">
        <v>534</v>
      </c>
      <c r="M88" s="335" t="n">
        <f aca="false">SUM(H88+J88)</f>
        <v>904860000</v>
      </c>
      <c r="N88" s="334" t="s">
        <v>650</v>
      </c>
    </row>
    <row r="89" customFormat="false" ht="26.85" hidden="false" customHeight="false" outlineLevel="0" collapsed="false">
      <c r="A89" s="334" t="s">
        <v>3</v>
      </c>
      <c r="B89" s="334" t="s">
        <v>640</v>
      </c>
      <c r="C89" s="334" t="s">
        <v>651</v>
      </c>
      <c r="D89" s="334" t="s">
        <v>545</v>
      </c>
      <c r="E89" s="334" t="s">
        <v>144</v>
      </c>
      <c r="F89" s="335" t="n">
        <v>60000000</v>
      </c>
      <c r="G89" s="336"/>
      <c r="H89" s="335" t="n">
        <v>60000000</v>
      </c>
      <c r="I89" s="334" t="s">
        <v>144</v>
      </c>
      <c r="J89" s="335" t="n">
        <v>0</v>
      </c>
      <c r="K89" s="334" t="s">
        <v>533</v>
      </c>
      <c r="L89" s="334" t="s">
        <v>534</v>
      </c>
      <c r="M89" s="335" t="n">
        <f aca="false">SUM(H89+J89)</f>
        <v>60000000</v>
      </c>
      <c r="N89" s="334" t="s">
        <v>652</v>
      </c>
    </row>
    <row r="90" customFormat="false" ht="15" hidden="false" customHeight="false" outlineLevel="0" collapsed="false">
      <c r="A90" s="334" t="s">
        <v>5</v>
      </c>
      <c r="B90" s="334" t="s">
        <v>653</v>
      </c>
      <c r="C90" s="334" t="s">
        <v>654</v>
      </c>
      <c r="D90" s="334" t="s">
        <v>545</v>
      </c>
      <c r="E90" s="334" t="s">
        <v>144</v>
      </c>
      <c r="F90" s="335" t="n">
        <v>247000000</v>
      </c>
      <c r="G90" s="336"/>
      <c r="H90" s="335" t="n">
        <f aca="false">F90*30%</f>
        <v>74100000</v>
      </c>
      <c r="I90" s="334" t="s">
        <v>144</v>
      </c>
      <c r="J90" s="335" t="n">
        <v>0</v>
      </c>
      <c r="K90" s="334" t="s">
        <v>533</v>
      </c>
      <c r="L90" s="334" t="s">
        <v>534</v>
      </c>
      <c r="M90" s="335" t="n">
        <f aca="false">SUM(H90+J90)</f>
        <v>74100000</v>
      </c>
      <c r="N90" s="334" t="s">
        <v>655</v>
      </c>
    </row>
  </sheetData>
  <autoFilter ref="A1:N6"/>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6D9F1"/>
    <pageSetUpPr fitToPage="false"/>
  </sheetPr>
  <dimension ref="A1:N101"/>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selection pane="topLeft" activeCell="J16" activeCellId="0" sqref="J16"/>
    </sheetView>
  </sheetViews>
  <sheetFormatPr defaultColWidth="8.6796875" defaultRowHeight="15" customHeight="false" zeroHeight="false" outlineLevelRow="0" outlineLevelCol="0"/>
  <cols>
    <col collapsed="false" customWidth="true" hidden="false" outlineLevel="0" max="1" min="1" style="1" width="8.42"/>
    <col collapsed="false" customWidth="true" hidden="false" outlineLevel="0" max="2" min="2" style="1" width="38.42"/>
    <col collapsed="false" customWidth="true" hidden="false" outlineLevel="0" max="3" min="3" style="1" width="20.29"/>
    <col collapsed="false" customWidth="true" hidden="false" outlineLevel="0" max="4" min="4" style="1" width="32.86"/>
    <col collapsed="false" customWidth="true" hidden="false" outlineLevel="0" max="5" min="5" style="1" width="14.56"/>
    <col collapsed="false" customWidth="true" hidden="false" outlineLevel="0" max="6" min="6" style="1" width="15.48"/>
    <col collapsed="false" customWidth="true" hidden="false" outlineLevel="0" max="7" min="7" style="1" width="14.29"/>
    <col collapsed="false" customWidth="true" hidden="false" outlineLevel="0" max="8" min="8" style="1" width="20.17"/>
    <col collapsed="false" customWidth="true" hidden="false" outlineLevel="0" max="9" min="9" style="1" width="6.71"/>
    <col collapsed="false" customWidth="true" hidden="false" outlineLevel="0" max="10" min="10" style="1" width="19.48"/>
    <col collapsed="false" customWidth="true" hidden="false" outlineLevel="0" max="11" min="11" style="1" width="7.42"/>
    <col collapsed="false" customWidth="true" hidden="false" outlineLevel="0" max="12" min="12" style="1" width="19.13"/>
    <col collapsed="false" customWidth="true" hidden="false" outlineLevel="0" max="13" min="13" style="1" width="7.42"/>
    <col collapsed="false" customWidth="true" hidden="false" outlineLevel="0" max="14" min="14" style="1" width="19.48"/>
    <col collapsed="false" customWidth="true" hidden="false" outlineLevel="0" max="15" min="15" style="1" width="11.71"/>
    <col collapsed="false" customWidth="true" hidden="false" outlineLevel="0" max="16" min="16" style="1" width="15.14"/>
  </cols>
  <sheetData>
    <row r="1" customFormat="false" ht="15" hidden="false" customHeight="false" outlineLevel="0" collapsed="false">
      <c r="A1" s="337" t="s">
        <v>656</v>
      </c>
      <c r="B1" s="337" t="s">
        <v>657</v>
      </c>
      <c r="C1" s="337" t="s">
        <v>658</v>
      </c>
      <c r="D1" s="337" t="s">
        <v>659</v>
      </c>
      <c r="E1" s="337" t="s">
        <v>660</v>
      </c>
      <c r="F1" s="337" t="s">
        <v>661</v>
      </c>
      <c r="G1" s="337" t="s">
        <v>662</v>
      </c>
      <c r="H1" s="338" t="n">
        <f aca="false">J1+L1+N1</f>
        <v>13690648080</v>
      </c>
      <c r="I1" s="339" t="s">
        <v>3</v>
      </c>
      <c r="J1" s="340" t="n">
        <f aca="false">SUMIFS(E2:E1001,A2:A1001,"UNI")</f>
        <v>3622770000</v>
      </c>
      <c r="K1" s="341" t="s">
        <v>5</v>
      </c>
      <c r="L1" s="342" t="n">
        <f aca="false">SUMIFS(E2:E1001,A2:A1001,"G2B")</f>
        <v>2600791000</v>
      </c>
      <c r="M1" s="343" t="s">
        <v>2</v>
      </c>
      <c r="N1" s="344" t="n">
        <f aca="false">SUMIFS(E2:E1001,A2:A1001,"ITO")</f>
        <v>7467087080</v>
      </c>
    </row>
    <row r="2" customFormat="false" ht="15" hidden="false" customHeight="false" outlineLevel="0" collapsed="false">
      <c r="A2" s="24" t="s">
        <v>5</v>
      </c>
      <c r="B2" s="24" t="s">
        <v>638</v>
      </c>
      <c r="C2" s="24" t="s">
        <v>663</v>
      </c>
      <c r="D2" s="24" t="s">
        <v>664</v>
      </c>
      <c r="E2" s="47" t="n">
        <v>17500000</v>
      </c>
      <c r="F2" s="24" t="s">
        <v>665</v>
      </c>
      <c r="G2" s="24" t="s">
        <v>666</v>
      </c>
      <c r="H2" s="345" t="s">
        <v>131</v>
      </c>
    </row>
    <row r="3" customFormat="false" ht="15" hidden="false" customHeight="false" outlineLevel="0" collapsed="false">
      <c r="A3" s="24" t="s">
        <v>3</v>
      </c>
      <c r="B3" s="24" t="s">
        <v>667</v>
      </c>
      <c r="C3" s="24" t="s">
        <v>668</v>
      </c>
      <c r="D3" s="24" t="s">
        <v>669</v>
      </c>
      <c r="E3" s="47" t="n">
        <v>40000000</v>
      </c>
      <c r="F3" s="24" t="s">
        <v>665</v>
      </c>
      <c r="G3" s="24" t="s">
        <v>666</v>
      </c>
    </row>
    <row r="4" customFormat="false" ht="15" hidden="false" customHeight="false" outlineLevel="0" collapsed="false">
      <c r="A4" s="24" t="s">
        <v>3</v>
      </c>
      <c r="B4" s="24" t="s">
        <v>670</v>
      </c>
      <c r="C4" s="24" t="s">
        <v>671</v>
      </c>
      <c r="D4" s="24" t="s">
        <v>672</v>
      </c>
      <c r="E4" s="47" t="n">
        <v>60400000</v>
      </c>
      <c r="F4" s="24" t="s">
        <v>665</v>
      </c>
      <c r="G4" s="24" t="s">
        <v>666</v>
      </c>
    </row>
    <row r="5" customFormat="false" ht="15" hidden="false" customHeight="false" outlineLevel="0" collapsed="false">
      <c r="A5" s="24" t="s">
        <v>5</v>
      </c>
      <c r="B5" s="24" t="s">
        <v>538</v>
      </c>
      <c r="C5" s="24" t="s">
        <v>673</v>
      </c>
      <c r="D5" s="24" t="s">
        <v>674</v>
      </c>
      <c r="E5" s="47" t="n">
        <v>16500000</v>
      </c>
      <c r="F5" s="24" t="s">
        <v>675</v>
      </c>
      <c r="G5" s="24" t="s">
        <v>676</v>
      </c>
    </row>
    <row r="6" customFormat="false" ht="15" hidden="false" customHeight="false" outlineLevel="0" collapsed="false">
      <c r="A6" s="24" t="s">
        <v>3</v>
      </c>
      <c r="B6" s="24" t="s">
        <v>677</v>
      </c>
      <c r="C6" s="24" t="s">
        <v>678</v>
      </c>
      <c r="D6" s="24" t="s">
        <v>679</v>
      </c>
      <c r="E6" s="47" t="n">
        <v>15800000</v>
      </c>
      <c r="F6" s="24" t="s">
        <v>680</v>
      </c>
      <c r="G6" s="24" t="s">
        <v>676</v>
      </c>
    </row>
    <row r="7" customFormat="false" ht="15" hidden="false" customHeight="false" outlineLevel="0" collapsed="false">
      <c r="A7" s="24" t="s">
        <v>3</v>
      </c>
      <c r="B7" s="24" t="s">
        <v>524</v>
      </c>
      <c r="C7" s="24" t="s">
        <v>681</v>
      </c>
      <c r="D7" s="24" t="s">
        <v>682</v>
      </c>
      <c r="E7" s="47" t="n">
        <v>26200000</v>
      </c>
      <c r="F7" s="24" t="s">
        <v>683</v>
      </c>
      <c r="G7" s="24" t="s">
        <v>666</v>
      </c>
    </row>
    <row r="8" customFormat="false" ht="15" hidden="false" customHeight="false" outlineLevel="0" collapsed="false">
      <c r="A8" s="24" t="s">
        <v>3</v>
      </c>
      <c r="B8" s="24" t="s">
        <v>684</v>
      </c>
      <c r="C8" s="24" t="s">
        <v>685</v>
      </c>
      <c r="D8" s="24" t="s">
        <v>682</v>
      </c>
      <c r="E8" s="47" t="n">
        <v>37800000</v>
      </c>
      <c r="F8" s="24" t="s">
        <v>686</v>
      </c>
      <c r="G8" s="24" t="s">
        <v>666</v>
      </c>
    </row>
    <row r="9" customFormat="false" ht="15" hidden="false" customHeight="false" outlineLevel="0" collapsed="false">
      <c r="A9" s="24" t="s">
        <v>3</v>
      </c>
      <c r="B9" s="24" t="s">
        <v>607</v>
      </c>
      <c r="C9" s="24" t="s">
        <v>687</v>
      </c>
      <c r="D9" s="24" t="s">
        <v>688</v>
      </c>
      <c r="E9" s="47" t="n">
        <v>16000000</v>
      </c>
      <c r="F9" s="24" t="s">
        <v>689</v>
      </c>
      <c r="G9" s="24" t="s">
        <v>676</v>
      </c>
    </row>
    <row r="10" customFormat="false" ht="15" hidden="false" customHeight="false" outlineLevel="0" collapsed="false">
      <c r="A10" s="24" t="s">
        <v>3</v>
      </c>
      <c r="B10" s="24" t="s">
        <v>690</v>
      </c>
      <c r="C10" s="24" t="s">
        <v>691</v>
      </c>
      <c r="D10" s="24" t="s">
        <v>692</v>
      </c>
      <c r="E10" s="47" t="n">
        <v>75000000</v>
      </c>
      <c r="F10" s="24" t="s">
        <v>693</v>
      </c>
      <c r="G10" s="24" t="s">
        <v>676</v>
      </c>
    </row>
    <row r="11" customFormat="false" ht="15" hidden="false" customHeight="false" outlineLevel="0" collapsed="false">
      <c r="A11" s="24" t="s">
        <v>2</v>
      </c>
      <c r="B11" s="24" t="s">
        <v>85</v>
      </c>
      <c r="C11" s="24" t="s">
        <v>694</v>
      </c>
      <c r="D11" s="24" t="s">
        <v>695</v>
      </c>
      <c r="E11" s="47" t="n">
        <v>1003909178</v>
      </c>
      <c r="F11" s="24" t="s">
        <v>696</v>
      </c>
      <c r="G11" s="24" t="s">
        <v>676</v>
      </c>
    </row>
    <row r="12" customFormat="false" ht="15" hidden="false" customHeight="false" outlineLevel="0" collapsed="false">
      <c r="A12" s="24" t="s">
        <v>5</v>
      </c>
      <c r="B12" s="24" t="s">
        <v>697</v>
      </c>
      <c r="C12" s="24" t="s">
        <v>698</v>
      </c>
      <c r="D12" s="24" t="s">
        <v>699</v>
      </c>
      <c r="E12" s="47" t="n">
        <v>1453500000</v>
      </c>
      <c r="F12" s="24" t="s">
        <v>700</v>
      </c>
      <c r="G12" s="24" t="s">
        <v>676</v>
      </c>
    </row>
    <row r="13" customFormat="false" ht="15" hidden="false" customHeight="false" outlineLevel="0" collapsed="false">
      <c r="A13" s="24" t="s">
        <v>5</v>
      </c>
      <c r="B13" s="24" t="s">
        <v>701</v>
      </c>
      <c r="C13" s="24" t="s">
        <v>702</v>
      </c>
      <c r="D13" s="24" t="s">
        <v>703</v>
      </c>
      <c r="E13" s="47" t="n">
        <v>296291000</v>
      </c>
      <c r="F13" s="24" t="s">
        <v>704</v>
      </c>
      <c r="G13" s="24" t="s">
        <v>666</v>
      </c>
    </row>
    <row r="14" customFormat="false" ht="15" hidden="false" customHeight="false" outlineLevel="0" collapsed="false">
      <c r="A14" s="24" t="s">
        <v>2</v>
      </c>
      <c r="B14" s="24" t="s">
        <v>85</v>
      </c>
      <c r="C14" s="24" t="s">
        <v>705</v>
      </c>
      <c r="D14" s="24" t="s">
        <v>706</v>
      </c>
      <c r="E14" s="47" t="n">
        <v>1022803457</v>
      </c>
      <c r="F14" s="24" t="s">
        <v>707</v>
      </c>
      <c r="G14" s="24" t="s">
        <v>676</v>
      </c>
    </row>
    <row r="15" customFormat="false" ht="15" hidden="false" customHeight="false" outlineLevel="0" collapsed="false">
      <c r="A15" s="24" t="s">
        <v>3</v>
      </c>
      <c r="B15" s="24" t="s">
        <v>708</v>
      </c>
      <c r="C15" s="24" t="s">
        <v>709</v>
      </c>
      <c r="D15" s="24" t="s">
        <v>682</v>
      </c>
      <c r="E15" s="47" t="n">
        <v>19140000</v>
      </c>
      <c r="F15" s="24" t="s">
        <v>710</v>
      </c>
      <c r="G15" s="24" t="s">
        <v>676</v>
      </c>
    </row>
    <row r="16" customFormat="false" ht="15" hidden="false" customHeight="false" outlineLevel="0" collapsed="false">
      <c r="A16" s="24" t="s">
        <v>3</v>
      </c>
      <c r="B16" s="24" t="s">
        <v>622</v>
      </c>
      <c r="C16" s="24" t="s">
        <v>711</v>
      </c>
      <c r="D16" s="24" t="s">
        <v>682</v>
      </c>
      <c r="E16" s="47" t="n">
        <v>20400000</v>
      </c>
      <c r="F16" s="24" t="s">
        <v>712</v>
      </c>
      <c r="G16" s="24" t="s">
        <v>676</v>
      </c>
    </row>
    <row r="17" customFormat="false" ht="15" hidden="false" customHeight="false" outlineLevel="0" collapsed="false">
      <c r="A17" s="24" t="s">
        <v>5</v>
      </c>
      <c r="B17" s="24" t="s">
        <v>713</v>
      </c>
      <c r="C17" s="24" t="s">
        <v>714</v>
      </c>
      <c r="D17" s="24" t="s">
        <v>715</v>
      </c>
      <c r="E17" s="47" t="n">
        <v>60000000</v>
      </c>
      <c r="F17" s="24" t="s">
        <v>716</v>
      </c>
      <c r="G17" s="24" t="s">
        <v>676</v>
      </c>
    </row>
    <row r="18" customFormat="false" ht="15" hidden="false" customHeight="false" outlineLevel="0" collapsed="false">
      <c r="A18" s="24" t="s">
        <v>2</v>
      </c>
      <c r="B18" s="24" t="s">
        <v>85</v>
      </c>
      <c r="C18" s="24" t="s">
        <v>717</v>
      </c>
      <c r="D18" s="24" t="s">
        <v>718</v>
      </c>
      <c r="E18" s="47" t="n">
        <v>960679500</v>
      </c>
      <c r="F18" s="24" t="s">
        <v>719</v>
      </c>
      <c r="G18" s="24" t="s">
        <v>676</v>
      </c>
    </row>
    <row r="19" customFormat="false" ht="15" hidden="false" customHeight="false" outlineLevel="0" collapsed="false">
      <c r="A19" s="24" t="s">
        <v>5</v>
      </c>
      <c r="B19" s="24" t="s">
        <v>538</v>
      </c>
      <c r="C19" s="24" t="s">
        <v>720</v>
      </c>
      <c r="D19" s="24" t="s">
        <v>721</v>
      </c>
      <c r="E19" s="47" t="n">
        <v>16500000</v>
      </c>
      <c r="F19" s="24" t="s">
        <v>722</v>
      </c>
      <c r="G19" s="24" t="s">
        <v>676</v>
      </c>
    </row>
    <row r="20" customFormat="false" ht="15" hidden="false" customHeight="false" outlineLevel="0" collapsed="false">
      <c r="A20" s="24" t="s">
        <v>3</v>
      </c>
      <c r="B20" s="24" t="s">
        <v>723</v>
      </c>
      <c r="C20" s="24" t="s">
        <v>724</v>
      </c>
      <c r="D20" s="24" t="s">
        <v>682</v>
      </c>
      <c r="E20" s="47" t="n">
        <v>18000000</v>
      </c>
      <c r="F20" s="24" t="s">
        <v>725</v>
      </c>
      <c r="G20" s="24" t="s">
        <v>676</v>
      </c>
    </row>
    <row r="21" customFormat="false" ht="15" hidden="false" customHeight="false" outlineLevel="0" collapsed="false">
      <c r="A21" s="24" t="s">
        <v>5</v>
      </c>
      <c r="B21" s="24" t="s">
        <v>538</v>
      </c>
      <c r="C21" s="24" t="s">
        <v>726</v>
      </c>
      <c r="D21" s="24" t="s">
        <v>727</v>
      </c>
      <c r="E21" s="47" t="n">
        <v>48000000</v>
      </c>
      <c r="F21" s="24" t="s">
        <v>728</v>
      </c>
      <c r="G21" s="24" t="s">
        <v>676</v>
      </c>
    </row>
    <row r="22" customFormat="false" ht="15" hidden="false" customHeight="false" outlineLevel="0" collapsed="false">
      <c r="A22" s="24" t="s">
        <v>3</v>
      </c>
      <c r="B22" s="24" t="s">
        <v>729</v>
      </c>
      <c r="C22" s="24" t="s">
        <v>730</v>
      </c>
      <c r="D22" s="24" t="s">
        <v>731</v>
      </c>
      <c r="E22" s="47" t="n">
        <v>2986525000</v>
      </c>
      <c r="F22" s="24" t="s">
        <v>728</v>
      </c>
      <c r="G22" s="24" t="s">
        <v>676</v>
      </c>
    </row>
    <row r="23" customFormat="false" ht="15" hidden="false" customHeight="false" outlineLevel="0" collapsed="false">
      <c r="A23" s="24" t="s">
        <v>3</v>
      </c>
      <c r="B23" s="24" t="s">
        <v>732</v>
      </c>
      <c r="C23" s="24" t="s">
        <v>733</v>
      </c>
      <c r="D23" s="24" t="s">
        <v>734</v>
      </c>
      <c r="E23" s="47" t="n">
        <v>12600000</v>
      </c>
      <c r="F23" s="24" t="s">
        <v>735</v>
      </c>
      <c r="G23" s="24" t="s">
        <v>676</v>
      </c>
    </row>
    <row r="24" customFormat="false" ht="15" hidden="false" customHeight="false" outlineLevel="0" collapsed="false">
      <c r="A24" s="24" t="s">
        <v>5</v>
      </c>
      <c r="B24" s="24" t="s">
        <v>736</v>
      </c>
      <c r="C24" s="24" t="s">
        <v>737</v>
      </c>
      <c r="D24" s="24" t="s">
        <v>738</v>
      </c>
      <c r="E24" s="47" t="n">
        <v>2500000</v>
      </c>
      <c r="F24" s="24" t="s">
        <v>739</v>
      </c>
      <c r="G24" s="24" t="s">
        <v>676</v>
      </c>
    </row>
    <row r="25" customFormat="false" ht="15" hidden="false" customHeight="false" outlineLevel="0" collapsed="false">
      <c r="A25" s="24" t="s">
        <v>2</v>
      </c>
      <c r="B25" s="24" t="s">
        <v>85</v>
      </c>
      <c r="C25" s="24" t="s">
        <v>740</v>
      </c>
      <c r="D25" s="24" t="s">
        <v>741</v>
      </c>
      <c r="E25" s="47" t="n">
        <v>963300542</v>
      </c>
      <c r="F25" s="24" t="s">
        <v>742</v>
      </c>
      <c r="G25" s="24" t="s">
        <v>676</v>
      </c>
    </row>
    <row r="26" customFormat="false" ht="15" hidden="false" customHeight="false" outlineLevel="0" collapsed="false">
      <c r="A26" s="24" t="s">
        <v>3</v>
      </c>
      <c r="B26" s="24" t="s">
        <v>612</v>
      </c>
      <c r="C26" s="24" t="s">
        <v>743</v>
      </c>
      <c r="D26" s="24" t="s">
        <v>682</v>
      </c>
      <c r="E26" s="47" t="n">
        <v>13200000</v>
      </c>
      <c r="F26" s="24" t="s">
        <v>744</v>
      </c>
      <c r="G26" s="24" t="s">
        <v>676</v>
      </c>
    </row>
    <row r="27" customFormat="false" ht="15" hidden="false" customHeight="false" outlineLevel="0" collapsed="false">
      <c r="A27" s="24" t="s">
        <v>5</v>
      </c>
      <c r="B27" s="24" t="s">
        <v>745</v>
      </c>
      <c r="C27" s="24" t="s">
        <v>746</v>
      </c>
      <c r="D27" s="24" t="s">
        <v>747</v>
      </c>
      <c r="E27" s="47" t="n">
        <v>40000000</v>
      </c>
      <c r="F27" s="24" t="s">
        <v>748</v>
      </c>
      <c r="G27" s="24" t="s">
        <v>676</v>
      </c>
    </row>
    <row r="28" customFormat="false" ht="15" hidden="false" customHeight="false" outlineLevel="0" collapsed="false">
      <c r="A28" s="24" t="s">
        <v>2</v>
      </c>
      <c r="B28" s="24" t="s">
        <v>85</v>
      </c>
      <c r="C28" s="24" t="s">
        <v>749</v>
      </c>
      <c r="D28" s="24" t="s">
        <v>750</v>
      </c>
      <c r="E28" s="47" t="n">
        <v>924438273</v>
      </c>
      <c r="F28" s="24" t="s">
        <v>751</v>
      </c>
      <c r="G28" s="24" t="s">
        <v>676</v>
      </c>
    </row>
    <row r="29" customFormat="false" ht="15" hidden="false" customHeight="false" outlineLevel="0" collapsed="false">
      <c r="A29" s="24" t="s">
        <v>5</v>
      </c>
      <c r="B29" s="24" t="s">
        <v>752</v>
      </c>
      <c r="C29" s="24" t="s">
        <v>753</v>
      </c>
      <c r="D29" s="24" t="s">
        <v>754</v>
      </c>
      <c r="E29" s="47" t="n">
        <v>35000000</v>
      </c>
      <c r="F29" s="24" t="s">
        <v>755</v>
      </c>
      <c r="G29" s="24" t="s">
        <v>666</v>
      </c>
    </row>
    <row r="30" customFormat="false" ht="15" hidden="false" customHeight="false" outlineLevel="0" collapsed="false">
      <c r="A30" s="24" t="s">
        <v>3</v>
      </c>
      <c r="B30" s="24" t="s">
        <v>607</v>
      </c>
      <c r="C30" s="24" t="s">
        <v>756</v>
      </c>
      <c r="D30" s="24" t="s">
        <v>757</v>
      </c>
      <c r="E30" s="47" t="n">
        <v>30000000</v>
      </c>
      <c r="F30" s="24" t="s">
        <v>758</v>
      </c>
      <c r="G30" s="24" t="s">
        <v>676</v>
      </c>
    </row>
    <row r="31" customFormat="false" ht="15" hidden="false" customHeight="false" outlineLevel="0" collapsed="false">
      <c r="A31" s="24" t="s">
        <v>5</v>
      </c>
      <c r="B31" s="24" t="s">
        <v>759</v>
      </c>
      <c r="C31" s="24" t="s">
        <v>760</v>
      </c>
      <c r="D31" s="24" t="s">
        <v>761</v>
      </c>
      <c r="E31" s="47" t="n">
        <v>54000000</v>
      </c>
      <c r="F31" s="24" t="s">
        <v>762</v>
      </c>
      <c r="G31" s="24" t="s">
        <v>676</v>
      </c>
    </row>
    <row r="32" customFormat="false" ht="15" hidden="false" customHeight="false" outlineLevel="0" collapsed="false">
      <c r="A32" s="24" t="s">
        <v>3</v>
      </c>
      <c r="B32" s="24" t="s">
        <v>763</v>
      </c>
      <c r="C32" s="24" t="s">
        <v>764</v>
      </c>
      <c r="D32" s="24" t="s">
        <v>765</v>
      </c>
      <c r="E32" s="47" t="n">
        <v>28500000</v>
      </c>
      <c r="F32" s="24" t="s">
        <v>766</v>
      </c>
      <c r="G32" s="24" t="s">
        <v>676</v>
      </c>
    </row>
    <row r="33" customFormat="false" ht="15" hidden="false" customHeight="false" outlineLevel="0" collapsed="false">
      <c r="A33" s="24" t="s">
        <v>5</v>
      </c>
      <c r="B33" s="24" t="s">
        <v>538</v>
      </c>
      <c r="C33" s="24" t="s">
        <v>767</v>
      </c>
      <c r="D33" s="24" t="s">
        <v>768</v>
      </c>
      <c r="E33" s="47" t="n">
        <v>34500000</v>
      </c>
      <c r="F33" s="24" t="s">
        <v>766</v>
      </c>
      <c r="G33" s="24" t="s">
        <v>676</v>
      </c>
    </row>
    <row r="34" customFormat="false" ht="15" hidden="false" customHeight="false" outlineLevel="0" collapsed="false">
      <c r="A34" s="24" t="s">
        <v>2</v>
      </c>
      <c r="B34" s="24" t="s">
        <v>85</v>
      </c>
      <c r="C34" s="24" t="s">
        <v>769</v>
      </c>
      <c r="D34" s="24" t="s">
        <v>770</v>
      </c>
      <c r="E34" s="47" t="n">
        <v>858195940</v>
      </c>
      <c r="F34" s="24" t="s">
        <v>771</v>
      </c>
      <c r="G34" s="24" t="s">
        <v>676</v>
      </c>
    </row>
    <row r="35" customFormat="false" ht="15" hidden="false" customHeight="false" outlineLevel="0" collapsed="false">
      <c r="A35" s="24" t="s">
        <v>3</v>
      </c>
      <c r="B35" s="24" t="s">
        <v>729</v>
      </c>
      <c r="C35" s="24" t="s">
        <v>772</v>
      </c>
      <c r="D35" s="24" t="s">
        <v>773</v>
      </c>
      <c r="E35" s="47" t="n">
        <v>48000000</v>
      </c>
      <c r="F35" s="24" t="s">
        <v>771</v>
      </c>
      <c r="G35" s="24" t="s">
        <v>676</v>
      </c>
    </row>
    <row r="36" customFormat="false" ht="15" hidden="false" customHeight="false" outlineLevel="0" collapsed="false">
      <c r="A36" s="24" t="s">
        <v>5</v>
      </c>
      <c r="B36" s="24" t="s">
        <v>538</v>
      </c>
      <c r="C36" s="24" t="s">
        <v>774</v>
      </c>
      <c r="D36" s="24" t="s">
        <v>775</v>
      </c>
      <c r="E36" s="47" t="n">
        <v>16500000</v>
      </c>
      <c r="F36" s="24" t="s">
        <v>776</v>
      </c>
      <c r="G36" s="24" t="s">
        <v>666</v>
      </c>
    </row>
    <row r="37" customFormat="false" ht="15" hidden="false" customHeight="false" outlineLevel="0" collapsed="false">
      <c r="A37" s="24" t="s">
        <v>2</v>
      </c>
      <c r="B37" s="24" t="s">
        <v>85</v>
      </c>
      <c r="C37" s="24" t="s">
        <v>777</v>
      </c>
      <c r="D37" s="24" t="s">
        <v>778</v>
      </c>
      <c r="E37" s="47" t="n">
        <v>867129105</v>
      </c>
      <c r="F37" s="24" t="s">
        <v>779</v>
      </c>
      <c r="G37" s="24" t="s">
        <v>676</v>
      </c>
    </row>
    <row r="38" customFormat="false" ht="15" hidden="false" customHeight="false" outlineLevel="0" collapsed="false">
      <c r="A38" s="24" t="s">
        <v>3</v>
      </c>
      <c r="B38" s="24" t="s">
        <v>618</v>
      </c>
      <c r="C38" s="24" t="s">
        <v>780</v>
      </c>
      <c r="D38" s="24" t="s">
        <v>781</v>
      </c>
      <c r="E38" s="47" t="n">
        <v>100005000</v>
      </c>
      <c r="F38" s="24" t="s">
        <v>782</v>
      </c>
      <c r="G38" s="24" t="s">
        <v>676</v>
      </c>
    </row>
    <row r="39" customFormat="false" ht="15" hidden="false" customHeight="false" outlineLevel="0" collapsed="false">
      <c r="A39" s="24" t="s">
        <v>3</v>
      </c>
      <c r="B39" s="24" t="s">
        <v>783</v>
      </c>
      <c r="C39" s="24" t="s">
        <v>784</v>
      </c>
      <c r="D39" s="24" t="s">
        <v>682</v>
      </c>
      <c r="E39" s="47" t="n">
        <v>16200000</v>
      </c>
      <c r="F39" s="24" t="s">
        <v>785</v>
      </c>
      <c r="G39" s="24" t="s">
        <v>666</v>
      </c>
    </row>
    <row r="40" customFormat="false" ht="15" hidden="false" customHeight="false" outlineLevel="0" collapsed="false">
      <c r="A40" s="24" t="s">
        <v>3</v>
      </c>
      <c r="B40" s="24" t="s">
        <v>786</v>
      </c>
      <c r="C40" s="24" t="s">
        <v>787</v>
      </c>
      <c r="D40" s="24" t="s">
        <v>682</v>
      </c>
      <c r="E40" s="47" t="n">
        <v>18000000</v>
      </c>
      <c r="F40" s="24" t="s">
        <v>785</v>
      </c>
      <c r="G40" s="24" t="s">
        <v>676</v>
      </c>
    </row>
    <row r="41" customFormat="false" ht="15" hidden="false" customHeight="false" outlineLevel="0" collapsed="false">
      <c r="A41" s="24" t="s">
        <v>2</v>
      </c>
      <c r="B41" s="24" t="s">
        <v>85</v>
      </c>
      <c r="C41" s="24" t="s">
        <v>788</v>
      </c>
      <c r="D41" s="24" t="s">
        <v>789</v>
      </c>
      <c r="E41" s="47" t="n">
        <v>866631085</v>
      </c>
      <c r="F41" s="24" t="s">
        <v>790</v>
      </c>
      <c r="G41" s="24" t="s">
        <v>676</v>
      </c>
    </row>
    <row r="42" customFormat="false" ht="15" hidden="false" customHeight="false" outlineLevel="0" collapsed="false">
      <c r="A42" s="24" t="s">
        <v>3</v>
      </c>
      <c r="B42" s="24" t="s">
        <v>791</v>
      </c>
      <c r="C42" s="24" t="s">
        <v>792</v>
      </c>
      <c r="D42" s="24" t="s">
        <v>682</v>
      </c>
      <c r="E42" s="47" t="n">
        <v>27500000</v>
      </c>
      <c r="F42" s="24" t="s">
        <v>793</v>
      </c>
      <c r="G42" s="24" t="s">
        <v>666</v>
      </c>
    </row>
    <row r="43" customFormat="false" ht="15" hidden="false" customHeight="false" outlineLevel="0" collapsed="false">
      <c r="A43" s="24" t="s">
        <v>5</v>
      </c>
      <c r="B43" s="24" t="s">
        <v>794</v>
      </c>
      <c r="C43" s="24" t="s">
        <v>795</v>
      </c>
      <c r="D43" s="24" t="s">
        <v>796</v>
      </c>
      <c r="E43" s="47" t="n">
        <v>510000000</v>
      </c>
      <c r="F43" s="24" t="s">
        <v>797</v>
      </c>
      <c r="G43" s="24" t="s">
        <v>666</v>
      </c>
    </row>
    <row r="44" customFormat="false" ht="15" hidden="false" customHeight="false" outlineLevel="0" collapsed="false">
      <c r="A44" s="24" t="s">
        <v>3</v>
      </c>
      <c r="B44" s="24" t="s">
        <v>634</v>
      </c>
      <c r="C44" s="24" t="s">
        <v>798</v>
      </c>
      <c r="D44" s="24" t="s">
        <v>682</v>
      </c>
      <c r="E44" s="47" t="n">
        <v>13500000</v>
      </c>
      <c r="F44" s="24" t="s">
        <v>799</v>
      </c>
      <c r="G44" s="24" t="s">
        <v>666</v>
      </c>
    </row>
    <row r="45" customFormat="false" ht="15" hidden="false" customHeight="false" outlineLevel="0" collapsed="false">
      <c r="A45" s="346"/>
      <c r="B45" s="346"/>
      <c r="C45" s="346"/>
      <c r="D45" s="346"/>
      <c r="E45" s="346"/>
      <c r="F45" s="346"/>
      <c r="G45" s="346"/>
    </row>
    <row r="46" customFormat="false" ht="15" hidden="false" customHeight="false" outlineLevel="0" collapsed="false">
      <c r="A46" s="346"/>
      <c r="B46" s="346"/>
      <c r="C46" s="346"/>
      <c r="D46" s="346"/>
      <c r="E46" s="346"/>
      <c r="F46" s="346"/>
      <c r="G46" s="346"/>
    </row>
    <row r="47" customFormat="false" ht="15" hidden="false" customHeight="false" outlineLevel="0" collapsed="false">
      <c r="A47" s="346"/>
      <c r="B47" s="346"/>
      <c r="C47" s="346"/>
      <c r="D47" s="346"/>
      <c r="E47" s="346"/>
      <c r="F47" s="346"/>
      <c r="G47" s="346"/>
    </row>
    <row r="48" customFormat="false" ht="15" hidden="false" customHeight="false" outlineLevel="0" collapsed="false">
      <c r="A48" s="346"/>
      <c r="B48" s="346"/>
      <c r="C48" s="346"/>
      <c r="D48" s="346"/>
      <c r="E48" s="346"/>
      <c r="F48" s="346"/>
      <c r="G48" s="346"/>
    </row>
    <row r="49" customFormat="false" ht="15" hidden="false" customHeight="false" outlineLevel="0" collapsed="false">
      <c r="A49" s="346"/>
      <c r="B49" s="346"/>
      <c r="C49" s="346"/>
      <c r="D49" s="346"/>
      <c r="E49" s="346"/>
      <c r="F49" s="346"/>
      <c r="G49" s="346"/>
    </row>
    <row r="50" customFormat="false" ht="15" hidden="false" customHeight="false" outlineLevel="0" collapsed="false">
      <c r="A50" s="346"/>
      <c r="B50" s="346"/>
      <c r="C50" s="346"/>
      <c r="D50" s="346"/>
      <c r="E50" s="346"/>
      <c r="F50" s="346"/>
      <c r="G50" s="346"/>
    </row>
    <row r="51" customFormat="false" ht="15" hidden="false" customHeight="false" outlineLevel="0" collapsed="false">
      <c r="A51" s="346"/>
      <c r="B51" s="346"/>
      <c r="C51" s="346"/>
      <c r="D51" s="346"/>
      <c r="E51" s="346"/>
      <c r="F51" s="346"/>
      <c r="G51" s="346"/>
    </row>
    <row r="52" customFormat="false" ht="15" hidden="false" customHeight="false" outlineLevel="0" collapsed="false">
      <c r="A52" s="346"/>
      <c r="B52" s="346"/>
      <c r="C52" s="346"/>
      <c r="D52" s="346"/>
      <c r="E52" s="346"/>
      <c r="F52" s="346"/>
      <c r="G52" s="346"/>
    </row>
    <row r="53" customFormat="false" ht="15" hidden="false" customHeight="false" outlineLevel="0" collapsed="false">
      <c r="A53" s="346"/>
      <c r="B53" s="346"/>
      <c r="C53" s="346"/>
      <c r="D53" s="346"/>
      <c r="E53" s="346"/>
      <c r="F53" s="346"/>
      <c r="G53" s="346"/>
    </row>
    <row r="54" customFormat="false" ht="15" hidden="false" customHeight="false" outlineLevel="0" collapsed="false">
      <c r="A54" s="346"/>
      <c r="B54" s="346"/>
      <c r="C54" s="346"/>
      <c r="D54" s="346"/>
      <c r="E54" s="346"/>
      <c r="F54" s="346"/>
      <c r="G54" s="346"/>
    </row>
    <row r="55" customFormat="false" ht="15" hidden="false" customHeight="false" outlineLevel="0" collapsed="false">
      <c r="A55" s="346"/>
      <c r="B55" s="346"/>
      <c r="C55" s="346"/>
      <c r="D55" s="346"/>
      <c r="E55" s="346"/>
      <c r="F55" s="346"/>
      <c r="G55" s="346"/>
    </row>
    <row r="56" customFormat="false" ht="15" hidden="false" customHeight="false" outlineLevel="0" collapsed="false">
      <c r="A56" s="346"/>
      <c r="B56" s="346"/>
      <c r="C56" s="346"/>
      <c r="D56" s="346"/>
      <c r="E56" s="346"/>
      <c r="F56" s="346"/>
      <c r="G56" s="346"/>
    </row>
    <row r="57" customFormat="false" ht="15" hidden="false" customHeight="false" outlineLevel="0" collapsed="false">
      <c r="A57" s="346"/>
      <c r="B57" s="346"/>
      <c r="C57" s="346"/>
      <c r="D57" s="346"/>
      <c r="E57" s="346"/>
      <c r="F57" s="346"/>
      <c r="G57" s="346"/>
    </row>
    <row r="58" customFormat="false" ht="15" hidden="false" customHeight="false" outlineLevel="0" collapsed="false">
      <c r="A58" s="346"/>
      <c r="B58" s="346"/>
      <c r="C58" s="346"/>
      <c r="D58" s="346"/>
      <c r="E58" s="346"/>
      <c r="F58" s="346"/>
      <c r="G58" s="346"/>
    </row>
    <row r="59" customFormat="false" ht="15" hidden="false" customHeight="false" outlineLevel="0" collapsed="false">
      <c r="A59" s="346"/>
      <c r="B59" s="346"/>
      <c r="C59" s="346"/>
      <c r="D59" s="346"/>
      <c r="E59" s="346"/>
      <c r="F59" s="346"/>
      <c r="G59" s="346"/>
    </row>
    <row r="60" customFormat="false" ht="15" hidden="false" customHeight="false" outlineLevel="0" collapsed="false">
      <c r="A60" s="346"/>
      <c r="B60" s="346"/>
      <c r="C60" s="346"/>
      <c r="D60" s="346"/>
      <c r="E60" s="346"/>
      <c r="F60" s="346"/>
      <c r="G60" s="346"/>
    </row>
    <row r="61" customFormat="false" ht="15" hidden="false" customHeight="false" outlineLevel="0" collapsed="false">
      <c r="A61" s="346"/>
      <c r="B61" s="346"/>
      <c r="C61" s="346"/>
      <c r="D61" s="346"/>
      <c r="E61" s="346"/>
      <c r="F61" s="346"/>
      <c r="G61" s="346"/>
    </row>
    <row r="62" customFormat="false" ht="15" hidden="false" customHeight="false" outlineLevel="0" collapsed="false">
      <c r="A62" s="346"/>
      <c r="B62" s="346"/>
      <c r="C62" s="346"/>
      <c r="D62" s="346"/>
      <c r="E62" s="346"/>
      <c r="F62" s="346"/>
      <c r="G62" s="346"/>
    </row>
    <row r="63" customFormat="false" ht="15" hidden="false" customHeight="false" outlineLevel="0" collapsed="false">
      <c r="A63" s="346"/>
      <c r="B63" s="346"/>
      <c r="C63" s="346"/>
      <c r="D63" s="346"/>
      <c r="E63" s="346"/>
      <c r="F63" s="346"/>
      <c r="G63" s="346"/>
    </row>
    <row r="64" customFormat="false" ht="15" hidden="false" customHeight="false" outlineLevel="0" collapsed="false">
      <c r="A64" s="346"/>
      <c r="B64" s="346"/>
      <c r="C64" s="346"/>
      <c r="D64" s="346"/>
      <c r="E64" s="346"/>
      <c r="F64" s="346"/>
      <c r="G64" s="346"/>
    </row>
    <row r="65" customFormat="false" ht="15" hidden="false" customHeight="false" outlineLevel="0" collapsed="false">
      <c r="A65" s="346"/>
      <c r="B65" s="346"/>
      <c r="C65" s="346"/>
      <c r="D65" s="346"/>
      <c r="E65" s="346"/>
      <c r="F65" s="346"/>
      <c r="G65" s="346"/>
    </row>
    <row r="66" customFormat="false" ht="15" hidden="false" customHeight="false" outlineLevel="0" collapsed="false">
      <c r="A66" s="346"/>
      <c r="B66" s="346"/>
      <c r="C66" s="346"/>
      <c r="D66" s="346"/>
      <c r="E66" s="346"/>
      <c r="F66" s="346"/>
      <c r="G66" s="346"/>
    </row>
    <row r="67" customFormat="false" ht="15" hidden="false" customHeight="false" outlineLevel="0" collapsed="false">
      <c r="A67" s="346"/>
      <c r="B67" s="346"/>
      <c r="C67" s="346"/>
      <c r="D67" s="346"/>
      <c r="E67" s="346"/>
      <c r="F67" s="346"/>
      <c r="G67" s="346"/>
    </row>
    <row r="68" customFormat="false" ht="15" hidden="false" customHeight="false" outlineLevel="0" collapsed="false">
      <c r="A68" s="346"/>
      <c r="B68" s="346"/>
      <c r="C68" s="346"/>
      <c r="D68" s="346"/>
      <c r="E68" s="346"/>
      <c r="F68" s="346"/>
      <c r="G68" s="346"/>
    </row>
    <row r="69" customFormat="false" ht="15" hidden="false" customHeight="false" outlineLevel="0" collapsed="false">
      <c r="A69" s="346"/>
      <c r="B69" s="346"/>
      <c r="C69" s="346"/>
      <c r="D69" s="346"/>
      <c r="E69" s="346"/>
      <c r="F69" s="346"/>
      <c r="G69" s="346"/>
    </row>
    <row r="70" customFormat="false" ht="15" hidden="false" customHeight="false" outlineLevel="0" collapsed="false">
      <c r="A70" s="346"/>
      <c r="B70" s="346"/>
      <c r="C70" s="346"/>
      <c r="D70" s="346"/>
      <c r="E70" s="346"/>
      <c r="F70" s="346"/>
      <c r="G70" s="346"/>
    </row>
    <row r="71" customFormat="false" ht="15" hidden="false" customHeight="false" outlineLevel="0" collapsed="false">
      <c r="A71" s="346"/>
      <c r="B71" s="346"/>
      <c r="C71" s="346"/>
      <c r="D71" s="346"/>
      <c r="E71" s="346"/>
      <c r="F71" s="346"/>
      <c r="G71" s="346"/>
    </row>
    <row r="72" customFormat="false" ht="15" hidden="false" customHeight="false" outlineLevel="0" collapsed="false">
      <c r="A72" s="346"/>
      <c r="B72" s="346"/>
      <c r="C72" s="346"/>
      <c r="D72" s="346"/>
      <c r="E72" s="346"/>
      <c r="F72" s="346"/>
      <c r="G72" s="346"/>
    </row>
    <row r="73" customFormat="false" ht="15" hidden="false" customHeight="false" outlineLevel="0" collapsed="false">
      <c r="A73" s="346"/>
      <c r="B73" s="346"/>
      <c r="C73" s="346"/>
      <c r="D73" s="346"/>
      <c r="E73" s="346"/>
      <c r="F73" s="346"/>
      <c r="G73" s="346"/>
    </row>
    <row r="74" customFormat="false" ht="15" hidden="false" customHeight="false" outlineLevel="0" collapsed="false">
      <c r="A74" s="346"/>
      <c r="B74" s="346"/>
      <c r="C74" s="346"/>
      <c r="D74" s="346"/>
      <c r="E74" s="346"/>
      <c r="F74" s="346"/>
      <c r="G74" s="346"/>
    </row>
    <row r="75" customFormat="false" ht="15" hidden="false" customHeight="false" outlineLevel="0" collapsed="false">
      <c r="A75" s="346"/>
      <c r="B75" s="346"/>
      <c r="C75" s="346"/>
      <c r="D75" s="346"/>
      <c r="E75" s="346"/>
      <c r="F75" s="346"/>
      <c r="G75" s="346"/>
    </row>
    <row r="76" customFormat="false" ht="15" hidden="false" customHeight="false" outlineLevel="0" collapsed="false">
      <c r="A76" s="346"/>
      <c r="B76" s="346"/>
      <c r="C76" s="346"/>
      <c r="D76" s="346"/>
      <c r="E76" s="346"/>
      <c r="F76" s="346"/>
      <c r="G76" s="346"/>
    </row>
    <row r="77" customFormat="false" ht="15" hidden="false" customHeight="false" outlineLevel="0" collapsed="false">
      <c r="A77" s="346"/>
      <c r="B77" s="346"/>
      <c r="C77" s="346"/>
      <c r="D77" s="346"/>
      <c r="E77" s="346"/>
      <c r="F77" s="346"/>
      <c r="G77" s="346"/>
    </row>
    <row r="78" customFormat="false" ht="15" hidden="false" customHeight="false" outlineLevel="0" collapsed="false">
      <c r="A78" s="346"/>
      <c r="B78" s="346"/>
      <c r="C78" s="346"/>
      <c r="D78" s="346"/>
      <c r="E78" s="346"/>
      <c r="F78" s="346"/>
      <c r="G78" s="346"/>
    </row>
    <row r="79" customFormat="false" ht="15" hidden="false" customHeight="false" outlineLevel="0" collapsed="false">
      <c r="A79" s="346"/>
      <c r="B79" s="346"/>
      <c r="C79" s="346"/>
      <c r="D79" s="346"/>
      <c r="E79" s="346"/>
      <c r="F79" s="346"/>
      <c r="G79" s="346"/>
    </row>
    <row r="80" customFormat="false" ht="15" hidden="false" customHeight="false" outlineLevel="0" collapsed="false">
      <c r="A80" s="346"/>
      <c r="B80" s="346"/>
      <c r="C80" s="346"/>
      <c r="D80" s="346"/>
      <c r="E80" s="346"/>
      <c r="F80" s="346"/>
      <c r="G80" s="346"/>
    </row>
    <row r="81" customFormat="false" ht="15" hidden="false" customHeight="false" outlineLevel="0" collapsed="false">
      <c r="A81" s="346"/>
      <c r="B81" s="346"/>
      <c r="C81" s="346"/>
      <c r="D81" s="346"/>
      <c r="E81" s="346"/>
      <c r="F81" s="346"/>
      <c r="G81" s="346"/>
    </row>
    <row r="82" customFormat="false" ht="15" hidden="false" customHeight="false" outlineLevel="0" collapsed="false">
      <c r="A82" s="346"/>
      <c r="B82" s="346"/>
      <c r="C82" s="346"/>
      <c r="D82" s="346"/>
      <c r="E82" s="346"/>
      <c r="F82" s="346"/>
      <c r="G82" s="346"/>
    </row>
    <row r="83" customFormat="false" ht="15" hidden="false" customHeight="false" outlineLevel="0" collapsed="false">
      <c r="A83" s="346"/>
      <c r="B83" s="346"/>
      <c r="C83" s="346"/>
      <c r="D83" s="346"/>
      <c r="E83" s="346"/>
      <c r="F83" s="346"/>
      <c r="G83" s="346"/>
    </row>
    <row r="84" customFormat="false" ht="15" hidden="false" customHeight="false" outlineLevel="0" collapsed="false">
      <c r="A84" s="346"/>
      <c r="B84" s="346"/>
      <c r="C84" s="346"/>
      <c r="D84" s="346"/>
      <c r="E84" s="346"/>
      <c r="F84" s="346"/>
      <c r="G84" s="346"/>
    </row>
    <row r="85" customFormat="false" ht="15" hidden="false" customHeight="false" outlineLevel="0" collapsed="false">
      <c r="A85" s="346"/>
      <c r="B85" s="346"/>
      <c r="C85" s="346"/>
      <c r="D85" s="346"/>
      <c r="E85" s="346"/>
      <c r="F85" s="346"/>
      <c r="G85" s="346"/>
    </row>
    <row r="86" customFormat="false" ht="15" hidden="false" customHeight="false" outlineLevel="0" collapsed="false">
      <c r="A86" s="346"/>
      <c r="B86" s="346"/>
      <c r="C86" s="346"/>
      <c r="D86" s="346"/>
      <c r="E86" s="346"/>
      <c r="F86" s="346"/>
      <c r="G86" s="346"/>
    </row>
    <row r="87" customFormat="false" ht="15" hidden="false" customHeight="false" outlineLevel="0" collapsed="false">
      <c r="A87" s="346"/>
      <c r="B87" s="346"/>
      <c r="C87" s="346"/>
      <c r="D87" s="346"/>
      <c r="E87" s="346"/>
      <c r="F87" s="346"/>
      <c r="G87" s="346"/>
    </row>
    <row r="88" customFormat="false" ht="15" hidden="false" customHeight="false" outlineLevel="0" collapsed="false">
      <c r="A88" s="346"/>
      <c r="B88" s="346"/>
      <c r="C88" s="346"/>
      <c r="D88" s="346"/>
      <c r="E88" s="346"/>
      <c r="F88" s="346"/>
      <c r="G88" s="346"/>
    </row>
    <row r="89" customFormat="false" ht="15" hidden="false" customHeight="false" outlineLevel="0" collapsed="false">
      <c r="A89" s="346"/>
      <c r="B89" s="346"/>
      <c r="C89" s="346"/>
      <c r="D89" s="346"/>
      <c r="E89" s="346"/>
      <c r="F89" s="346"/>
      <c r="G89" s="346"/>
    </row>
    <row r="90" customFormat="false" ht="15" hidden="false" customHeight="false" outlineLevel="0" collapsed="false">
      <c r="A90" s="346"/>
      <c r="B90" s="346"/>
      <c r="C90" s="346"/>
      <c r="D90" s="346"/>
      <c r="E90" s="346"/>
      <c r="F90" s="346"/>
      <c r="G90" s="346"/>
    </row>
    <row r="91" customFormat="false" ht="15" hidden="false" customHeight="false" outlineLevel="0" collapsed="false">
      <c r="A91" s="346"/>
      <c r="B91" s="346"/>
      <c r="C91" s="346"/>
      <c r="D91" s="346"/>
      <c r="E91" s="346"/>
      <c r="F91" s="346"/>
      <c r="G91" s="346"/>
    </row>
    <row r="92" customFormat="false" ht="15" hidden="false" customHeight="false" outlineLevel="0" collapsed="false">
      <c r="A92" s="346"/>
      <c r="B92" s="346"/>
      <c r="C92" s="346"/>
      <c r="D92" s="346"/>
      <c r="E92" s="346"/>
      <c r="F92" s="346"/>
      <c r="G92" s="346"/>
    </row>
    <row r="93" customFormat="false" ht="15" hidden="false" customHeight="false" outlineLevel="0" collapsed="false">
      <c r="A93" s="346"/>
      <c r="B93" s="346"/>
      <c r="C93" s="346"/>
      <c r="D93" s="346"/>
      <c r="E93" s="346"/>
      <c r="F93" s="346"/>
      <c r="G93" s="346"/>
    </row>
    <row r="94" customFormat="false" ht="15" hidden="false" customHeight="false" outlineLevel="0" collapsed="false">
      <c r="A94" s="346"/>
      <c r="B94" s="346"/>
      <c r="C94" s="346"/>
      <c r="D94" s="346"/>
      <c r="E94" s="346"/>
      <c r="F94" s="346"/>
      <c r="G94" s="346"/>
    </row>
    <row r="95" customFormat="false" ht="15" hidden="false" customHeight="false" outlineLevel="0" collapsed="false">
      <c r="A95" s="346"/>
      <c r="B95" s="346"/>
      <c r="C95" s="346"/>
      <c r="D95" s="346"/>
      <c r="E95" s="346"/>
      <c r="F95" s="346"/>
      <c r="G95" s="346"/>
    </row>
    <row r="96" customFormat="false" ht="15" hidden="false" customHeight="false" outlineLevel="0" collapsed="false">
      <c r="A96" s="346"/>
      <c r="B96" s="346"/>
      <c r="C96" s="346"/>
      <c r="D96" s="346"/>
      <c r="E96" s="346"/>
      <c r="F96" s="346"/>
      <c r="G96" s="346"/>
    </row>
    <row r="97" customFormat="false" ht="15" hidden="false" customHeight="false" outlineLevel="0" collapsed="false">
      <c r="A97" s="346"/>
      <c r="B97" s="346"/>
      <c r="C97" s="346"/>
      <c r="D97" s="346"/>
      <c r="E97" s="346"/>
      <c r="F97" s="346"/>
      <c r="G97" s="346"/>
    </row>
    <row r="98" customFormat="false" ht="15" hidden="false" customHeight="false" outlineLevel="0" collapsed="false">
      <c r="A98" s="346"/>
      <c r="B98" s="346"/>
      <c r="C98" s="346"/>
      <c r="D98" s="346"/>
      <c r="E98" s="346"/>
      <c r="F98" s="346"/>
      <c r="G98" s="346"/>
    </row>
    <row r="99" customFormat="false" ht="15" hidden="false" customHeight="false" outlineLevel="0" collapsed="false">
      <c r="A99" s="346"/>
      <c r="B99" s="346"/>
      <c r="C99" s="346"/>
      <c r="D99" s="346"/>
      <c r="E99" s="346"/>
      <c r="F99" s="346"/>
      <c r="G99" s="346"/>
    </row>
    <row r="100" customFormat="false" ht="15" hidden="false" customHeight="false" outlineLevel="0" collapsed="false">
      <c r="A100" s="346"/>
      <c r="B100" s="346"/>
      <c r="C100" s="346"/>
      <c r="D100" s="346"/>
      <c r="E100" s="346"/>
      <c r="F100" s="346"/>
      <c r="G100" s="346"/>
    </row>
    <row r="101" customFormat="false" ht="15" hidden="false" customHeight="false" outlineLevel="0" collapsed="false">
      <c r="A101" s="346"/>
      <c r="B101" s="346"/>
      <c r="C101" s="346"/>
      <c r="D101" s="346"/>
      <c r="E101" s="346"/>
      <c r="F101" s="346"/>
      <c r="G101" s="346"/>
      <c r="H101" s="1" t="s">
        <v>800</v>
      </c>
    </row>
  </sheetData>
  <autoFilter ref="A1:N37"/>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BF1DE"/>
    <pageSetUpPr fitToPage="false"/>
  </sheetPr>
  <dimension ref="A1:O106"/>
  <sheetViews>
    <sheetView showFormulas="false" showGridLines="true" showRowColHeaders="true" showZeros="true" rightToLeft="false" tabSelected="false" showOutlineSymbols="true" defaultGridColor="true" view="normal" topLeftCell="A10" colorId="64" zoomScale="75" zoomScaleNormal="75" zoomScalePageLayoutView="100" workbookViewId="0">
      <selection pane="topLeft" activeCell="J18" activeCellId="0" sqref="J18"/>
    </sheetView>
  </sheetViews>
  <sheetFormatPr defaultColWidth="8.6796875" defaultRowHeight="15" customHeight="false" zeroHeight="false" outlineLevelRow="0" outlineLevelCol="0"/>
  <cols>
    <col collapsed="false" customWidth="true" hidden="false" outlineLevel="0" max="1" min="1" style="1" width="8.42"/>
    <col collapsed="false" customWidth="true" hidden="false" outlineLevel="0" max="2" min="2" style="1" width="39"/>
    <col collapsed="false" customWidth="true" hidden="false" outlineLevel="0" max="3" min="3" style="1" width="25.71"/>
    <col collapsed="false" customWidth="true" hidden="false" outlineLevel="0" max="4" min="4" style="1" width="42.14"/>
    <col collapsed="false" customWidth="true" hidden="false" outlineLevel="0" max="5" min="5" style="47" width="15.65"/>
    <col collapsed="false" customWidth="true" hidden="false" outlineLevel="0" max="6" min="6" style="1" width="14.6"/>
    <col collapsed="false" customWidth="true" hidden="false" outlineLevel="0" max="7" min="7" style="1" width="16.2"/>
    <col collapsed="false" customWidth="true" hidden="false" outlineLevel="0" max="9" min="8" style="1" width="15.14"/>
    <col collapsed="false" customWidth="true" hidden="false" outlineLevel="0" max="10" min="10" style="1" width="7.86"/>
    <col collapsed="false" customWidth="true" hidden="false" outlineLevel="0" max="11" min="11" style="1" width="13.86"/>
    <col collapsed="false" customWidth="true" hidden="false" outlineLevel="0" max="13" min="13" style="1" width="16.71"/>
    <col collapsed="false" customWidth="true" hidden="false" outlineLevel="0" max="14" min="14" style="1" width="12.71"/>
    <col collapsed="false" customWidth="true" hidden="false" outlineLevel="0" max="15" min="15" style="1" width="14.29"/>
  </cols>
  <sheetData>
    <row r="1" customFormat="false" ht="15" hidden="false" customHeight="false" outlineLevel="0" collapsed="false">
      <c r="A1" s="347" t="s">
        <v>656</v>
      </c>
      <c r="B1" s="347" t="s">
        <v>657</v>
      </c>
      <c r="C1" s="347" t="s">
        <v>658</v>
      </c>
      <c r="D1" s="347" t="s">
        <v>659</v>
      </c>
      <c r="E1" s="348" t="s">
        <v>660</v>
      </c>
      <c r="F1" s="347" t="s">
        <v>801</v>
      </c>
      <c r="G1" s="347" t="s">
        <v>662</v>
      </c>
      <c r="H1" s="347"/>
      <c r="I1" s="349" t="n">
        <f aca="false">K1+M1+O1</f>
        <v>15101978991</v>
      </c>
      <c r="J1" s="350" t="s">
        <v>3</v>
      </c>
      <c r="K1" s="351" t="n">
        <f aca="false">SUMIFS(E2:E1005,A2:A1005,"UNI")</f>
        <v>4924423600</v>
      </c>
      <c r="L1" s="352" t="s">
        <v>5</v>
      </c>
      <c r="M1" s="353" t="n">
        <f aca="false">SUMIFS(E2:E1005,A2:A1005,"G2B")</f>
        <v>2710468311</v>
      </c>
      <c r="N1" s="354" t="s">
        <v>2</v>
      </c>
      <c r="O1" s="355" t="n">
        <f aca="false">SUMIFS(E2:E1004,A2:A1004,"ITO")</f>
        <v>7467087080</v>
      </c>
    </row>
    <row r="2" customFormat="false" ht="15" hidden="false" customHeight="false" outlineLevel="0" collapsed="false">
      <c r="A2" s="24" t="s">
        <v>3</v>
      </c>
      <c r="B2" s="24" t="s">
        <v>677</v>
      </c>
      <c r="C2" s="24" t="s">
        <v>678</v>
      </c>
      <c r="D2" s="24" t="s">
        <v>802</v>
      </c>
      <c r="E2" s="47" t="n">
        <v>15800000</v>
      </c>
      <c r="F2" s="24" t="s">
        <v>803</v>
      </c>
      <c r="G2" s="24" t="s">
        <v>676</v>
      </c>
      <c r="H2" s="346"/>
    </row>
    <row r="3" customFormat="false" ht="15" hidden="false" customHeight="false" outlineLevel="0" collapsed="false">
      <c r="A3" s="24" t="s">
        <v>5</v>
      </c>
      <c r="B3" s="24" t="s">
        <v>642</v>
      </c>
      <c r="C3" s="24" t="s">
        <v>804</v>
      </c>
      <c r="D3" s="24" t="s">
        <v>805</v>
      </c>
      <c r="E3" s="47" t="n">
        <v>6000000</v>
      </c>
      <c r="F3" s="24" t="s">
        <v>806</v>
      </c>
      <c r="G3" s="24" t="s">
        <v>676</v>
      </c>
      <c r="H3" s="346"/>
    </row>
    <row r="4" customFormat="false" ht="15" hidden="false" customHeight="false" outlineLevel="0" collapsed="false">
      <c r="A4" s="24" t="s">
        <v>3</v>
      </c>
      <c r="B4" s="24" t="s">
        <v>524</v>
      </c>
      <c r="C4" s="24" t="s">
        <v>668</v>
      </c>
      <c r="D4" s="24" t="s">
        <v>807</v>
      </c>
      <c r="E4" s="47" t="n">
        <v>26200000</v>
      </c>
      <c r="F4" s="24" t="s">
        <v>686</v>
      </c>
      <c r="G4" s="24" t="s">
        <v>676</v>
      </c>
      <c r="H4" s="346"/>
    </row>
    <row r="5" customFormat="false" ht="15" hidden="false" customHeight="false" outlineLevel="0" collapsed="false">
      <c r="A5" s="24" t="s">
        <v>3</v>
      </c>
      <c r="B5" s="24" t="s">
        <v>618</v>
      </c>
      <c r="C5" s="24" t="s">
        <v>808</v>
      </c>
      <c r="D5" s="24" t="s">
        <v>809</v>
      </c>
      <c r="E5" s="47" t="n">
        <v>269466000</v>
      </c>
      <c r="F5" s="24" t="s">
        <v>810</v>
      </c>
      <c r="G5" s="24" t="s">
        <v>676</v>
      </c>
      <c r="H5" s="346"/>
    </row>
    <row r="6" customFormat="false" ht="15" hidden="false" customHeight="false" outlineLevel="0" collapsed="false">
      <c r="A6" s="24" t="s">
        <v>5</v>
      </c>
      <c r="B6" s="24" t="s">
        <v>811</v>
      </c>
      <c r="C6" s="24" t="s">
        <v>812</v>
      </c>
      <c r="D6" s="24" t="s">
        <v>813</v>
      </c>
      <c r="E6" s="47" t="n">
        <v>90000000</v>
      </c>
      <c r="F6" s="24" t="s">
        <v>814</v>
      </c>
      <c r="G6" s="24" t="s">
        <v>676</v>
      </c>
      <c r="H6" s="346"/>
    </row>
    <row r="7" customFormat="false" ht="15" hidden="false" customHeight="false" outlineLevel="0" collapsed="false">
      <c r="A7" s="24" t="s">
        <v>3</v>
      </c>
      <c r="B7" s="24" t="s">
        <v>815</v>
      </c>
      <c r="C7" s="24" t="s">
        <v>816</v>
      </c>
      <c r="D7" s="24" t="s">
        <v>817</v>
      </c>
      <c r="E7" s="47" t="n">
        <v>60000000</v>
      </c>
      <c r="F7" s="24" t="s">
        <v>689</v>
      </c>
      <c r="G7" s="24" t="s">
        <v>676</v>
      </c>
      <c r="H7" s="346"/>
    </row>
    <row r="8" customFormat="false" ht="15" hidden="false" customHeight="false" outlineLevel="0" collapsed="false">
      <c r="A8" s="24" t="s">
        <v>3</v>
      </c>
      <c r="B8" s="24" t="s">
        <v>684</v>
      </c>
      <c r="C8" s="24" t="s">
        <v>818</v>
      </c>
      <c r="D8" s="24" t="s">
        <v>819</v>
      </c>
      <c r="E8" s="47" t="n">
        <v>80300000</v>
      </c>
      <c r="F8" s="24" t="s">
        <v>820</v>
      </c>
      <c r="G8" s="24" t="s">
        <v>676</v>
      </c>
      <c r="H8" s="356"/>
    </row>
    <row r="9" customFormat="false" ht="15" hidden="false" customHeight="false" outlineLevel="0" collapsed="false">
      <c r="A9" s="24" t="s">
        <v>3</v>
      </c>
      <c r="B9" s="24" t="s">
        <v>618</v>
      </c>
      <c r="C9" s="24" t="s">
        <v>821</v>
      </c>
      <c r="D9" s="24" t="s">
        <v>822</v>
      </c>
      <c r="E9" s="47" t="n">
        <v>21000000</v>
      </c>
      <c r="F9" s="24" t="s">
        <v>823</v>
      </c>
      <c r="G9" s="24" t="s">
        <v>676</v>
      </c>
      <c r="H9" s="356"/>
    </row>
    <row r="10" customFormat="false" ht="15" hidden="false" customHeight="false" outlineLevel="0" collapsed="false">
      <c r="A10" s="24" t="s">
        <v>2</v>
      </c>
      <c r="B10" s="24" t="s">
        <v>85</v>
      </c>
      <c r="C10" s="24" t="s">
        <v>694</v>
      </c>
      <c r="D10" s="24" t="s">
        <v>824</v>
      </c>
      <c r="E10" s="47" t="n">
        <v>1003909178</v>
      </c>
      <c r="F10" s="24" t="s">
        <v>696</v>
      </c>
      <c r="G10" s="24" t="s">
        <v>676</v>
      </c>
      <c r="H10" s="356"/>
    </row>
    <row r="11" customFormat="false" ht="15" hidden="false" customHeight="false" outlineLevel="0" collapsed="false">
      <c r="A11" s="24" t="s">
        <v>3</v>
      </c>
      <c r="B11" s="24" t="s">
        <v>684</v>
      </c>
      <c r="C11" s="24" t="s">
        <v>825</v>
      </c>
      <c r="D11" s="24" t="s">
        <v>826</v>
      </c>
      <c r="E11" s="47" t="n">
        <v>37800000</v>
      </c>
      <c r="F11" s="24" t="s">
        <v>827</v>
      </c>
      <c r="G11" s="24" t="s">
        <v>666</v>
      </c>
      <c r="H11" s="356"/>
    </row>
    <row r="12" customFormat="false" ht="15" hidden="false" customHeight="false" outlineLevel="0" collapsed="false">
      <c r="A12" s="24" t="s">
        <v>3</v>
      </c>
      <c r="B12" s="24" t="s">
        <v>690</v>
      </c>
      <c r="C12" s="24" t="s">
        <v>828</v>
      </c>
      <c r="D12" s="24" t="s">
        <v>829</v>
      </c>
      <c r="E12" s="47" t="n">
        <v>469526000</v>
      </c>
      <c r="F12" s="24" t="s">
        <v>830</v>
      </c>
      <c r="G12" s="24" t="s">
        <v>676</v>
      </c>
      <c r="H12" s="356"/>
    </row>
    <row r="13" customFormat="false" ht="15" hidden="false" customHeight="false" outlineLevel="0" collapsed="false">
      <c r="A13" s="24" t="s">
        <v>2</v>
      </c>
      <c r="B13" s="24" t="s">
        <v>85</v>
      </c>
      <c r="C13" s="24" t="s">
        <v>705</v>
      </c>
      <c r="D13" s="24" t="s">
        <v>831</v>
      </c>
      <c r="E13" s="47" t="n">
        <v>1022803457</v>
      </c>
      <c r="F13" s="24" t="s">
        <v>707</v>
      </c>
      <c r="G13" s="24" t="s">
        <v>676</v>
      </c>
      <c r="H13" s="356"/>
    </row>
    <row r="14" customFormat="false" ht="15" hidden="false" customHeight="false" outlineLevel="0" collapsed="false">
      <c r="A14" s="24" t="s">
        <v>5</v>
      </c>
      <c r="B14" s="24" t="s">
        <v>759</v>
      </c>
      <c r="C14" s="24" t="s">
        <v>724</v>
      </c>
      <c r="D14" s="24" t="s">
        <v>832</v>
      </c>
      <c r="E14" s="47" t="n">
        <v>54000000</v>
      </c>
      <c r="F14" s="24" t="s">
        <v>833</v>
      </c>
      <c r="G14" s="24" t="s">
        <v>676</v>
      </c>
      <c r="H14" s="356"/>
    </row>
    <row r="15" customFormat="false" ht="15" hidden="false" customHeight="false" outlineLevel="0" collapsed="false">
      <c r="A15" s="24" t="s">
        <v>3</v>
      </c>
      <c r="B15" s="24" t="s">
        <v>618</v>
      </c>
      <c r="C15" s="24" t="s">
        <v>821</v>
      </c>
      <c r="D15" s="24" t="s">
        <v>834</v>
      </c>
      <c r="E15" s="47" t="n">
        <v>49000000</v>
      </c>
      <c r="F15" s="24" t="s">
        <v>833</v>
      </c>
      <c r="G15" s="24" t="s">
        <v>666</v>
      </c>
      <c r="H15" s="356"/>
    </row>
    <row r="16" customFormat="false" ht="15" hidden="false" customHeight="false" outlineLevel="0" collapsed="false">
      <c r="A16" s="24" t="s">
        <v>3</v>
      </c>
      <c r="B16" s="24" t="s">
        <v>607</v>
      </c>
      <c r="C16" s="24" t="s">
        <v>687</v>
      </c>
      <c r="D16" s="24" t="s">
        <v>835</v>
      </c>
      <c r="E16" s="47" t="n">
        <v>16000000</v>
      </c>
      <c r="F16" s="24" t="s">
        <v>836</v>
      </c>
      <c r="G16" s="24" t="s">
        <v>676</v>
      </c>
      <c r="H16" s="356"/>
    </row>
    <row r="17" customFormat="false" ht="15" hidden="false" customHeight="false" outlineLevel="0" collapsed="false">
      <c r="A17" s="24" t="s">
        <v>5</v>
      </c>
      <c r="B17" s="24" t="s">
        <v>690</v>
      </c>
      <c r="C17" s="24" t="s">
        <v>837</v>
      </c>
      <c r="D17" s="24" t="s">
        <v>838</v>
      </c>
      <c r="E17" s="47" t="n">
        <v>112532400</v>
      </c>
      <c r="F17" s="24" t="s">
        <v>839</v>
      </c>
      <c r="G17" s="24" t="s">
        <v>676</v>
      </c>
      <c r="H17" s="356"/>
    </row>
    <row r="18" customFormat="false" ht="15" hidden="false" customHeight="false" outlineLevel="0" collapsed="false">
      <c r="A18" s="24" t="s">
        <v>2</v>
      </c>
      <c r="B18" s="24" t="s">
        <v>85</v>
      </c>
      <c r="C18" s="24" t="s">
        <v>717</v>
      </c>
      <c r="D18" s="24" t="s">
        <v>840</v>
      </c>
      <c r="E18" s="47" t="n">
        <v>960679500</v>
      </c>
      <c r="F18" s="24" t="s">
        <v>719</v>
      </c>
      <c r="G18" s="24" t="s">
        <v>676</v>
      </c>
      <c r="H18" s="356"/>
    </row>
    <row r="19" customFormat="false" ht="15" hidden="false" customHeight="false" outlineLevel="0" collapsed="false">
      <c r="A19" s="24" t="s">
        <v>5</v>
      </c>
      <c r="B19" s="24" t="s">
        <v>538</v>
      </c>
      <c r="C19" s="24" t="s">
        <v>673</v>
      </c>
      <c r="D19" s="24" t="s">
        <v>841</v>
      </c>
      <c r="E19" s="47" t="n">
        <v>16500000</v>
      </c>
      <c r="F19" s="24" t="s">
        <v>842</v>
      </c>
      <c r="G19" s="24" t="s">
        <v>676</v>
      </c>
      <c r="H19" s="356"/>
    </row>
    <row r="20" customFormat="false" ht="15" hidden="false" customHeight="false" outlineLevel="0" collapsed="false">
      <c r="A20" s="24" t="s">
        <v>5</v>
      </c>
      <c r="B20" s="24" t="s">
        <v>697</v>
      </c>
      <c r="C20" s="24" t="s">
        <v>843</v>
      </c>
      <c r="D20" s="24" t="s">
        <v>844</v>
      </c>
      <c r="E20" s="47" t="n">
        <v>44290411</v>
      </c>
      <c r="F20" s="24" t="s">
        <v>845</v>
      </c>
      <c r="G20" s="24" t="s">
        <v>676</v>
      </c>
      <c r="H20" s="356"/>
    </row>
    <row r="21" customFormat="false" ht="15" hidden="false" customHeight="false" outlineLevel="0" collapsed="false">
      <c r="A21" s="24" t="s">
        <v>5</v>
      </c>
      <c r="B21" s="24" t="s">
        <v>697</v>
      </c>
      <c r="C21" s="24" t="s">
        <v>698</v>
      </c>
      <c r="D21" s="24" t="s">
        <v>846</v>
      </c>
      <c r="E21" s="47" t="n">
        <v>581400000</v>
      </c>
      <c r="F21" s="24" t="s">
        <v>847</v>
      </c>
      <c r="G21" s="24" t="s">
        <v>676</v>
      </c>
      <c r="H21" s="356"/>
    </row>
    <row r="22" customFormat="false" ht="15" hidden="false" customHeight="false" outlineLevel="0" collapsed="false">
      <c r="A22" s="24" t="s">
        <v>3</v>
      </c>
      <c r="B22" s="24" t="s">
        <v>708</v>
      </c>
      <c r="C22" s="24" t="s">
        <v>709</v>
      </c>
      <c r="D22" s="24" t="s">
        <v>848</v>
      </c>
      <c r="E22" s="47" t="n">
        <v>19140000</v>
      </c>
      <c r="F22" s="24" t="s">
        <v>849</v>
      </c>
      <c r="G22" s="24" t="s">
        <v>676</v>
      </c>
      <c r="H22" s="356"/>
    </row>
    <row r="23" customFormat="false" ht="15" hidden="false" customHeight="false" outlineLevel="0" collapsed="false">
      <c r="A23" s="24" t="s">
        <v>3</v>
      </c>
      <c r="B23" s="24" t="s">
        <v>622</v>
      </c>
      <c r="C23" s="24" t="s">
        <v>711</v>
      </c>
      <c r="D23" s="24" t="s">
        <v>850</v>
      </c>
      <c r="E23" s="47" t="n">
        <v>20400000</v>
      </c>
      <c r="F23" s="24" t="s">
        <v>849</v>
      </c>
      <c r="G23" s="24" t="s">
        <v>676</v>
      </c>
      <c r="H23" s="356"/>
    </row>
    <row r="24" customFormat="false" ht="15" hidden="false" customHeight="false" outlineLevel="0" collapsed="false">
      <c r="A24" s="24" t="s">
        <v>5</v>
      </c>
      <c r="B24" s="24" t="s">
        <v>736</v>
      </c>
      <c r="C24" s="24" t="s">
        <v>737</v>
      </c>
      <c r="D24" s="24" t="s">
        <v>851</v>
      </c>
      <c r="E24" s="47" t="n">
        <v>2500000</v>
      </c>
      <c r="F24" s="24" t="s">
        <v>739</v>
      </c>
      <c r="G24" s="24" t="s">
        <v>676</v>
      </c>
      <c r="H24" s="356"/>
    </row>
    <row r="25" customFormat="false" ht="15" hidden="false" customHeight="false" outlineLevel="0" collapsed="false">
      <c r="A25" s="24" t="s">
        <v>2</v>
      </c>
      <c r="B25" s="24" t="s">
        <v>85</v>
      </c>
      <c r="C25" s="24" t="s">
        <v>740</v>
      </c>
      <c r="D25" s="24" t="s">
        <v>852</v>
      </c>
      <c r="E25" s="47" t="n">
        <v>963300542</v>
      </c>
      <c r="F25" s="24" t="s">
        <v>742</v>
      </c>
      <c r="G25" s="24" t="s">
        <v>676</v>
      </c>
      <c r="H25" s="356"/>
    </row>
    <row r="26" customFormat="false" ht="15" hidden="false" customHeight="false" outlineLevel="0" collapsed="false">
      <c r="A26" s="24" t="s">
        <v>3</v>
      </c>
      <c r="B26" s="24" t="s">
        <v>732</v>
      </c>
      <c r="C26" s="24" t="s">
        <v>733</v>
      </c>
      <c r="D26" s="24" t="s">
        <v>853</v>
      </c>
      <c r="E26" s="47" t="n">
        <v>12600000</v>
      </c>
      <c r="F26" s="24" t="s">
        <v>854</v>
      </c>
      <c r="G26" s="24" t="s">
        <v>676</v>
      </c>
      <c r="H26" s="356"/>
    </row>
    <row r="27" customFormat="false" ht="15" hidden="false" customHeight="false" outlineLevel="0" collapsed="false">
      <c r="A27" s="24" t="s">
        <v>3</v>
      </c>
      <c r="B27" s="24" t="s">
        <v>723</v>
      </c>
      <c r="C27" s="24" t="s">
        <v>724</v>
      </c>
      <c r="D27" s="24" t="s">
        <v>832</v>
      </c>
      <c r="E27" s="47" t="n">
        <v>18000000</v>
      </c>
      <c r="F27" s="24" t="s">
        <v>855</v>
      </c>
      <c r="G27" s="24" t="s">
        <v>676</v>
      </c>
      <c r="H27" s="356"/>
    </row>
    <row r="28" customFormat="false" ht="15" hidden="false" customHeight="false" outlineLevel="0" collapsed="false">
      <c r="A28" s="24" t="s">
        <v>5</v>
      </c>
      <c r="B28" s="24" t="s">
        <v>697</v>
      </c>
      <c r="C28" s="24" t="s">
        <v>698</v>
      </c>
      <c r="D28" s="24" t="s">
        <v>856</v>
      </c>
      <c r="E28" s="47" t="n">
        <v>872100000</v>
      </c>
      <c r="F28" s="24" t="s">
        <v>857</v>
      </c>
      <c r="G28" s="24" t="s">
        <v>676</v>
      </c>
      <c r="H28" s="356"/>
    </row>
    <row r="29" customFormat="false" ht="15" hidden="false" customHeight="false" outlineLevel="0" collapsed="false">
      <c r="A29" s="24" t="s">
        <v>5</v>
      </c>
      <c r="B29" s="24" t="s">
        <v>701</v>
      </c>
      <c r="C29" s="24" t="s">
        <v>702</v>
      </c>
      <c r="D29" s="24" t="s">
        <v>858</v>
      </c>
      <c r="E29" s="47" t="n">
        <v>148145500</v>
      </c>
      <c r="F29" s="24" t="s">
        <v>859</v>
      </c>
      <c r="G29" s="24" t="s">
        <v>676</v>
      </c>
      <c r="H29" s="346"/>
    </row>
    <row r="30" customFormat="false" ht="15" hidden="false" customHeight="false" outlineLevel="0" collapsed="false">
      <c r="A30" s="24" t="s">
        <v>3</v>
      </c>
      <c r="B30" s="24" t="s">
        <v>729</v>
      </c>
      <c r="C30" s="24" t="s">
        <v>730</v>
      </c>
      <c r="D30" s="24" t="s">
        <v>860</v>
      </c>
      <c r="E30" s="47" t="n">
        <v>895957500</v>
      </c>
      <c r="F30" s="24" t="s">
        <v>861</v>
      </c>
      <c r="G30" s="24" t="s">
        <v>676</v>
      </c>
      <c r="H30" s="346"/>
    </row>
    <row r="31" customFormat="false" ht="15" hidden="false" customHeight="false" outlineLevel="0" collapsed="false">
      <c r="A31" s="24" t="s">
        <v>5</v>
      </c>
      <c r="B31" s="24" t="s">
        <v>538</v>
      </c>
      <c r="C31" s="24" t="s">
        <v>726</v>
      </c>
      <c r="D31" s="24" t="s">
        <v>862</v>
      </c>
      <c r="E31" s="47" t="n">
        <v>48000000</v>
      </c>
      <c r="F31" s="24" t="s">
        <v>863</v>
      </c>
      <c r="G31" s="24" t="s">
        <v>676</v>
      </c>
      <c r="H31" s="346"/>
    </row>
    <row r="32" customFormat="false" ht="15" hidden="false" customHeight="false" outlineLevel="0" collapsed="false">
      <c r="A32" s="24" t="s">
        <v>3</v>
      </c>
      <c r="B32" s="24" t="s">
        <v>612</v>
      </c>
      <c r="C32" s="24" t="s">
        <v>743</v>
      </c>
      <c r="D32" s="24" t="s">
        <v>864</v>
      </c>
      <c r="E32" s="47" t="n">
        <v>13200000</v>
      </c>
      <c r="F32" s="24" t="s">
        <v>865</v>
      </c>
      <c r="G32" s="24" t="s">
        <v>676</v>
      </c>
      <c r="H32" s="346"/>
    </row>
    <row r="33" customFormat="false" ht="15" hidden="false" customHeight="false" outlineLevel="0" collapsed="false">
      <c r="A33" s="24" t="s">
        <v>2</v>
      </c>
      <c r="B33" s="24" t="s">
        <v>85</v>
      </c>
      <c r="C33" s="24" t="s">
        <v>749</v>
      </c>
      <c r="D33" s="24" t="s">
        <v>866</v>
      </c>
      <c r="E33" s="47" t="n">
        <v>924438273</v>
      </c>
      <c r="F33" s="24" t="s">
        <v>751</v>
      </c>
      <c r="G33" s="24" t="s">
        <v>676</v>
      </c>
      <c r="H33" s="346"/>
    </row>
    <row r="34" customFormat="false" ht="15" hidden="false" customHeight="false" outlineLevel="0" collapsed="false">
      <c r="A34" s="24" t="s">
        <v>5</v>
      </c>
      <c r="B34" s="24" t="s">
        <v>759</v>
      </c>
      <c r="C34" s="24" t="s">
        <v>867</v>
      </c>
      <c r="D34" s="24" t="s">
        <v>868</v>
      </c>
      <c r="E34" s="47" t="n">
        <v>105000000</v>
      </c>
      <c r="F34" s="24" t="s">
        <v>869</v>
      </c>
      <c r="G34" s="24" t="s">
        <v>676</v>
      </c>
      <c r="H34" s="346"/>
    </row>
    <row r="35" customFormat="false" ht="15" hidden="false" customHeight="false" outlineLevel="0" collapsed="false">
      <c r="A35" s="24" t="s">
        <v>5</v>
      </c>
      <c r="B35" s="24" t="s">
        <v>745</v>
      </c>
      <c r="C35" s="24" t="s">
        <v>746</v>
      </c>
      <c r="D35" s="24" t="s">
        <v>870</v>
      </c>
      <c r="E35" s="47" t="n">
        <v>40000000</v>
      </c>
      <c r="F35" s="24" t="s">
        <v>755</v>
      </c>
      <c r="G35" s="24" t="s">
        <v>676</v>
      </c>
      <c r="H35" s="346"/>
    </row>
    <row r="36" customFormat="false" ht="15" hidden="false" customHeight="false" outlineLevel="0" collapsed="false">
      <c r="A36" s="24" t="s">
        <v>5</v>
      </c>
      <c r="B36" s="24" t="s">
        <v>752</v>
      </c>
      <c r="C36" s="24" t="s">
        <v>871</v>
      </c>
      <c r="D36" s="24" t="s">
        <v>872</v>
      </c>
      <c r="E36" s="47" t="n">
        <v>35000000</v>
      </c>
      <c r="F36" s="24" t="s">
        <v>755</v>
      </c>
      <c r="G36" s="24" t="s">
        <v>676</v>
      </c>
      <c r="H36" s="346"/>
    </row>
    <row r="37" customFormat="false" ht="15" hidden="false" customHeight="false" outlineLevel="0" collapsed="false">
      <c r="A37" s="24" t="s">
        <v>5</v>
      </c>
      <c r="B37" s="24" t="s">
        <v>873</v>
      </c>
      <c r="C37" s="24" t="s">
        <v>874</v>
      </c>
      <c r="D37" s="24" t="s">
        <v>875</v>
      </c>
      <c r="E37" s="47" t="n">
        <v>390000000</v>
      </c>
      <c r="F37" s="24" t="s">
        <v>876</v>
      </c>
      <c r="G37" s="24" t="s">
        <v>676</v>
      </c>
      <c r="H37" s="346"/>
    </row>
    <row r="38" customFormat="false" ht="15" hidden="false" customHeight="false" outlineLevel="0" collapsed="false">
      <c r="A38" s="24" t="s">
        <v>3</v>
      </c>
      <c r="B38" s="24" t="s">
        <v>690</v>
      </c>
      <c r="C38" s="24" t="s">
        <v>877</v>
      </c>
      <c r="D38" s="24" t="s">
        <v>878</v>
      </c>
      <c r="E38" s="47" t="n">
        <v>484461600</v>
      </c>
      <c r="F38" s="24" t="s">
        <v>879</v>
      </c>
      <c r="G38" s="24" t="s">
        <v>666</v>
      </c>
      <c r="H38" s="346"/>
    </row>
    <row r="39" customFormat="false" ht="15" hidden="false" customHeight="false" outlineLevel="0" collapsed="false">
      <c r="A39" s="24" t="s">
        <v>5</v>
      </c>
      <c r="B39" s="24" t="s">
        <v>713</v>
      </c>
      <c r="C39" s="24" t="s">
        <v>714</v>
      </c>
      <c r="D39" s="24" t="s">
        <v>880</v>
      </c>
      <c r="E39" s="47" t="n">
        <v>18000000</v>
      </c>
      <c r="F39" s="24" t="s">
        <v>881</v>
      </c>
      <c r="G39" s="24" t="s">
        <v>676</v>
      </c>
      <c r="H39" s="346"/>
    </row>
    <row r="40" customFormat="false" ht="15" hidden="false" customHeight="false" outlineLevel="0" collapsed="false">
      <c r="A40" s="24" t="s">
        <v>3</v>
      </c>
      <c r="B40" s="24" t="s">
        <v>690</v>
      </c>
      <c r="C40" s="24" t="s">
        <v>691</v>
      </c>
      <c r="D40" s="24" t="s">
        <v>882</v>
      </c>
      <c r="E40" s="47" t="n">
        <v>30000000</v>
      </c>
      <c r="F40" s="24" t="s">
        <v>766</v>
      </c>
      <c r="G40" s="24" t="s">
        <v>676</v>
      </c>
      <c r="H40" s="346"/>
    </row>
    <row r="41" customFormat="false" ht="15" hidden="false" customHeight="false" outlineLevel="0" collapsed="false">
      <c r="A41" s="24" t="s">
        <v>3</v>
      </c>
      <c r="B41" s="24" t="s">
        <v>690</v>
      </c>
      <c r="C41" s="24" t="s">
        <v>691</v>
      </c>
      <c r="D41" s="24" t="s">
        <v>883</v>
      </c>
      <c r="E41" s="47" t="n">
        <v>45000000</v>
      </c>
      <c r="F41" s="24" t="s">
        <v>766</v>
      </c>
      <c r="G41" s="24" t="s">
        <v>676</v>
      </c>
      <c r="H41" s="346"/>
    </row>
    <row r="42" customFormat="false" ht="15" hidden="false" customHeight="false" outlineLevel="0" collapsed="false">
      <c r="A42" s="24" t="s">
        <v>2</v>
      </c>
      <c r="B42" s="24" t="s">
        <v>85</v>
      </c>
      <c r="C42" s="24" t="s">
        <v>769</v>
      </c>
      <c r="D42" s="24" t="s">
        <v>884</v>
      </c>
      <c r="E42" s="47" t="n">
        <v>858195940</v>
      </c>
      <c r="F42" s="24" t="s">
        <v>771</v>
      </c>
      <c r="G42" s="24" t="s">
        <v>676</v>
      </c>
      <c r="H42" s="346"/>
    </row>
    <row r="43" customFormat="false" ht="15" hidden="false" customHeight="false" outlineLevel="0" collapsed="false">
      <c r="A43" s="24" t="s">
        <v>5</v>
      </c>
      <c r="B43" s="24" t="s">
        <v>538</v>
      </c>
      <c r="C43" s="24" t="s">
        <v>720</v>
      </c>
      <c r="D43" s="24" t="s">
        <v>885</v>
      </c>
      <c r="E43" s="47" t="n">
        <v>16500000</v>
      </c>
      <c r="F43" s="24" t="s">
        <v>886</v>
      </c>
      <c r="G43" s="24" t="s">
        <v>676</v>
      </c>
      <c r="H43" s="346"/>
    </row>
    <row r="44" customFormat="false" ht="15" hidden="false" customHeight="false" outlineLevel="0" collapsed="false">
      <c r="A44" s="24" t="s">
        <v>3</v>
      </c>
      <c r="B44" s="24" t="s">
        <v>729</v>
      </c>
      <c r="C44" s="24" t="s">
        <v>730</v>
      </c>
      <c r="D44" s="24" t="s">
        <v>887</v>
      </c>
      <c r="E44" s="47" t="n">
        <v>2090567500</v>
      </c>
      <c r="F44" s="24" t="s">
        <v>776</v>
      </c>
      <c r="G44" s="24" t="s">
        <v>666</v>
      </c>
      <c r="H44" s="346"/>
    </row>
    <row r="45" customFormat="false" ht="15" hidden="false" customHeight="false" outlineLevel="0" collapsed="false">
      <c r="A45" s="24" t="s">
        <v>3</v>
      </c>
      <c r="B45" s="24" t="s">
        <v>763</v>
      </c>
      <c r="C45" s="24" t="s">
        <v>764</v>
      </c>
      <c r="D45" s="24" t="s">
        <v>888</v>
      </c>
      <c r="E45" s="47" t="n">
        <v>28500000</v>
      </c>
      <c r="F45" s="24" t="s">
        <v>889</v>
      </c>
      <c r="G45" s="24" t="s">
        <v>676</v>
      </c>
      <c r="H45" s="346"/>
    </row>
    <row r="46" customFormat="false" ht="15" hidden="false" customHeight="false" outlineLevel="0" collapsed="false">
      <c r="A46" s="24" t="s">
        <v>3</v>
      </c>
      <c r="B46" s="24" t="s">
        <v>729</v>
      </c>
      <c r="C46" s="24" t="s">
        <v>772</v>
      </c>
      <c r="D46" s="24" t="s">
        <v>890</v>
      </c>
      <c r="E46" s="47" t="n">
        <v>48000000</v>
      </c>
      <c r="F46" s="24" t="s">
        <v>891</v>
      </c>
      <c r="G46" s="24" t="s">
        <v>666</v>
      </c>
      <c r="H46" s="346"/>
    </row>
    <row r="47" customFormat="false" ht="15" hidden="false" customHeight="false" outlineLevel="0" collapsed="false">
      <c r="A47" s="24" t="s">
        <v>3</v>
      </c>
      <c r="B47" s="24" t="s">
        <v>607</v>
      </c>
      <c r="C47" s="24" t="s">
        <v>756</v>
      </c>
      <c r="D47" s="24" t="s">
        <v>892</v>
      </c>
      <c r="E47" s="47" t="n">
        <v>30000000</v>
      </c>
      <c r="F47" s="24" t="s">
        <v>893</v>
      </c>
      <c r="G47" s="24" t="s">
        <v>676</v>
      </c>
      <c r="H47" s="346"/>
    </row>
    <row r="48" customFormat="false" ht="15" hidden="false" customHeight="false" outlineLevel="0" collapsed="false">
      <c r="A48" s="24" t="s">
        <v>2</v>
      </c>
      <c r="B48" s="24" t="s">
        <v>85</v>
      </c>
      <c r="C48" s="24" t="s">
        <v>777</v>
      </c>
      <c r="D48" s="24" t="s">
        <v>894</v>
      </c>
      <c r="E48" s="47" t="n">
        <v>867129105</v>
      </c>
      <c r="F48" s="24" t="s">
        <v>779</v>
      </c>
      <c r="G48" s="24" t="s">
        <v>676</v>
      </c>
      <c r="H48" s="346"/>
    </row>
    <row r="49" customFormat="false" ht="15" hidden="false" customHeight="false" outlineLevel="0" collapsed="false">
      <c r="A49" s="24" t="s">
        <v>5</v>
      </c>
      <c r="B49" s="24" t="s">
        <v>538</v>
      </c>
      <c r="C49" s="24" t="s">
        <v>767</v>
      </c>
      <c r="D49" s="24" t="s">
        <v>895</v>
      </c>
      <c r="E49" s="47" t="n">
        <v>34500000</v>
      </c>
      <c r="F49" s="24" t="s">
        <v>896</v>
      </c>
      <c r="G49" s="24" t="s">
        <v>676</v>
      </c>
      <c r="H49" s="346"/>
    </row>
    <row r="50" customFormat="false" ht="15" hidden="false" customHeight="false" outlineLevel="0" collapsed="false">
      <c r="A50" s="24" t="s">
        <v>5</v>
      </c>
      <c r="B50" s="24" t="s">
        <v>759</v>
      </c>
      <c r="C50" s="24" t="s">
        <v>760</v>
      </c>
      <c r="D50" s="24" t="s">
        <v>897</v>
      </c>
      <c r="E50" s="47" t="n">
        <v>54000000</v>
      </c>
      <c r="F50" s="24" t="s">
        <v>898</v>
      </c>
      <c r="G50" s="24" t="s">
        <v>676</v>
      </c>
      <c r="H50" s="346"/>
    </row>
    <row r="51" customFormat="false" ht="15" hidden="false" customHeight="false" outlineLevel="0" collapsed="false">
      <c r="A51" s="24" t="s">
        <v>2</v>
      </c>
      <c r="B51" s="24" t="s">
        <v>85</v>
      </c>
      <c r="C51" s="24" t="s">
        <v>788</v>
      </c>
      <c r="D51" s="24" t="s">
        <v>899</v>
      </c>
      <c r="E51" s="47" t="n">
        <v>866631085</v>
      </c>
      <c r="F51" s="24" t="s">
        <v>790</v>
      </c>
      <c r="G51" s="24" t="s">
        <v>676</v>
      </c>
      <c r="H51" s="346"/>
    </row>
    <row r="52" customFormat="false" ht="15" hidden="false" customHeight="false" outlineLevel="0" collapsed="false">
      <c r="A52" s="24" t="s">
        <v>3</v>
      </c>
      <c r="B52" s="24" t="s">
        <v>791</v>
      </c>
      <c r="C52" s="24" t="s">
        <v>900</v>
      </c>
      <c r="D52" s="24" t="s">
        <v>901</v>
      </c>
      <c r="E52" s="47" t="n">
        <v>25500000</v>
      </c>
      <c r="F52" s="24" t="s">
        <v>902</v>
      </c>
      <c r="G52" s="24" t="s">
        <v>666</v>
      </c>
      <c r="H52" s="346"/>
    </row>
    <row r="53" customFormat="false" ht="15" hidden="false" customHeight="false" outlineLevel="0" collapsed="false">
      <c r="A53" s="24" t="s">
        <v>3</v>
      </c>
      <c r="B53" s="24" t="s">
        <v>786</v>
      </c>
      <c r="C53" s="24" t="s">
        <v>787</v>
      </c>
      <c r="D53" s="24" t="s">
        <v>903</v>
      </c>
      <c r="E53" s="47" t="n">
        <v>18000000</v>
      </c>
      <c r="F53" s="24" t="s">
        <v>904</v>
      </c>
      <c r="G53" s="24" t="s">
        <v>666</v>
      </c>
      <c r="H53" s="346"/>
    </row>
    <row r="54" customFormat="false" ht="15" hidden="false" customHeight="false" outlineLevel="0" collapsed="false">
      <c r="A54" s="24" t="s">
        <v>3</v>
      </c>
      <c r="B54" s="24" t="s">
        <v>618</v>
      </c>
      <c r="C54" s="24" t="s">
        <v>780</v>
      </c>
      <c r="D54" s="24" t="s">
        <v>905</v>
      </c>
      <c r="E54" s="47" t="n">
        <v>100005000</v>
      </c>
      <c r="F54" s="24" t="s">
        <v>906</v>
      </c>
      <c r="G54" s="24" t="s">
        <v>666</v>
      </c>
      <c r="H54" s="346"/>
    </row>
    <row r="55" customFormat="false" ht="15" hidden="false" customHeight="false" outlineLevel="0" collapsed="false">
      <c r="A55" s="24" t="s">
        <v>5</v>
      </c>
      <c r="B55" s="24" t="s">
        <v>713</v>
      </c>
      <c r="C55" s="24" t="s">
        <v>714</v>
      </c>
      <c r="D55" s="24" t="s">
        <v>907</v>
      </c>
      <c r="E55" s="47" t="n">
        <v>42000000</v>
      </c>
      <c r="F55" s="24" t="s">
        <v>906</v>
      </c>
      <c r="G55" s="24" t="s">
        <v>676</v>
      </c>
      <c r="H55" s="346"/>
    </row>
    <row r="56" customFormat="false" ht="15" hidden="false" customHeight="false" outlineLevel="0" collapsed="false">
      <c r="A56" s="346"/>
      <c r="B56" s="346"/>
      <c r="C56" s="346"/>
      <c r="D56" s="346"/>
      <c r="E56" s="357"/>
      <c r="F56" s="358"/>
      <c r="G56" s="346"/>
      <c r="H56" s="346"/>
    </row>
    <row r="57" customFormat="false" ht="15" hidden="false" customHeight="false" outlineLevel="0" collapsed="false">
      <c r="A57" s="346"/>
      <c r="B57" s="346"/>
      <c r="C57" s="346"/>
      <c r="D57" s="346"/>
      <c r="E57" s="357"/>
      <c r="F57" s="358"/>
      <c r="G57" s="346"/>
      <c r="H57" s="346"/>
    </row>
    <row r="58" customFormat="false" ht="15" hidden="false" customHeight="false" outlineLevel="0" collapsed="false">
      <c r="A58" s="346"/>
      <c r="B58" s="346"/>
      <c r="C58" s="346"/>
      <c r="D58" s="346"/>
      <c r="E58" s="357"/>
      <c r="F58" s="358"/>
      <c r="G58" s="346"/>
      <c r="H58" s="346"/>
    </row>
    <row r="59" customFormat="false" ht="15" hidden="false" customHeight="false" outlineLevel="0" collapsed="false">
      <c r="A59" s="346"/>
      <c r="B59" s="346"/>
      <c r="C59" s="346"/>
      <c r="D59" s="346"/>
      <c r="E59" s="357"/>
      <c r="F59" s="358"/>
      <c r="G59" s="346"/>
      <c r="H59" s="346"/>
    </row>
    <row r="60" customFormat="false" ht="15" hidden="false" customHeight="false" outlineLevel="0" collapsed="false">
      <c r="A60" s="346"/>
      <c r="B60" s="346"/>
      <c r="C60" s="346"/>
      <c r="D60" s="346"/>
      <c r="E60" s="357"/>
      <c r="F60" s="358"/>
      <c r="G60" s="346"/>
      <c r="H60" s="346"/>
    </row>
    <row r="61" customFormat="false" ht="15" hidden="false" customHeight="false" outlineLevel="0" collapsed="false">
      <c r="A61" s="346"/>
      <c r="B61" s="346"/>
      <c r="C61" s="346"/>
      <c r="D61" s="346"/>
      <c r="E61" s="357"/>
      <c r="F61" s="358"/>
      <c r="G61" s="346"/>
      <c r="H61" s="346"/>
    </row>
    <row r="62" customFormat="false" ht="15" hidden="false" customHeight="false" outlineLevel="0" collapsed="false">
      <c r="A62" s="346"/>
      <c r="B62" s="346"/>
      <c r="C62" s="346"/>
      <c r="D62" s="346"/>
      <c r="E62" s="357"/>
      <c r="F62" s="358"/>
      <c r="G62" s="346"/>
      <c r="H62" s="346"/>
    </row>
    <row r="63" customFormat="false" ht="15" hidden="false" customHeight="false" outlineLevel="0" collapsed="false">
      <c r="A63" s="346"/>
      <c r="B63" s="346"/>
      <c r="C63" s="346"/>
      <c r="D63" s="346"/>
      <c r="E63" s="357"/>
      <c r="F63" s="358"/>
      <c r="G63" s="346"/>
      <c r="H63" s="346"/>
    </row>
    <row r="64" customFormat="false" ht="15" hidden="false" customHeight="false" outlineLevel="0" collapsed="false">
      <c r="A64" s="346"/>
      <c r="B64" s="346"/>
      <c r="C64" s="346"/>
      <c r="D64" s="346"/>
      <c r="E64" s="357"/>
      <c r="F64" s="358"/>
      <c r="G64" s="346"/>
      <c r="H64" s="346"/>
    </row>
    <row r="65" customFormat="false" ht="15" hidden="false" customHeight="false" outlineLevel="0" collapsed="false">
      <c r="A65" s="346"/>
      <c r="B65" s="346"/>
      <c r="C65" s="346"/>
      <c r="D65" s="346"/>
      <c r="E65" s="357"/>
      <c r="F65" s="358"/>
      <c r="G65" s="346"/>
      <c r="H65" s="346"/>
    </row>
    <row r="66" customFormat="false" ht="15" hidden="false" customHeight="false" outlineLevel="0" collapsed="false">
      <c r="A66" s="346"/>
      <c r="B66" s="346"/>
      <c r="C66" s="346"/>
      <c r="D66" s="346"/>
      <c r="E66" s="357"/>
      <c r="F66" s="358"/>
      <c r="G66" s="346"/>
      <c r="H66" s="346"/>
    </row>
    <row r="67" customFormat="false" ht="15" hidden="false" customHeight="false" outlineLevel="0" collapsed="false">
      <c r="A67" s="346"/>
      <c r="B67" s="346"/>
      <c r="C67" s="346"/>
      <c r="D67" s="346"/>
      <c r="E67" s="357"/>
      <c r="F67" s="358"/>
      <c r="G67" s="346"/>
      <c r="H67" s="346"/>
    </row>
    <row r="68" customFormat="false" ht="15" hidden="false" customHeight="false" outlineLevel="0" collapsed="false">
      <c r="A68" s="346"/>
      <c r="B68" s="346"/>
      <c r="C68" s="346"/>
      <c r="D68" s="346"/>
      <c r="E68" s="357"/>
      <c r="F68" s="358"/>
      <c r="G68" s="346"/>
      <c r="H68" s="346"/>
    </row>
    <row r="69" customFormat="false" ht="15" hidden="false" customHeight="false" outlineLevel="0" collapsed="false">
      <c r="A69" s="346"/>
      <c r="B69" s="346"/>
      <c r="C69" s="346"/>
      <c r="D69" s="346"/>
      <c r="E69" s="357"/>
      <c r="F69" s="358"/>
      <c r="G69" s="346"/>
      <c r="H69" s="346"/>
    </row>
    <row r="70" customFormat="false" ht="15" hidden="false" customHeight="false" outlineLevel="0" collapsed="false">
      <c r="A70" s="346"/>
      <c r="B70" s="346"/>
      <c r="C70" s="346"/>
      <c r="D70" s="346"/>
      <c r="E70" s="357"/>
      <c r="F70" s="358"/>
      <c r="G70" s="346"/>
      <c r="H70" s="346"/>
    </row>
    <row r="71" customFormat="false" ht="15" hidden="false" customHeight="false" outlineLevel="0" collapsed="false">
      <c r="A71" s="346"/>
      <c r="B71" s="346"/>
      <c r="C71" s="346"/>
      <c r="D71" s="346"/>
      <c r="E71" s="357"/>
      <c r="F71" s="358"/>
      <c r="G71" s="346"/>
      <c r="H71" s="346"/>
    </row>
    <row r="72" customFormat="false" ht="15" hidden="false" customHeight="false" outlineLevel="0" collapsed="false">
      <c r="A72" s="346"/>
      <c r="B72" s="346"/>
      <c r="C72" s="346"/>
      <c r="D72" s="346"/>
      <c r="E72" s="357"/>
      <c r="F72" s="358"/>
      <c r="G72" s="346"/>
      <c r="H72" s="346"/>
    </row>
    <row r="73" customFormat="false" ht="15" hidden="false" customHeight="false" outlineLevel="0" collapsed="false">
      <c r="A73" s="346"/>
      <c r="B73" s="346"/>
      <c r="C73" s="346"/>
      <c r="D73" s="346"/>
      <c r="E73" s="357"/>
      <c r="F73" s="358"/>
      <c r="G73" s="346"/>
      <c r="H73" s="346"/>
    </row>
    <row r="74" customFormat="false" ht="15" hidden="false" customHeight="false" outlineLevel="0" collapsed="false">
      <c r="A74" s="346"/>
      <c r="B74" s="346"/>
      <c r="C74" s="346"/>
      <c r="D74" s="346"/>
      <c r="E74" s="357"/>
      <c r="F74" s="358"/>
      <c r="G74" s="346"/>
      <c r="H74" s="346"/>
    </row>
    <row r="75" customFormat="false" ht="15" hidden="false" customHeight="false" outlineLevel="0" collapsed="false">
      <c r="A75" s="346"/>
      <c r="B75" s="346"/>
      <c r="C75" s="346"/>
      <c r="D75" s="346"/>
      <c r="E75" s="357"/>
      <c r="F75" s="358"/>
      <c r="G75" s="346"/>
      <c r="H75" s="346"/>
    </row>
    <row r="76" customFormat="false" ht="15" hidden="false" customHeight="false" outlineLevel="0" collapsed="false">
      <c r="A76" s="346"/>
      <c r="B76" s="346"/>
      <c r="C76" s="346"/>
      <c r="D76" s="346"/>
      <c r="E76" s="357"/>
      <c r="F76" s="358"/>
      <c r="G76" s="346"/>
      <c r="H76" s="346"/>
    </row>
    <row r="77" customFormat="false" ht="15" hidden="false" customHeight="false" outlineLevel="0" collapsed="false">
      <c r="A77" s="346"/>
      <c r="B77" s="346"/>
      <c r="C77" s="346"/>
      <c r="D77" s="346"/>
      <c r="E77" s="357"/>
      <c r="F77" s="358"/>
      <c r="G77" s="346"/>
      <c r="H77" s="346"/>
    </row>
    <row r="78" customFormat="false" ht="15" hidden="false" customHeight="false" outlineLevel="0" collapsed="false">
      <c r="A78" s="346"/>
      <c r="B78" s="346"/>
      <c r="C78" s="346"/>
      <c r="D78" s="346"/>
      <c r="E78" s="357"/>
      <c r="F78" s="358"/>
      <c r="G78" s="346"/>
      <c r="H78" s="346"/>
    </row>
    <row r="79" customFormat="false" ht="15" hidden="false" customHeight="false" outlineLevel="0" collapsed="false">
      <c r="A79" s="346"/>
      <c r="B79" s="346"/>
      <c r="C79" s="346"/>
      <c r="D79" s="346"/>
      <c r="E79" s="357"/>
      <c r="F79" s="358"/>
      <c r="G79" s="346"/>
      <c r="H79" s="346"/>
    </row>
    <row r="80" customFormat="false" ht="15" hidden="false" customHeight="false" outlineLevel="0" collapsed="false">
      <c r="A80" s="346"/>
      <c r="B80" s="346"/>
      <c r="C80" s="346"/>
      <c r="D80" s="346"/>
      <c r="E80" s="357"/>
      <c r="F80" s="358"/>
      <c r="G80" s="346"/>
      <c r="H80" s="346"/>
    </row>
    <row r="81" customFormat="false" ht="15" hidden="false" customHeight="false" outlineLevel="0" collapsed="false">
      <c r="A81" s="346"/>
      <c r="B81" s="346"/>
      <c r="C81" s="346"/>
      <c r="D81" s="346"/>
      <c r="E81" s="357"/>
      <c r="F81" s="358"/>
      <c r="G81" s="346"/>
      <c r="H81" s="346"/>
    </row>
    <row r="82" customFormat="false" ht="15" hidden="false" customHeight="false" outlineLevel="0" collapsed="false">
      <c r="A82" s="346"/>
      <c r="B82" s="346"/>
      <c r="C82" s="346"/>
      <c r="D82" s="346"/>
      <c r="E82" s="357"/>
      <c r="F82" s="358"/>
      <c r="G82" s="346"/>
      <c r="H82" s="346"/>
    </row>
    <row r="83" customFormat="false" ht="15" hidden="false" customHeight="false" outlineLevel="0" collapsed="false">
      <c r="A83" s="346"/>
      <c r="B83" s="346"/>
      <c r="C83" s="346"/>
      <c r="D83" s="346"/>
      <c r="E83" s="357"/>
      <c r="F83" s="358"/>
      <c r="G83" s="346"/>
      <c r="H83" s="346"/>
    </row>
    <row r="84" customFormat="false" ht="15" hidden="false" customHeight="false" outlineLevel="0" collapsed="false">
      <c r="A84" s="346"/>
      <c r="B84" s="346"/>
      <c r="C84" s="346"/>
      <c r="D84" s="346"/>
      <c r="E84" s="357"/>
      <c r="F84" s="358"/>
      <c r="G84" s="346"/>
      <c r="H84" s="346"/>
    </row>
    <row r="85" customFormat="false" ht="15" hidden="false" customHeight="false" outlineLevel="0" collapsed="false">
      <c r="A85" s="346"/>
      <c r="B85" s="346"/>
      <c r="C85" s="346"/>
      <c r="D85" s="346"/>
      <c r="E85" s="357"/>
      <c r="F85" s="358"/>
      <c r="G85" s="346"/>
      <c r="H85" s="346"/>
    </row>
    <row r="86" customFormat="false" ht="15" hidden="false" customHeight="false" outlineLevel="0" collapsed="false">
      <c r="A86" s="346"/>
      <c r="B86" s="346"/>
      <c r="C86" s="346"/>
      <c r="D86" s="346"/>
      <c r="E86" s="357"/>
      <c r="F86" s="358"/>
      <c r="G86" s="346"/>
      <c r="H86" s="346"/>
    </row>
    <row r="87" customFormat="false" ht="15" hidden="false" customHeight="false" outlineLevel="0" collapsed="false">
      <c r="A87" s="346"/>
      <c r="B87" s="346"/>
      <c r="C87" s="346"/>
      <c r="D87" s="346"/>
      <c r="E87" s="357"/>
      <c r="F87" s="358"/>
      <c r="G87" s="346"/>
      <c r="H87" s="346"/>
    </row>
    <row r="88" customFormat="false" ht="15" hidden="false" customHeight="false" outlineLevel="0" collapsed="false">
      <c r="A88" s="346"/>
      <c r="B88" s="346"/>
      <c r="C88" s="346"/>
      <c r="D88" s="346"/>
      <c r="E88" s="357"/>
      <c r="F88" s="358"/>
      <c r="G88" s="346"/>
      <c r="H88" s="346"/>
    </row>
    <row r="89" customFormat="false" ht="15" hidden="false" customHeight="false" outlineLevel="0" collapsed="false">
      <c r="A89" s="346"/>
      <c r="B89" s="346"/>
      <c r="C89" s="346"/>
      <c r="D89" s="346"/>
      <c r="E89" s="357"/>
      <c r="F89" s="358"/>
      <c r="G89" s="346"/>
      <c r="H89" s="346"/>
    </row>
    <row r="90" customFormat="false" ht="15" hidden="false" customHeight="false" outlineLevel="0" collapsed="false">
      <c r="A90" s="346"/>
      <c r="B90" s="346"/>
      <c r="C90" s="346"/>
      <c r="D90" s="346"/>
      <c r="E90" s="357"/>
      <c r="F90" s="358"/>
      <c r="G90" s="346"/>
      <c r="H90" s="346"/>
    </row>
    <row r="91" customFormat="false" ht="15" hidden="false" customHeight="false" outlineLevel="0" collapsed="false">
      <c r="A91" s="346"/>
      <c r="B91" s="346"/>
      <c r="C91" s="346"/>
      <c r="D91" s="346"/>
      <c r="E91" s="357"/>
      <c r="F91" s="358"/>
      <c r="G91" s="346"/>
      <c r="H91" s="346"/>
    </row>
    <row r="92" customFormat="false" ht="15" hidden="false" customHeight="false" outlineLevel="0" collapsed="false">
      <c r="A92" s="346"/>
      <c r="B92" s="346"/>
      <c r="C92" s="346"/>
      <c r="D92" s="346"/>
      <c r="E92" s="357"/>
      <c r="F92" s="358"/>
      <c r="G92" s="346"/>
      <c r="H92" s="346"/>
    </row>
    <row r="93" customFormat="false" ht="15" hidden="false" customHeight="false" outlineLevel="0" collapsed="false">
      <c r="A93" s="346"/>
      <c r="B93" s="346"/>
      <c r="C93" s="346"/>
      <c r="D93" s="346"/>
      <c r="E93" s="357"/>
      <c r="F93" s="358"/>
      <c r="G93" s="346"/>
      <c r="H93" s="346"/>
    </row>
    <row r="94" customFormat="false" ht="15" hidden="false" customHeight="false" outlineLevel="0" collapsed="false">
      <c r="A94" s="346"/>
      <c r="B94" s="346"/>
      <c r="C94" s="346"/>
      <c r="D94" s="346"/>
      <c r="E94" s="357"/>
      <c r="F94" s="358"/>
      <c r="G94" s="346"/>
      <c r="H94" s="346"/>
    </row>
    <row r="95" customFormat="false" ht="15" hidden="false" customHeight="false" outlineLevel="0" collapsed="false">
      <c r="A95" s="346"/>
      <c r="B95" s="346"/>
      <c r="C95" s="346"/>
      <c r="D95" s="346"/>
      <c r="E95" s="357"/>
      <c r="F95" s="358"/>
      <c r="G95" s="346"/>
      <c r="H95" s="346"/>
    </row>
    <row r="96" customFormat="false" ht="15" hidden="false" customHeight="false" outlineLevel="0" collapsed="false">
      <c r="A96" s="346"/>
      <c r="B96" s="346"/>
      <c r="C96" s="346"/>
      <c r="D96" s="346"/>
      <c r="E96" s="357"/>
      <c r="F96" s="358"/>
      <c r="G96" s="346"/>
      <c r="H96" s="346"/>
    </row>
    <row r="97" customFormat="false" ht="15" hidden="false" customHeight="false" outlineLevel="0" collapsed="false">
      <c r="A97" s="346"/>
      <c r="B97" s="346"/>
      <c r="C97" s="346"/>
      <c r="D97" s="346"/>
      <c r="E97" s="357"/>
      <c r="F97" s="358"/>
      <c r="G97" s="346"/>
      <c r="H97" s="346"/>
    </row>
    <row r="98" customFormat="false" ht="15" hidden="false" customHeight="false" outlineLevel="0" collapsed="false">
      <c r="A98" s="346"/>
      <c r="B98" s="346"/>
      <c r="C98" s="346"/>
      <c r="D98" s="346"/>
      <c r="E98" s="357"/>
      <c r="F98" s="358"/>
      <c r="G98" s="346"/>
      <c r="H98" s="346"/>
    </row>
    <row r="99" customFormat="false" ht="15" hidden="false" customHeight="false" outlineLevel="0" collapsed="false">
      <c r="A99" s="346"/>
      <c r="B99" s="346"/>
      <c r="C99" s="346"/>
      <c r="D99" s="346"/>
      <c r="E99" s="357"/>
      <c r="F99" s="358"/>
      <c r="G99" s="346"/>
      <c r="H99" s="346"/>
    </row>
    <row r="100" customFormat="false" ht="15" hidden="false" customHeight="false" outlineLevel="0" collapsed="false">
      <c r="A100" s="346"/>
      <c r="B100" s="346"/>
      <c r="C100" s="346"/>
      <c r="D100" s="346"/>
      <c r="E100" s="357"/>
      <c r="F100" s="358"/>
      <c r="G100" s="346"/>
      <c r="H100" s="346"/>
    </row>
    <row r="101" customFormat="false" ht="15" hidden="false" customHeight="false" outlineLevel="0" collapsed="false">
      <c r="A101" s="346"/>
      <c r="B101" s="346"/>
      <c r="C101" s="346"/>
      <c r="D101" s="346"/>
      <c r="E101" s="357"/>
      <c r="F101" s="358"/>
      <c r="G101" s="346"/>
      <c r="H101" s="346"/>
    </row>
    <row r="102" customFormat="false" ht="15" hidden="false" customHeight="false" outlineLevel="0" collapsed="false">
      <c r="A102" s="346"/>
      <c r="B102" s="346"/>
      <c r="C102" s="346"/>
      <c r="D102" s="346"/>
      <c r="E102" s="357"/>
      <c r="F102" s="358"/>
      <c r="G102" s="346"/>
      <c r="H102" s="346"/>
    </row>
    <row r="103" customFormat="false" ht="15" hidden="false" customHeight="false" outlineLevel="0" collapsed="false">
      <c r="A103" s="346"/>
      <c r="B103" s="346"/>
      <c r="C103" s="346"/>
      <c r="D103" s="346"/>
      <c r="E103" s="357"/>
      <c r="F103" s="358"/>
      <c r="G103" s="346"/>
      <c r="H103" s="346"/>
    </row>
    <row r="104" customFormat="false" ht="15" hidden="false" customHeight="false" outlineLevel="0" collapsed="false">
      <c r="A104" s="346"/>
      <c r="B104" s="346"/>
      <c r="C104" s="346"/>
      <c r="D104" s="346"/>
      <c r="E104" s="357"/>
      <c r="F104" s="358"/>
      <c r="G104" s="346"/>
      <c r="H104" s="346"/>
    </row>
    <row r="105" customFormat="false" ht="15" hidden="false" customHeight="false" outlineLevel="0" collapsed="false">
      <c r="A105" s="346"/>
      <c r="B105" s="346"/>
      <c r="C105" s="346"/>
      <c r="D105" s="346"/>
      <c r="E105" s="357"/>
      <c r="F105" s="358"/>
      <c r="G105" s="346"/>
      <c r="H105" s="346"/>
    </row>
    <row r="106" customFormat="false" ht="15" hidden="false" customHeight="false" outlineLevel="0" collapsed="false">
      <c r="A106" s="346"/>
      <c r="B106" s="346"/>
      <c r="C106" s="346"/>
      <c r="D106" s="346"/>
      <c r="E106" s="357"/>
      <c r="F106" s="358"/>
      <c r="G106" s="346"/>
      <c r="H106" s="346"/>
      <c r="I106" s="359" t="s">
        <v>800</v>
      </c>
    </row>
  </sheetData>
  <autoFilter ref="A1:G52"/>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selection pane="topLeft" activeCell="D22" activeCellId="0" sqref="D22"/>
    </sheetView>
  </sheetViews>
  <sheetFormatPr defaultColWidth="8.6796875" defaultRowHeight="15" customHeight="false" zeroHeight="false" outlineLevelRow="0" outlineLevelCol="0"/>
  <cols>
    <col collapsed="false" customWidth="true" hidden="false" outlineLevel="0" max="1" min="1" style="1" width="8.42"/>
    <col collapsed="false" customWidth="true" hidden="false" outlineLevel="0" max="2" min="2" style="1" width="39.42"/>
    <col collapsed="false" customWidth="true" hidden="false" outlineLevel="0" max="3" min="3" style="1" width="27.86"/>
    <col collapsed="false" customWidth="true" hidden="false" outlineLevel="0" max="4" min="4" style="1" width="47"/>
    <col collapsed="false" customWidth="true" hidden="false" outlineLevel="0" max="5" min="5" style="1" width="14.29"/>
    <col collapsed="false" customWidth="true" hidden="false" outlineLevel="0" max="6" min="6" style="360" width="16.29"/>
    <col collapsed="false" customWidth="true" hidden="false" outlineLevel="0" max="7" min="7" style="1" width="11.85"/>
    <col collapsed="false" customWidth="true" hidden="false" outlineLevel="0" max="8" min="8" style="1" width="16.29"/>
    <col collapsed="false" customWidth="true" hidden="false" outlineLevel="0" max="9" min="9" style="1" width="6.71"/>
    <col collapsed="false" customWidth="true" hidden="false" outlineLevel="0" max="10" min="10" style="1" width="14"/>
    <col collapsed="false" customWidth="true" hidden="false" outlineLevel="0" max="11" min="11" style="1" width="7.29"/>
    <col collapsed="false" customWidth="true" hidden="false" outlineLevel="0" max="12" min="12" style="1" width="15.42"/>
    <col collapsed="false" customWidth="true" hidden="false" outlineLevel="0" max="13" min="13" style="1" width="8.29"/>
    <col collapsed="false" customWidth="true" hidden="false" outlineLevel="0" max="14" min="14" style="1" width="9.29"/>
  </cols>
  <sheetData>
    <row r="1" customFormat="false" ht="15" hidden="false" customHeight="false" outlineLevel="0" collapsed="false">
      <c r="A1" s="337" t="s">
        <v>656</v>
      </c>
      <c r="B1" s="337" t="s">
        <v>657</v>
      </c>
      <c r="C1" s="337" t="s">
        <v>658</v>
      </c>
      <c r="D1" s="337" t="s">
        <v>659</v>
      </c>
      <c r="E1" s="337" t="s">
        <v>660</v>
      </c>
      <c r="F1" s="361" t="s">
        <v>661</v>
      </c>
      <c r="G1" s="337" t="s">
        <v>662</v>
      </c>
      <c r="H1" s="349" t="n">
        <f aca="false">J1+L1</f>
        <v>1306094688</v>
      </c>
      <c r="I1" s="350" t="s">
        <v>3</v>
      </c>
      <c r="J1" s="351" t="n">
        <f aca="false">SUMIFS(E2:E993,A2:A993,"UNI")</f>
        <v>782370588</v>
      </c>
      <c r="K1" s="352" t="s">
        <v>5</v>
      </c>
      <c r="L1" s="353" t="n">
        <f aca="false">SUMIFS(E2:E993,A2:A993,"G2B")</f>
        <v>523724100</v>
      </c>
    </row>
    <row r="2" customFormat="false" ht="15" hidden="false" customHeight="false" outlineLevel="0" collapsed="false">
      <c r="A2" s="346" t="s">
        <v>5</v>
      </c>
      <c r="B2" s="346" t="s">
        <v>908</v>
      </c>
      <c r="C2" s="346" t="s">
        <v>909</v>
      </c>
      <c r="D2" s="346" t="s">
        <v>910</v>
      </c>
      <c r="E2" s="357" t="n">
        <v>87780000</v>
      </c>
      <c r="F2" s="346" t="s">
        <v>911</v>
      </c>
      <c r="G2" s="346" t="s">
        <v>912</v>
      </c>
      <c r="I2" s="360"/>
    </row>
    <row r="3" customFormat="false" ht="15" hidden="false" customHeight="false" outlineLevel="0" collapsed="false">
      <c r="A3" s="346" t="s">
        <v>5</v>
      </c>
      <c r="B3" s="346" t="s">
        <v>701</v>
      </c>
      <c r="C3" s="346" t="s">
        <v>702</v>
      </c>
      <c r="D3" s="346" t="s">
        <v>913</v>
      </c>
      <c r="E3" s="357" t="n">
        <v>148145500</v>
      </c>
      <c r="F3" s="346" t="s">
        <v>914</v>
      </c>
      <c r="G3" s="346" t="s">
        <v>912</v>
      </c>
      <c r="I3" s="360"/>
    </row>
    <row r="4" customFormat="false" ht="15" hidden="false" customHeight="false" outlineLevel="0" collapsed="false">
      <c r="A4" s="346" t="s">
        <v>3</v>
      </c>
      <c r="B4" s="346" t="s">
        <v>634</v>
      </c>
      <c r="C4" s="346" t="s">
        <v>798</v>
      </c>
      <c r="D4" s="346" t="s">
        <v>798</v>
      </c>
      <c r="E4" s="357" t="n">
        <v>13500000</v>
      </c>
      <c r="F4" s="346" t="s">
        <v>799</v>
      </c>
      <c r="G4" s="346" t="s">
        <v>912</v>
      </c>
      <c r="I4" s="360"/>
    </row>
    <row r="5" customFormat="false" ht="15" hidden="false" customHeight="false" outlineLevel="0" collapsed="false">
      <c r="A5" s="346" t="s">
        <v>5</v>
      </c>
      <c r="B5" s="346" t="s">
        <v>538</v>
      </c>
      <c r="C5" s="346" t="s">
        <v>774</v>
      </c>
      <c r="D5" s="346" t="s">
        <v>915</v>
      </c>
      <c r="E5" s="357" t="n">
        <v>16500000</v>
      </c>
      <c r="F5" s="346" t="s">
        <v>916</v>
      </c>
      <c r="G5" s="346" t="s">
        <v>912</v>
      </c>
      <c r="I5" s="360"/>
    </row>
    <row r="6" customFormat="false" ht="15" hidden="false" customHeight="false" outlineLevel="0" collapsed="false">
      <c r="A6" s="346" t="s">
        <v>3</v>
      </c>
      <c r="B6" s="346" t="s">
        <v>763</v>
      </c>
      <c r="C6" s="346" t="s">
        <v>917</v>
      </c>
      <c r="D6" s="346" t="s">
        <v>918</v>
      </c>
      <c r="E6" s="357" t="n">
        <v>12500000</v>
      </c>
      <c r="F6" s="346" t="s">
        <v>919</v>
      </c>
      <c r="G6" s="346" t="s">
        <v>912</v>
      </c>
      <c r="I6" s="360"/>
    </row>
    <row r="7" customFormat="false" ht="15" hidden="false" customHeight="false" outlineLevel="0" collapsed="false">
      <c r="A7" s="346" t="s">
        <v>5</v>
      </c>
      <c r="B7" s="346" t="s">
        <v>690</v>
      </c>
      <c r="C7" s="346" t="s">
        <v>837</v>
      </c>
      <c r="D7" s="346" t="s">
        <v>920</v>
      </c>
      <c r="E7" s="357" t="n">
        <v>168798600</v>
      </c>
      <c r="F7" s="346" t="s">
        <v>921</v>
      </c>
      <c r="G7" s="346" t="s">
        <v>912</v>
      </c>
      <c r="I7" s="360"/>
    </row>
    <row r="8" customFormat="false" ht="15" hidden="false" customHeight="false" outlineLevel="0" collapsed="false">
      <c r="A8" s="346" t="s">
        <v>3</v>
      </c>
      <c r="B8" s="346" t="s">
        <v>667</v>
      </c>
      <c r="C8" s="346" t="s">
        <v>668</v>
      </c>
      <c r="D8" s="346" t="s">
        <v>807</v>
      </c>
      <c r="E8" s="357" t="n">
        <v>40000000</v>
      </c>
      <c r="F8" s="346" t="s">
        <v>922</v>
      </c>
      <c r="G8" s="346" t="s">
        <v>912</v>
      </c>
      <c r="I8" s="360"/>
    </row>
    <row r="9" customFormat="false" ht="15" hidden="false" customHeight="false" outlineLevel="0" collapsed="false">
      <c r="A9" s="346" t="s">
        <v>3</v>
      </c>
      <c r="B9" s="346" t="s">
        <v>690</v>
      </c>
      <c r="C9" s="346" t="s">
        <v>828</v>
      </c>
      <c r="D9" s="346" t="s">
        <v>923</v>
      </c>
      <c r="E9" s="357" t="n">
        <v>704290588</v>
      </c>
      <c r="F9" s="346" t="s">
        <v>924</v>
      </c>
      <c r="G9" s="346" t="s">
        <v>912</v>
      </c>
      <c r="I9" s="360"/>
    </row>
    <row r="10" customFormat="false" ht="15" hidden="false" customHeight="false" outlineLevel="0" collapsed="false">
      <c r="A10" s="346" t="s">
        <v>3</v>
      </c>
      <c r="B10" s="346" t="s">
        <v>670</v>
      </c>
      <c r="C10" s="346" t="s">
        <v>671</v>
      </c>
      <c r="D10" s="346" t="s">
        <v>925</v>
      </c>
      <c r="E10" s="357" t="n">
        <v>12080000</v>
      </c>
      <c r="F10" s="346" t="s">
        <v>926</v>
      </c>
      <c r="G10" s="346" t="s">
        <v>912</v>
      </c>
      <c r="I10" s="360"/>
    </row>
    <row r="11" customFormat="false" ht="15" hidden="false" customHeight="false" outlineLevel="0" collapsed="false">
      <c r="A11" s="346" t="s">
        <v>5</v>
      </c>
      <c r="B11" s="346" t="s">
        <v>638</v>
      </c>
      <c r="C11" s="346" t="s">
        <v>663</v>
      </c>
      <c r="D11" s="346" t="s">
        <v>927</v>
      </c>
      <c r="E11" s="357" t="n">
        <v>17500000</v>
      </c>
      <c r="F11" s="346" t="s">
        <v>926</v>
      </c>
      <c r="G11" s="346" t="s">
        <v>912</v>
      </c>
      <c r="I11" s="360"/>
    </row>
    <row r="12" customFormat="false" ht="15" hidden="false" customHeight="false" outlineLevel="0" collapsed="false">
      <c r="A12" s="346" t="s">
        <v>5</v>
      </c>
      <c r="B12" s="346" t="s">
        <v>794</v>
      </c>
      <c r="C12" s="346" t="s">
        <v>795</v>
      </c>
      <c r="D12" s="346" t="s">
        <v>928</v>
      </c>
      <c r="E12" s="357" t="n">
        <v>85000000</v>
      </c>
      <c r="F12" s="346" t="s">
        <v>926</v>
      </c>
      <c r="G12" s="346" t="s">
        <v>912</v>
      </c>
      <c r="I12" s="360"/>
    </row>
    <row r="13" customFormat="false" ht="15" hidden="false" customHeight="false" outlineLevel="0" collapsed="false">
      <c r="A13" s="346"/>
      <c r="B13" s="346"/>
      <c r="C13" s="346"/>
      <c r="D13" s="362"/>
      <c r="E13" s="357"/>
      <c r="F13" s="358"/>
      <c r="G13" s="346"/>
      <c r="I13" s="360"/>
    </row>
    <row r="14" customFormat="false" ht="15" hidden="false" customHeight="false" outlineLevel="0" collapsed="false">
      <c r="A14" s="346"/>
      <c r="B14" s="346"/>
      <c r="C14" s="346"/>
      <c r="D14" s="346"/>
      <c r="E14" s="357"/>
      <c r="F14" s="358"/>
      <c r="G14" s="346"/>
      <c r="I14" s="360"/>
    </row>
    <row r="15" customFormat="false" ht="15" hidden="false" customHeight="false" outlineLevel="0" collapsed="false">
      <c r="A15" s="346"/>
      <c r="B15" s="346"/>
      <c r="C15" s="346"/>
      <c r="D15" s="346"/>
      <c r="E15" s="357"/>
      <c r="F15" s="358"/>
      <c r="G15" s="346"/>
      <c r="I15" s="360"/>
    </row>
    <row r="16" customFormat="false" ht="15" hidden="false" customHeight="false" outlineLevel="0" collapsed="false">
      <c r="A16" s="346"/>
      <c r="B16" s="346"/>
      <c r="C16" s="346"/>
      <c r="D16" s="346"/>
      <c r="E16" s="357"/>
      <c r="F16" s="358"/>
      <c r="G16" s="346"/>
      <c r="I16" s="360"/>
    </row>
    <row r="17" customFormat="false" ht="15" hidden="false" customHeight="false" outlineLevel="0" collapsed="false">
      <c r="A17" s="346"/>
      <c r="B17" s="346"/>
      <c r="C17" s="346"/>
      <c r="D17" s="346"/>
      <c r="E17" s="357"/>
      <c r="F17" s="358"/>
      <c r="G17" s="346"/>
    </row>
    <row r="18" customFormat="false" ht="15" hidden="false" customHeight="false" outlineLevel="0" collapsed="false">
      <c r="A18" s="346"/>
      <c r="B18" s="346"/>
      <c r="C18" s="346"/>
      <c r="D18" s="346"/>
      <c r="E18" s="357"/>
      <c r="F18" s="358"/>
      <c r="G18" s="346"/>
    </row>
    <row r="19" customFormat="false" ht="15" hidden="false" customHeight="false" outlineLevel="0" collapsed="false">
      <c r="A19" s="346"/>
      <c r="B19" s="346"/>
      <c r="C19" s="346"/>
      <c r="D19" s="363"/>
      <c r="E19" s="357"/>
      <c r="F19" s="358"/>
      <c r="G19" s="346"/>
    </row>
    <row r="20" customFormat="false" ht="15" hidden="false" customHeight="false" outlineLevel="0" collapsed="false">
      <c r="A20" s="346"/>
      <c r="B20" s="346"/>
      <c r="C20" s="346"/>
      <c r="D20" s="346"/>
      <c r="E20" s="357"/>
      <c r="F20" s="358"/>
      <c r="G20" s="346"/>
    </row>
    <row r="21" customFormat="false" ht="15" hidden="false" customHeight="false" outlineLevel="0" collapsed="false">
      <c r="A21" s="346"/>
      <c r="B21" s="346"/>
      <c r="C21" s="346"/>
      <c r="D21" s="346"/>
      <c r="E21" s="357"/>
      <c r="F21" s="364"/>
      <c r="G21" s="346"/>
    </row>
    <row r="22" customFormat="false" ht="15" hidden="false" customHeight="false" outlineLevel="0" collapsed="false">
      <c r="A22" s="346"/>
      <c r="B22" s="346"/>
      <c r="C22" s="346"/>
      <c r="D22" s="346"/>
      <c r="E22" s="357"/>
      <c r="F22" s="364"/>
      <c r="G22" s="346"/>
    </row>
    <row r="23" customFormat="false" ht="15" hidden="false" customHeight="false" outlineLevel="0" collapsed="false">
      <c r="A23" s="346"/>
      <c r="B23" s="346"/>
      <c r="C23" s="346"/>
      <c r="D23" s="346"/>
      <c r="E23" s="357"/>
      <c r="F23" s="364"/>
      <c r="G23" s="346"/>
    </row>
    <row r="24" customFormat="false" ht="15" hidden="false" customHeight="false" outlineLevel="0" collapsed="false">
      <c r="A24" s="346"/>
      <c r="B24" s="346"/>
      <c r="C24" s="346"/>
      <c r="D24" s="346"/>
      <c r="E24" s="357"/>
      <c r="F24" s="364"/>
      <c r="G24" s="346"/>
    </row>
    <row r="25" customFormat="false" ht="15" hidden="false" customHeight="false" outlineLevel="0" collapsed="false">
      <c r="A25" s="346"/>
      <c r="B25" s="346"/>
      <c r="C25" s="346"/>
      <c r="D25" s="346"/>
      <c r="E25" s="357"/>
      <c r="F25" s="364"/>
      <c r="G25" s="346"/>
    </row>
    <row r="26" customFormat="false" ht="15" hidden="false" customHeight="false" outlineLevel="0" collapsed="false">
      <c r="A26" s="346"/>
      <c r="B26" s="346"/>
      <c r="C26" s="346"/>
      <c r="D26" s="346"/>
      <c r="E26" s="357"/>
      <c r="F26" s="364"/>
      <c r="G26" s="346"/>
    </row>
    <row r="27" customFormat="false" ht="15" hidden="false" customHeight="false" outlineLevel="0" collapsed="false">
      <c r="A27" s="346"/>
      <c r="B27" s="346"/>
      <c r="C27" s="346"/>
      <c r="D27" s="346"/>
      <c r="E27" s="357"/>
      <c r="F27" s="364"/>
      <c r="G27" s="346"/>
    </row>
    <row r="28" customFormat="false" ht="15" hidden="false" customHeight="false" outlineLevel="0" collapsed="false">
      <c r="A28" s="346"/>
      <c r="B28" s="346"/>
      <c r="C28" s="346"/>
      <c r="D28" s="346"/>
      <c r="E28" s="357"/>
      <c r="F28" s="364"/>
      <c r="G28" s="346"/>
    </row>
    <row r="29" customFormat="false" ht="15" hidden="false" customHeight="false" outlineLevel="0" collapsed="false">
      <c r="A29" s="346"/>
      <c r="B29" s="346"/>
      <c r="C29" s="346"/>
      <c r="D29" s="346"/>
      <c r="E29" s="346"/>
      <c r="F29" s="364"/>
      <c r="G29" s="346"/>
    </row>
    <row r="30" customFormat="false" ht="15" hidden="false" customHeight="false" outlineLevel="0" collapsed="false">
      <c r="A30" s="346"/>
      <c r="B30" s="346"/>
      <c r="C30" s="346"/>
      <c r="D30" s="346"/>
      <c r="E30" s="346"/>
      <c r="F30" s="364"/>
      <c r="G30" s="346"/>
    </row>
    <row r="31" customFormat="false" ht="15" hidden="false" customHeight="false" outlineLevel="0" collapsed="false">
      <c r="A31" s="346"/>
      <c r="B31" s="346"/>
      <c r="C31" s="346"/>
      <c r="D31" s="346"/>
      <c r="E31" s="346"/>
      <c r="F31" s="364"/>
      <c r="G31" s="346"/>
    </row>
    <row r="32" customFormat="false" ht="15" hidden="false" customHeight="false" outlineLevel="0" collapsed="false">
      <c r="A32" s="346"/>
      <c r="B32" s="346"/>
      <c r="C32" s="346"/>
      <c r="D32" s="346"/>
      <c r="E32" s="346"/>
      <c r="F32" s="364"/>
      <c r="G32" s="346"/>
    </row>
    <row r="33" customFormat="false" ht="15" hidden="false" customHeight="false" outlineLevel="0" collapsed="false">
      <c r="A33" s="346"/>
      <c r="B33" s="346"/>
      <c r="C33" s="346"/>
      <c r="D33" s="346"/>
      <c r="E33" s="346"/>
      <c r="F33" s="364"/>
      <c r="G33" s="346"/>
    </row>
    <row r="34" customFormat="false" ht="15" hidden="false" customHeight="false" outlineLevel="0" collapsed="false">
      <c r="A34" s="346"/>
      <c r="B34" s="346"/>
      <c r="C34" s="346"/>
      <c r="D34" s="346"/>
      <c r="E34" s="346"/>
      <c r="F34" s="364"/>
      <c r="G34" s="346"/>
    </row>
    <row r="35" customFormat="false" ht="15" hidden="false" customHeight="false" outlineLevel="0" collapsed="false">
      <c r="A35" s="346"/>
      <c r="B35" s="346"/>
      <c r="C35" s="346"/>
      <c r="D35" s="346"/>
      <c r="E35" s="346"/>
      <c r="F35" s="364"/>
      <c r="G35" s="346"/>
    </row>
    <row r="36" customFormat="false" ht="15" hidden="false" customHeight="false" outlineLevel="0" collapsed="false">
      <c r="A36" s="346"/>
      <c r="B36" s="346"/>
      <c r="C36" s="346"/>
      <c r="D36" s="346"/>
      <c r="E36" s="346"/>
      <c r="F36" s="364"/>
      <c r="G36" s="346"/>
    </row>
    <row r="37" customFormat="false" ht="15" hidden="false" customHeight="false" outlineLevel="0" collapsed="false">
      <c r="A37" s="346"/>
      <c r="B37" s="346"/>
      <c r="C37" s="346"/>
      <c r="D37" s="346"/>
      <c r="E37" s="346"/>
      <c r="F37" s="364"/>
      <c r="G37" s="346"/>
    </row>
    <row r="38" customFormat="false" ht="15" hidden="false" customHeight="false" outlineLevel="0" collapsed="false">
      <c r="A38" s="346"/>
      <c r="B38" s="346"/>
      <c r="C38" s="346"/>
      <c r="D38" s="346"/>
      <c r="E38" s="346"/>
      <c r="F38" s="364"/>
      <c r="G38" s="346"/>
    </row>
    <row r="39" customFormat="false" ht="15" hidden="false" customHeight="false" outlineLevel="0" collapsed="false">
      <c r="A39" s="346"/>
      <c r="B39" s="346"/>
      <c r="C39" s="346"/>
      <c r="D39" s="346"/>
      <c r="E39" s="346"/>
      <c r="F39" s="364"/>
      <c r="G39" s="346"/>
    </row>
    <row r="40" customFormat="false" ht="15" hidden="false" customHeight="false" outlineLevel="0" collapsed="false">
      <c r="A40" s="346"/>
      <c r="B40" s="346"/>
      <c r="C40" s="346"/>
      <c r="D40" s="346"/>
      <c r="E40" s="346"/>
      <c r="F40" s="364"/>
      <c r="G40" s="346"/>
    </row>
    <row r="41" customFormat="false" ht="15" hidden="false" customHeight="false" outlineLevel="0" collapsed="false">
      <c r="A41" s="346"/>
      <c r="B41" s="346"/>
      <c r="C41" s="346"/>
      <c r="D41" s="346"/>
      <c r="E41" s="346"/>
      <c r="F41" s="364"/>
      <c r="G41" s="346"/>
    </row>
    <row r="42" customFormat="false" ht="15" hidden="false" customHeight="false" outlineLevel="0" collapsed="false">
      <c r="A42" s="346"/>
      <c r="B42" s="346"/>
      <c r="C42" s="346"/>
      <c r="D42" s="346"/>
      <c r="E42" s="346"/>
      <c r="F42" s="364"/>
      <c r="G42" s="346"/>
    </row>
    <row r="43" customFormat="false" ht="15" hidden="false" customHeight="false" outlineLevel="0" collapsed="false">
      <c r="A43" s="346"/>
      <c r="B43" s="346"/>
      <c r="C43" s="346"/>
      <c r="D43" s="346"/>
      <c r="E43" s="346"/>
      <c r="F43" s="364"/>
      <c r="G43" s="346"/>
    </row>
    <row r="44" customFormat="false" ht="15" hidden="false" customHeight="false" outlineLevel="0" collapsed="false">
      <c r="A44" s="346"/>
      <c r="B44" s="346"/>
      <c r="C44" s="346"/>
      <c r="D44" s="346"/>
      <c r="E44" s="346"/>
      <c r="F44" s="364"/>
      <c r="G44" s="346"/>
    </row>
    <row r="45" customFormat="false" ht="15" hidden="false" customHeight="false" outlineLevel="0" collapsed="false">
      <c r="A45" s="346"/>
      <c r="B45" s="346"/>
      <c r="C45" s="346"/>
      <c r="D45" s="346"/>
      <c r="E45" s="346"/>
      <c r="F45" s="364"/>
      <c r="G45" s="346"/>
    </row>
    <row r="46" customFormat="false" ht="15" hidden="false" customHeight="false" outlineLevel="0" collapsed="false">
      <c r="A46" s="346"/>
      <c r="B46" s="346"/>
      <c r="C46" s="346"/>
      <c r="D46" s="346"/>
      <c r="E46" s="346"/>
      <c r="F46" s="364"/>
      <c r="G46" s="346"/>
    </row>
    <row r="47" customFormat="false" ht="15" hidden="false" customHeight="false" outlineLevel="0" collapsed="false">
      <c r="A47" s="346"/>
      <c r="B47" s="346"/>
      <c r="C47" s="346"/>
      <c r="D47" s="346"/>
      <c r="E47" s="346"/>
      <c r="F47" s="364"/>
      <c r="G47" s="346"/>
    </row>
    <row r="48" customFormat="false" ht="15" hidden="false" customHeight="false" outlineLevel="0" collapsed="false">
      <c r="A48" s="346"/>
      <c r="B48" s="346"/>
      <c r="C48" s="346"/>
      <c r="D48" s="346"/>
      <c r="E48" s="346"/>
      <c r="F48" s="364"/>
      <c r="G48" s="346"/>
    </row>
    <row r="49" customFormat="false" ht="15" hidden="false" customHeight="false" outlineLevel="0" collapsed="false">
      <c r="A49" s="346"/>
      <c r="B49" s="346"/>
      <c r="C49" s="346"/>
      <c r="D49" s="346"/>
      <c r="E49" s="346"/>
      <c r="F49" s="364"/>
      <c r="G49" s="346"/>
    </row>
    <row r="50" customFormat="false" ht="15" hidden="false" customHeight="false" outlineLevel="0" collapsed="false">
      <c r="A50" s="346"/>
      <c r="B50" s="346"/>
      <c r="C50" s="346"/>
      <c r="D50" s="346"/>
      <c r="E50" s="346"/>
      <c r="F50" s="364"/>
      <c r="G50" s="346"/>
    </row>
    <row r="51" customFormat="false" ht="15" hidden="false" customHeight="false" outlineLevel="0" collapsed="false">
      <c r="A51" s="346"/>
      <c r="B51" s="346"/>
      <c r="C51" s="346"/>
      <c r="D51" s="346"/>
      <c r="E51" s="346"/>
      <c r="F51" s="364"/>
      <c r="G51" s="346"/>
    </row>
    <row r="52" customFormat="false" ht="15" hidden="false" customHeight="false" outlineLevel="0" collapsed="false">
      <c r="A52" s="346"/>
      <c r="B52" s="346"/>
      <c r="C52" s="346"/>
      <c r="D52" s="346"/>
      <c r="E52" s="346"/>
      <c r="F52" s="364"/>
      <c r="G52" s="346"/>
    </row>
  </sheetData>
  <autoFilter ref="A1:F16"/>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48"/>
  <sheetViews>
    <sheetView showFormulas="false" showGridLines="true" showRowColHeaders="true" showZeros="true" rightToLeft="false" tabSelected="false" showOutlineSymbols="true" defaultGridColor="true" view="normal" topLeftCell="C1" colorId="64" zoomScale="75" zoomScaleNormal="75" zoomScalePageLayoutView="100" workbookViewId="0">
      <selection pane="topLeft" activeCell="H39" activeCellId="0" sqref="H39"/>
    </sheetView>
  </sheetViews>
  <sheetFormatPr defaultColWidth="9.1484375" defaultRowHeight="18.75" customHeight="false" zeroHeight="false" outlineLevelRow="0" outlineLevelCol="0"/>
  <cols>
    <col collapsed="false" customWidth="true" hidden="false" outlineLevel="0" max="1" min="1" style="258" width="7"/>
    <col collapsed="false" customWidth="true" hidden="false" outlineLevel="0" max="2" min="2" style="258" width="11.57"/>
    <col collapsed="false" customWidth="true" hidden="false" outlineLevel="0" max="10" min="3" style="258" width="18.14"/>
    <col collapsed="false" customWidth="true" hidden="false" outlineLevel="0" max="12" min="11" style="258" width="23.14"/>
    <col collapsed="false" customWidth="true" hidden="false" outlineLevel="0" max="13" min="13" style="258" width="22.57"/>
    <col collapsed="false" customWidth="true" hidden="false" outlineLevel="0" max="14" min="14" style="258" width="23.14"/>
    <col collapsed="false" customWidth="true" hidden="false" outlineLevel="0" max="15" min="15" style="258" width="22.57"/>
    <col collapsed="false" customWidth="true" hidden="false" outlineLevel="0" max="17" min="16" style="258" width="23.14"/>
    <col collapsed="false" customWidth="true" hidden="false" outlineLevel="0" max="18" min="18" style="258" width="22.57"/>
    <col collapsed="false" customWidth="true" hidden="false" outlineLevel="0" max="19" min="19" style="258" width="23.14"/>
    <col collapsed="false" customWidth="true" hidden="false" outlineLevel="0" max="20" min="20" style="258" width="24.71"/>
    <col collapsed="false" customWidth="true" hidden="false" outlineLevel="0" max="22" min="21" style="258" width="23.71"/>
    <col collapsed="false" customWidth="true" hidden="false" outlineLevel="0" max="23" min="23" style="258" width="12"/>
    <col collapsed="false" customWidth="true" hidden="false" outlineLevel="0" max="24" min="24" style="258" width="20.14"/>
    <col collapsed="false" customWidth="true" hidden="false" outlineLevel="0" max="25" min="25" style="258" width="20.57"/>
    <col collapsed="false" customWidth="true" hidden="false" outlineLevel="0" max="26" min="26" style="258" width="20.71"/>
    <col collapsed="false" customWidth="true" hidden="false" outlineLevel="0" max="27" min="27" style="258" width="21.14"/>
    <col collapsed="false" customWidth="false" hidden="false" outlineLevel="0" max="16384" min="28" style="258" width="9.14"/>
  </cols>
  <sheetData>
    <row r="1" customFormat="false" ht="18.75" hidden="false" customHeight="false" outlineLevel="0" collapsed="false">
      <c r="A1" s="111" t="s">
        <v>929</v>
      </c>
    </row>
    <row r="2" customFormat="false" ht="18.75" hidden="false" customHeight="false" outlineLevel="0" collapsed="false">
      <c r="A2" s="259" t="s">
        <v>83</v>
      </c>
      <c r="B2" s="8"/>
      <c r="C2" s="8"/>
      <c r="D2" s="8"/>
      <c r="E2" s="8"/>
      <c r="F2" s="8"/>
      <c r="G2" s="8"/>
      <c r="H2" s="8"/>
      <c r="I2" s="8"/>
      <c r="J2" s="8"/>
      <c r="K2" s="8"/>
      <c r="L2" s="8"/>
      <c r="M2" s="8"/>
      <c r="N2" s="8"/>
      <c r="O2" s="8"/>
      <c r="P2" s="8"/>
    </row>
    <row r="3" customFormat="false" ht="18.75" hidden="false" customHeight="false" outlineLevel="0" collapsed="false">
      <c r="A3" s="260"/>
      <c r="B3" s="261"/>
      <c r="C3" s="365" t="s">
        <v>132</v>
      </c>
      <c r="D3" s="365"/>
      <c r="E3" s="365"/>
      <c r="F3" s="365"/>
      <c r="G3" s="290" t="s">
        <v>930</v>
      </c>
      <c r="H3" s="290"/>
      <c r="I3" s="290"/>
      <c r="J3" s="290"/>
      <c r="K3" s="366" t="s">
        <v>3</v>
      </c>
      <c r="L3" s="366"/>
      <c r="M3" s="367"/>
      <c r="N3" s="366" t="s">
        <v>5</v>
      </c>
      <c r="O3" s="366"/>
      <c r="P3" s="367"/>
      <c r="Q3" s="366" t="s">
        <v>131</v>
      </c>
      <c r="R3" s="366"/>
      <c r="S3" s="367"/>
    </row>
    <row r="4" customFormat="false" ht="18.75" hidden="false" customHeight="false" outlineLevel="0" collapsed="false">
      <c r="A4" s="267" t="s">
        <v>81</v>
      </c>
      <c r="B4" s="268" t="s">
        <v>6</v>
      </c>
      <c r="C4" s="368" t="s">
        <v>2</v>
      </c>
      <c r="D4" s="368" t="s">
        <v>3</v>
      </c>
      <c r="E4" s="368" t="s">
        <v>5</v>
      </c>
      <c r="F4" s="368" t="s">
        <v>131</v>
      </c>
      <c r="G4" s="369" t="s">
        <v>2</v>
      </c>
      <c r="H4" s="369" t="s">
        <v>3</v>
      </c>
      <c r="I4" s="369" t="s">
        <v>5</v>
      </c>
      <c r="J4" s="369" t="s">
        <v>131</v>
      </c>
      <c r="K4" s="370" t="s">
        <v>491</v>
      </c>
      <c r="L4" s="370" t="s">
        <v>492</v>
      </c>
      <c r="M4" s="370" t="s">
        <v>493</v>
      </c>
      <c r="N4" s="370" t="s">
        <v>491</v>
      </c>
      <c r="O4" s="370" t="s">
        <v>492</v>
      </c>
      <c r="P4" s="370" t="s">
        <v>493</v>
      </c>
      <c r="Q4" s="370" t="s">
        <v>491</v>
      </c>
      <c r="R4" s="370" t="s">
        <v>492</v>
      </c>
      <c r="S4" s="370" t="s">
        <v>493</v>
      </c>
    </row>
    <row r="5" customFormat="false" ht="18.75" hidden="false" customHeight="false" outlineLevel="0" collapsed="false">
      <c r="A5" s="273" t="n">
        <v>1</v>
      </c>
      <c r="B5" s="274" t="s">
        <v>133</v>
      </c>
      <c r="C5" s="371" t="n">
        <v>950000000</v>
      </c>
      <c r="D5" s="371" t="n">
        <v>42200000</v>
      </c>
      <c r="E5" s="371" t="n">
        <v>66000000</v>
      </c>
      <c r="F5" s="371" t="n">
        <f aca="false">SUM(C5:E5)</f>
        <v>1058200000</v>
      </c>
      <c r="G5" s="276" t="n">
        <f aca="false">SUMPRODUCT(
 (KH_CoHoi!$A$2:$A$996="ITO")*
 (KH_CoHoi!$E$2:$E$996=K$4)*
 (KH_CoHoi!$F$2:$F$996=$B5)*
 (KH_CoHoi!$G$2:$G$996)
)</f>
        <v>0</v>
      </c>
      <c r="H5" s="276" t="n">
        <f aca="false">SUM(K5:M5)</f>
        <v>0</v>
      </c>
      <c r="I5" s="276" t="n">
        <f aca="false">SUM(N5:P5)</f>
        <v>0</v>
      </c>
      <c r="J5" s="276" t="n">
        <f aca="false">SUM(G5:I5)</f>
        <v>0</v>
      </c>
      <c r="K5" s="277" t="n">
        <f aca="false">SUMPRODUCT(
 (KH_CoHoi!$A$2:$A$996="UNI")*
 (KH_CoHoi!$E$2:$E$996=K$4)*
 (KH_CoHoi!$F$2:$F$996=$B5)*
 (KH_CoHoi!$G$2:$G$996)
)</f>
        <v>0</v>
      </c>
      <c r="L5" s="277" t="n">
        <f aca="false">SUMPRODUCT(
 (KH_CoHoi!$A$2:$A$996="UNI")*
 (KH_CoHoi!$E$2:$E$996=L$4)*
 (KH_CoHoi!$F$2:$F$996=$B5)*
 (KH_CoHoi!$G$2:$G$996)
)</f>
        <v>0</v>
      </c>
      <c r="M5" s="277" t="n">
        <f aca="false">SUMPRODUCT(
 (KH_CoHoi!$A$2:$A$996="UNI")*
 (KH_CoHoi!$E$2:$E$996=M$4)*
 (KH_CoHoi!$F$2:$F$996=$B5)*
 (KH_CoHoi!$G$2:$G$996)
)</f>
        <v>0</v>
      </c>
      <c r="N5" s="277" t="n">
        <f aca="false">SUMPRODUCT(
 (KH_CoHoi!$A$2:$A$996="G2B")*
 (KH_CoHoi!$E$2:$E$996=N$4)*
 (KH_CoHoi!$F$2:$F$996=$B5)*
 (KH_CoHoi!$G$2:$G$996)
)</f>
        <v>0</v>
      </c>
      <c r="O5" s="277" t="n">
        <f aca="false">SUMPRODUCT(
 (KH_CoHoi!$A$2:$A$996="G2B")*
 (KH_CoHoi!$E$2:$E$996=O$4)*
 (KH_CoHoi!$F$2:$F$996=$B5)*
 (KH_CoHoi!$G$2:$G$996)
)</f>
        <v>0</v>
      </c>
      <c r="P5" s="277" t="n">
        <f aca="false">SUMPRODUCT(
 (KH_CoHoi!$A$2:$A$996="G2B")*
 (KH_CoHoi!$E$2:$E$996=P$4)*
 (KH_CoHoi!$F$2:$F$996=$B5)*
 (KH_CoHoi!$G$2:$G$996)
)</f>
        <v>0</v>
      </c>
      <c r="Q5" s="277" t="n">
        <f aca="false">G5+K5+N5</f>
        <v>0</v>
      </c>
      <c r="R5" s="277" t="n">
        <f aca="false">L5+O5</f>
        <v>0</v>
      </c>
      <c r="S5" s="277" t="n">
        <f aca="false">M5+P5</f>
        <v>0</v>
      </c>
    </row>
    <row r="6" customFormat="false" ht="18.75" hidden="false" customHeight="false" outlineLevel="0" collapsed="false">
      <c r="A6" s="273" t="n">
        <v>2</v>
      </c>
      <c r="B6" s="274" t="s">
        <v>134</v>
      </c>
      <c r="C6" s="371" t="n">
        <v>950000000</v>
      </c>
      <c r="D6" s="371" t="n">
        <v>200000000</v>
      </c>
      <c r="E6" s="371" t="n">
        <v>1500000000</v>
      </c>
      <c r="F6" s="371" t="n">
        <f aca="false">SUM(C6:E6)</f>
        <v>2650000000</v>
      </c>
      <c r="G6" s="276" t="n">
        <f aca="false">SUMPRODUCT(
 (KH_CoHoi!$A$2:$A$996="ITO")*
 (KH_CoHoi!$E$2:$E$996=K$4)*
 (KH_CoHoi!$F$2:$F$996=$B6)*
 (KH_CoHoi!$G$2:$G$996)
)</f>
        <v>0</v>
      </c>
      <c r="H6" s="276" t="n">
        <f aca="false">SUM(K6:M6)</f>
        <v>0</v>
      </c>
      <c r="I6" s="276" t="n">
        <f aca="false">SUM(N6:P6)</f>
        <v>0</v>
      </c>
      <c r="J6" s="276" t="n">
        <f aca="false">SUM(G6:I6)</f>
        <v>0</v>
      </c>
      <c r="K6" s="277" t="n">
        <f aca="false">SUMPRODUCT(
 (KH_CoHoi!$A$2:$A$996="UNI")*
 (KH_CoHoi!$E$2:$E$996=K$4)*
 (KH_CoHoi!$F$2:$F$996=$B6)*
 (KH_CoHoi!$G$2:$G$996)
)</f>
        <v>0</v>
      </c>
      <c r="L6" s="277" t="n">
        <f aca="false">SUMPRODUCT(
 (KH_CoHoi!$A$2:$A$996="UNI")*
 (KH_CoHoi!$E$2:$E$996=L$4)*
 (KH_CoHoi!$F$2:$F$996=$B6)*
 (KH_CoHoi!$G$2:$G$996)
)</f>
        <v>0</v>
      </c>
      <c r="M6" s="277" t="n">
        <f aca="false">SUMPRODUCT(
 (KH_CoHoi!$A$2:$A$996="UNI")*
 (KH_CoHoi!$E$2:$E$996=M$4)*
 (KH_CoHoi!$F$2:$F$996=$B6)*
 (KH_CoHoi!$G$2:$G$996)
)</f>
        <v>0</v>
      </c>
      <c r="N6" s="277" t="n">
        <f aca="false">SUMPRODUCT(
 (KH_CoHoi!$A$2:$A$996="G2B")*
 (KH_CoHoi!$E$2:$E$996=N$4)*
 (KH_CoHoi!$F$2:$F$996=$B6)*
 (KH_CoHoi!$G$2:$G$996)
)</f>
        <v>0</v>
      </c>
      <c r="O6" s="277" t="n">
        <f aca="false">SUMPRODUCT(
 (KH_CoHoi!$A$2:$A$996="G2B")*
 (KH_CoHoi!$E$2:$E$996=O$4)*
 (KH_CoHoi!$F$2:$F$996=$B6)*
 (KH_CoHoi!$G$2:$G$996)
)</f>
        <v>0</v>
      </c>
      <c r="P6" s="277" t="n">
        <f aca="false">SUMPRODUCT(
 (KH_CoHoi!$A$2:$A$996="G2B")*
 (KH_CoHoi!$E$2:$E$996=P$4)*
 (KH_CoHoi!$F$2:$F$996=$B6)*
 (KH_CoHoi!$G$2:$G$996)
)</f>
        <v>0</v>
      </c>
      <c r="Q6" s="277" t="n">
        <f aca="false">G6+K6+N6</f>
        <v>0</v>
      </c>
      <c r="R6" s="277" t="n">
        <f aca="false">L6+O6</f>
        <v>0</v>
      </c>
      <c r="S6" s="277" t="n">
        <f aca="false">M6+P6</f>
        <v>0</v>
      </c>
    </row>
    <row r="7" customFormat="false" ht="18.75" hidden="false" customHeight="false" outlineLevel="0" collapsed="false">
      <c r="A7" s="273" t="n">
        <v>3</v>
      </c>
      <c r="B7" s="274" t="s">
        <v>135</v>
      </c>
      <c r="C7" s="371" t="n">
        <v>950000000</v>
      </c>
      <c r="D7" s="371" t="n">
        <v>1000000000</v>
      </c>
      <c r="E7" s="371" t="n">
        <v>500000000</v>
      </c>
      <c r="F7" s="371" t="n">
        <f aca="false">SUM(C7:E7)</f>
        <v>2450000000</v>
      </c>
      <c r="G7" s="276" t="n">
        <f aca="false">SUMPRODUCT(
 (KH_CoHoi!$A$2:$A$996="ITO")*
 (KH_CoHoi!$E$2:$E$996=K$4)*
 (KH_CoHoi!$F$2:$F$996=$B7)*
 (KH_CoHoi!$G$2:$G$996)
)</f>
        <v>0</v>
      </c>
      <c r="H7" s="276" t="n">
        <f aca="false">SUM(K7:M7)</f>
        <v>0</v>
      </c>
      <c r="I7" s="276" t="n">
        <f aca="false">SUM(N7:P7)</f>
        <v>0</v>
      </c>
      <c r="J7" s="276" t="n">
        <f aca="false">SUM(G7:I7)</f>
        <v>0</v>
      </c>
      <c r="K7" s="277" t="n">
        <f aca="false">SUMPRODUCT(
 (KH_CoHoi!$A$2:$A$996="UNI")*
 (KH_CoHoi!$E$2:$E$996=K$4)*
 (KH_CoHoi!$F$2:$F$996=$B7)*
 (KH_CoHoi!$G$2:$G$996)
)</f>
        <v>0</v>
      </c>
      <c r="L7" s="277" t="n">
        <f aca="false">SUMPRODUCT(
 (KH_CoHoi!$A$2:$A$996="UNI")*
 (KH_CoHoi!$E$2:$E$996=L$4)*
 (KH_CoHoi!$F$2:$F$996=$B7)*
 (KH_CoHoi!$G$2:$G$996)
)</f>
        <v>0</v>
      </c>
      <c r="M7" s="277" t="n">
        <f aca="false">SUMPRODUCT(
 (KH_CoHoi!$A$2:$A$996="UNI")*
 (KH_CoHoi!$E$2:$E$996=M$4)*
 (KH_CoHoi!$F$2:$F$996=$B7)*
 (KH_CoHoi!$G$2:$G$996)
)</f>
        <v>0</v>
      </c>
      <c r="N7" s="277" t="n">
        <f aca="false">SUMPRODUCT(
 (KH_CoHoi!$A$2:$A$996="G2B")*
 (KH_CoHoi!$E$2:$E$996=N$4)*
 (KH_CoHoi!$F$2:$F$996=$B7)*
 (KH_CoHoi!$G$2:$G$996)
)</f>
        <v>0</v>
      </c>
      <c r="O7" s="277" t="n">
        <f aca="false">SUMPRODUCT(
 (KH_CoHoi!$A$2:$A$996="G2B")*
 (KH_CoHoi!$E$2:$E$996=O$4)*
 (KH_CoHoi!$F$2:$F$996=$B7)*
 (KH_CoHoi!$G$2:$G$996)
)</f>
        <v>0</v>
      </c>
      <c r="P7" s="277" t="n">
        <f aca="false">SUMPRODUCT(
 (KH_CoHoi!$A$2:$A$996="G2B")*
 (KH_CoHoi!$E$2:$E$996=P$4)*
 (KH_CoHoi!$F$2:$F$996=$B7)*
 (KH_CoHoi!$G$2:$G$996)
)</f>
        <v>0</v>
      </c>
      <c r="Q7" s="277" t="n">
        <f aca="false">G7+K7+N7</f>
        <v>0</v>
      </c>
      <c r="R7" s="277" t="n">
        <f aca="false">L7+O7</f>
        <v>0</v>
      </c>
      <c r="S7" s="277" t="n">
        <f aca="false">M7+P7</f>
        <v>0</v>
      </c>
    </row>
    <row r="8" customFormat="false" ht="18.75" hidden="false" customHeight="false" outlineLevel="0" collapsed="false">
      <c r="A8" s="273" t="n">
        <v>4</v>
      </c>
      <c r="B8" s="274" t="s">
        <v>136</v>
      </c>
      <c r="C8" s="371" t="n">
        <v>950000000</v>
      </c>
      <c r="D8" s="371" t="n">
        <v>800800000</v>
      </c>
      <c r="E8" s="371" t="n">
        <v>1000000000</v>
      </c>
      <c r="F8" s="371" t="n">
        <f aca="false">SUM(C8:E8)</f>
        <v>2750800000</v>
      </c>
      <c r="G8" s="276" t="n">
        <f aca="false">SUMPRODUCT(
 (KH_CoHoi!$A$2:$A$996="ITO")*
 (KH_CoHoi!$E$2:$E$996=K$4)*
 (KH_CoHoi!$F$2:$F$996=$B8)*
 (KH_CoHoi!$G$2:$G$996)
)</f>
        <v>0</v>
      </c>
      <c r="H8" s="276" t="n">
        <f aca="false">SUM(K8:M8)</f>
        <v>0</v>
      </c>
      <c r="I8" s="276" t="n">
        <f aca="false">SUM(N8:P8)</f>
        <v>0</v>
      </c>
      <c r="J8" s="276" t="n">
        <f aca="false">SUM(G8:I8)</f>
        <v>0</v>
      </c>
      <c r="K8" s="277" t="n">
        <f aca="false">SUMPRODUCT(
 (KH_CoHoi!$A$2:$A$996="UNI")*
 (KH_CoHoi!$E$2:$E$996=K$4)*
 (KH_CoHoi!$F$2:$F$996=$B8)*
 (KH_CoHoi!$G$2:$G$996)
)</f>
        <v>0</v>
      </c>
      <c r="L8" s="277" t="n">
        <f aca="false">SUMPRODUCT(
 (KH_CoHoi!$A$2:$A$996="UNI")*
 (KH_CoHoi!$E$2:$E$996=L$4)*
 (KH_CoHoi!$F$2:$F$996=$B8)*
 (KH_CoHoi!$G$2:$G$996)
)</f>
        <v>0</v>
      </c>
      <c r="M8" s="277" t="n">
        <f aca="false">SUMPRODUCT(
 (KH_CoHoi!$A$2:$A$996="UNI")*
 (KH_CoHoi!$E$2:$E$996=M$4)*
 (KH_CoHoi!$F$2:$F$996=$B8)*
 (KH_CoHoi!$G$2:$G$996)
)</f>
        <v>0</v>
      </c>
      <c r="N8" s="277" t="n">
        <f aca="false">SUMPRODUCT(
 (KH_CoHoi!$A$2:$A$996="G2B")*
 (KH_CoHoi!$E$2:$E$996=N$4)*
 (KH_CoHoi!$F$2:$F$996=$B8)*
 (KH_CoHoi!$G$2:$G$996)
)</f>
        <v>0</v>
      </c>
      <c r="O8" s="277" t="n">
        <f aca="false">SUMPRODUCT(
 (KH_CoHoi!$A$2:$A$996="G2B")*
 (KH_CoHoi!$E$2:$E$996=O$4)*
 (KH_CoHoi!$F$2:$F$996=$B8)*
 (KH_CoHoi!$G$2:$G$996)
)</f>
        <v>0</v>
      </c>
      <c r="P8" s="277" t="n">
        <f aca="false">SUMPRODUCT(
 (KH_CoHoi!$A$2:$A$996="G2B")*
 (KH_CoHoi!$E$2:$E$996=P$4)*
 (KH_CoHoi!$F$2:$F$996=$B8)*
 (KH_CoHoi!$G$2:$G$996)
)</f>
        <v>0</v>
      </c>
      <c r="Q8" s="277" t="n">
        <f aca="false">G8+K8+N8</f>
        <v>0</v>
      </c>
      <c r="R8" s="277" t="n">
        <f aca="false">L8+O8</f>
        <v>0</v>
      </c>
      <c r="S8" s="277" t="n">
        <f aca="false">M8+P8</f>
        <v>0</v>
      </c>
    </row>
    <row r="9" customFormat="false" ht="18.75" hidden="false" customHeight="false" outlineLevel="0" collapsed="false">
      <c r="A9" s="273" t="n">
        <v>5</v>
      </c>
      <c r="B9" s="274" t="s">
        <v>137</v>
      </c>
      <c r="C9" s="371" t="n">
        <v>950000000</v>
      </c>
      <c r="D9" s="371" t="n">
        <v>1357000000</v>
      </c>
      <c r="E9" s="371" t="n">
        <v>600000000</v>
      </c>
      <c r="F9" s="371" t="n">
        <f aca="false">SUM(C9:E9)</f>
        <v>2907000000</v>
      </c>
      <c r="G9" s="276" t="n">
        <f aca="false">SUMPRODUCT(
 (KH_CoHoi!$A$2:$A$996="ITO")*
 (KH_CoHoi!$E$2:$E$996=K$4)*
 (KH_CoHoi!$F$2:$F$996=$B9)*
 (KH_CoHoi!$G$2:$G$996)
)</f>
        <v>0</v>
      </c>
      <c r="H9" s="276" t="n">
        <f aca="false">SUM(K9:M9)</f>
        <v>0</v>
      </c>
      <c r="I9" s="276" t="n">
        <f aca="false">SUM(N9:P9)</f>
        <v>0</v>
      </c>
      <c r="J9" s="276" t="n">
        <f aca="false">SUM(G9:I9)</f>
        <v>0</v>
      </c>
      <c r="K9" s="277" t="n">
        <f aca="false">SUMPRODUCT(
 (KH_CoHoi!$A$2:$A$996="UNI")*
 (KH_CoHoi!$E$2:$E$996=K$4)*
 (KH_CoHoi!$F$2:$F$996=$B9)*
 (KH_CoHoi!$G$2:$G$996)
)</f>
        <v>0</v>
      </c>
      <c r="L9" s="277" t="n">
        <f aca="false">SUMPRODUCT(
 (KH_CoHoi!$A$2:$A$996="UNI")*
 (KH_CoHoi!$E$2:$E$996=L$4)*
 (KH_CoHoi!$F$2:$F$996=$B9)*
 (KH_CoHoi!$G$2:$G$996)
)</f>
        <v>0</v>
      </c>
      <c r="M9" s="277" t="n">
        <f aca="false">SUMPRODUCT(
 (KH_CoHoi!$A$2:$A$996="UNI")*
 (KH_CoHoi!$E$2:$E$996=M$4)*
 (KH_CoHoi!$F$2:$F$996=$B9)*
 (KH_CoHoi!$G$2:$G$996)
)</f>
        <v>0</v>
      </c>
      <c r="N9" s="277" t="n">
        <f aca="false">SUMPRODUCT(
 (KH_CoHoi!$A$2:$A$996="G2B")*
 (KH_CoHoi!$E$2:$E$996=N$4)*
 (KH_CoHoi!$F$2:$F$996=$B9)*
 (KH_CoHoi!$G$2:$G$996)
)</f>
        <v>0</v>
      </c>
      <c r="O9" s="277" t="n">
        <f aca="false">SUMPRODUCT(
 (KH_CoHoi!$A$2:$A$996="G2B")*
 (KH_CoHoi!$E$2:$E$996=O$4)*
 (KH_CoHoi!$F$2:$F$996=$B9)*
 (KH_CoHoi!$G$2:$G$996)
)</f>
        <v>0</v>
      </c>
      <c r="P9" s="277" t="n">
        <f aca="false">SUMPRODUCT(
 (KH_CoHoi!$A$2:$A$996="G2B")*
 (KH_CoHoi!$E$2:$E$996=P$4)*
 (KH_CoHoi!$F$2:$F$996=$B9)*
 (KH_CoHoi!$G$2:$G$996)
)</f>
        <v>0</v>
      </c>
      <c r="Q9" s="277" t="n">
        <f aca="false">G9+K9+N9</f>
        <v>0</v>
      </c>
      <c r="R9" s="277" t="n">
        <f aca="false">L9+O9</f>
        <v>0</v>
      </c>
      <c r="S9" s="277" t="n">
        <f aca="false">M9+P9</f>
        <v>0</v>
      </c>
    </row>
    <row r="10" customFormat="false" ht="18.75" hidden="false" customHeight="false" outlineLevel="0" collapsed="false">
      <c r="A10" s="273" t="n">
        <v>6</v>
      </c>
      <c r="B10" s="274" t="s">
        <v>138</v>
      </c>
      <c r="C10" s="371" t="n">
        <v>950000000</v>
      </c>
      <c r="D10" s="371" t="n">
        <v>1200000000</v>
      </c>
      <c r="E10" s="371" t="n">
        <v>500000000</v>
      </c>
      <c r="F10" s="371" t="n">
        <f aca="false">SUM(C10:E10)</f>
        <v>2650000000</v>
      </c>
      <c r="G10" s="276" t="n">
        <f aca="false">SUMPRODUCT(
 (KH_CoHoi!$A$2:$A$996="ITO")*
 (KH_CoHoi!$E$2:$E$996=K$4)*
 (KH_CoHoi!$F$2:$F$996=$B10)*
 (KH_CoHoi!$G$2:$G$996)
)</f>
        <v>0</v>
      </c>
      <c r="H10" s="276" t="n">
        <f aca="false">SUM(K10:M10)</f>
        <v>0</v>
      </c>
      <c r="I10" s="276" t="n">
        <f aca="false">SUM(N10:P10)</f>
        <v>0</v>
      </c>
      <c r="J10" s="276" t="n">
        <f aca="false">SUM(G10:I10)</f>
        <v>0</v>
      </c>
      <c r="K10" s="277" t="n">
        <f aca="false">SUMPRODUCT(
 (KH_CoHoi!$A$2:$A$996="UNI")*
 (KH_CoHoi!$E$2:$E$996=K$4)*
 (KH_CoHoi!$F$2:$F$996=$B10)*
 (KH_CoHoi!$G$2:$G$996)
)</f>
        <v>0</v>
      </c>
      <c r="L10" s="277" t="n">
        <f aca="false">SUMPRODUCT(
 (KH_CoHoi!$A$2:$A$996="UNI")*
 (KH_CoHoi!$E$2:$E$996=L$4)*
 (KH_CoHoi!$F$2:$F$996=$B10)*
 (KH_CoHoi!$G$2:$G$996)
)</f>
        <v>0</v>
      </c>
      <c r="M10" s="277" t="n">
        <f aca="false">SUMPRODUCT(
 (KH_CoHoi!$A$2:$A$996="UNI")*
 (KH_CoHoi!$E$2:$E$996=M$4)*
 (KH_CoHoi!$F$2:$F$996=$B10)*
 (KH_CoHoi!$G$2:$G$996)
)</f>
        <v>0</v>
      </c>
      <c r="N10" s="277" t="n">
        <f aca="false">SUMPRODUCT(
 (KH_CoHoi!$A$2:$A$996="G2B")*
 (KH_CoHoi!$E$2:$E$996=N$4)*
 (KH_CoHoi!$F$2:$F$996=$B10)*
 (KH_CoHoi!$G$2:$G$996)
)</f>
        <v>0</v>
      </c>
      <c r="O10" s="277" t="n">
        <f aca="false">SUMPRODUCT(
 (KH_CoHoi!$A$2:$A$996="G2B")*
 (KH_CoHoi!$E$2:$E$996=O$4)*
 (KH_CoHoi!$F$2:$F$996=$B10)*
 (KH_CoHoi!$G$2:$G$996)
)</f>
        <v>0</v>
      </c>
      <c r="P10" s="277" t="n">
        <f aca="false">SUMPRODUCT(
 (KH_CoHoi!$A$2:$A$996="G2B")*
 (KH_CoHoi!$E$2:$E$996=P$4)*
 (KH_CoHoi!$F$2:$F$996=$B10)*
 (KH_CoHoi!$G$2:$G$996)
)</f>
        <v>0</v>
      </c>
      <c r="Q10" s="277" t="n">
        <f aca="false">G10+K10+N10</f>
        <v>0</v>
      </c>
      <c r="R10" s="277" t="n">
        <f aca="false">L10+O10</f>
        <v>0</v>
      </c>
      <c r="S10" s="277" t="n">
        <f aca="false">M10+P10</f>
        <v>0</v>
      </c>
    </row>
    <row r="11" customFormat="false" ht="18.75" hidden="false" customHeight="false" outlineLevel="0" collapsed="false">
      <c r="A11" s="273" t="n">
        <v>7</v>
      </c>
      <c r="B11" s="274" t="s">
        <v>139</v>
      </c>
      <c r="C11" s="371" t="n">
        <v>950000000</v>
      </c>
      <c r="D11" s="371" t="n">
        <v>900000000</v>
      </c>
      <c r="E11" s="371" t="n">
        <v>500000000</v>
      </c>
      <c r="F11" s="371" t="n">
        <f aca="false">SUM(C11:E11)</f>
        <v>2350000000</v>
      </c>
      <c r="G11" s="276" t="n">
        <f aca="false">SUMPRODUCT(
 (KH_CoHoi!$A$2:$A$996="ITO")*
 (KH_CoHoi!$E$2:$E$996=K$4)*
 (KH_CoHoi!$F$2:$F$996=$B11)*
 (KH_CoHoi!$G$2:$G$996)
)</f>
        <v>0</v>
      </c>
      <c r="H11" s="276" t="n">
        <f aca="false">SUM(K11:M11)</f>
        <v>0</v>
      </c>
      <c r="I11" s="276" t="n">
        <f aca="false">SUM(N11:P11)</f>
        <v>0</v>
      </c>
      <c r="J11" s="276" t="n">
        <f aca="false">SUM(G11:I11)</f>
        <v>0</v>
      </c>
      <c r="K11" s="277" t="n">
        <f aca="false">SUMPRODUCT(
 (KH_CoHoi!$A$2:$A$996="UNI")*
 (KH_CoHoi!$E$2:$E$996=K$4)*
 (KH_CoHoi!$F$2:$F$996=$B11)*
 (KH_CoHoi!$G$2:$G$996)
)</f>
        <v>0</v>
      </c>
      <c r="L11" s="277" t="n">
        <f aca="false">SUMPRODUCT(
 (KH_CoHoi!$A$2:$A$996="UNI")*
 (KH_CoHoi!$E$2:$E$996=L$4)*
 (KH_CoHoi!$F$2:$F$996=$B11)*
 (KH_CoHoi!$G$2:$G$996)
)</f>
        <v>0</v>
      </c>
      <c r="M11" s="277" t="n">
        <f aca="false">SUMPRODUCT(
 (KH_CoHoi!$A$2:$A$996="UNI")*
 (KH_CoHoi!$E$2:$E$996=M$4)*
 (KH_CoHoi!$F$2:$F$996=$B11)*
 (KH_CoHoi!$G$2:$G$996)
)</f>
        <v>0</v>
      </c>
      <c r="N11" s="277" t="n">
        <f aca="false">SUMPRODUCT(
 (KH_CoHoi!$A$2:$A$996="G2B")*
 (KH_CoHoi!$E$2:$E$996=N$4)*
 (KH_CoHoi!$F$2:$F$996=$B11)*
 (KH_CoHoi!$G$2:$G$996)
)</f>
        <v>0</v>
      </c>
      <c r="O11" s="277" t="n">
        <f aca="false">SUMPRODUCT(
 (KH_CoHoi!$A$2:$A$996="G2B")*
 (KH_CoHoi!$E$2:$E$996=O$4)*
 (KH_CoHoi!$F$2:$F$996=$B11)*
 (KH_CoHoi!$G$2:$G$996)
)</f>
        <v>0</v>
      </c>
      <c r="P11" s="277" t="n">
        <f aca="false">SUMPRODUCT(
 (KH_CoHoi!$A$2:$A$996="G2B")*
 (KH_CoHoi!$E$2:$E$996=P$4)*
 (KH_CoHoi!$F$2:$F$996=$B11)*
 (KH_CoHoi!$G$2:$G$996)
)</f>
        <v>0</v>
      </c>
      <c r="Q11" s="277" t="n">
        <f aca="false">G11+K11+N11</f>
        <v>0</v>
      </c>
      <c r="R11" s="277" t="n">
        <f aca="false">L11+O11</f>
        <v>0</v>
      </c>
      <c r="S11" s="277" t="n">
        <f aca="false">M11+P11</f>
        <v>0</v>
      </c>
    </row>
    <row r="12" customFormat="false" ht="18.75" hidden="false" customHeight="false" outlineLevel="0" collapsed="false">
      <c r="A12" s="273" t="n">
        <v>8</v>
      </c>
      <c r="B12" s="274" t="s">
        <v>140</v>
      </c>
      <c r="C12" s="371" t="n">
        <v>950000000</v>
      </c>
      <c r="D12" s="371" t="n">
        <v>800000000</v>
      </c>
      <c r="E12" s="371" t="n">
        <v>1300000000</v>
      </c>
      <c r="F12" s="371" t="n">
        <f aca="false">SUM(C12:E12)</f>
        <v>3050000000</v>
      </c>
      <c r="G12" s="276" t="n">
        <f aca="false">SUMPRODUCT(
 (KH_CoHoi!$A$2:$A$996="ITO")*
 (KH_CoHoi!$E$2:$E$996=K$4)*
 (KH_CoHoi!$F$2:$F$996=$B12)*
 (KH_CoHoi!$G$2:$G$996)
)</f>
        <v>0</v>
      </c>
      <c r="H12" s="276" t="n">
        <f aca="false">SUM(K12:M12)</f>
        <v>0</v>
      </c>
      <c r="I12" s="276" t="n">
        <f aca="false">SUM(N12:P12)</f>
        <v>0</v>
      </c>
      <c r="J12" s="276" t="n">
        <f aca="false">SUM(G12:I12)</f>
        <v>0</v>
      </c>
      <c r="K12" s="277" t="n">
        <f aca="false">SUMPRODUCT(
 (KH_CoHoi!$A$2:$A$996="UNI")*
 (KH_CoHoi!$E$2:$E$996=K$4)*
 (KH_CoHoi!$F$2:$F$996=$B12)*
 (KH_CoHoi!$G$2:$G$996)
)</f>
        <v>0</v>
      </c>
      <c r="L12" s="277" t="n">
        <f aca="false">SUMPRODUCT(
 (KH_CoHoi!$A$2:$A$996="UNI")*
 (KH_CoHoi!$E$2:$E$996=L$4)*
 (KH_CoHoi!$F$2:$F$996=$B12)*
 (KH_CoHoi!$G$2:$G$996)
)</f>
        <v>0</v>
      </c>
      <c r="M12" s="277" t="n">
        <f aca="false">SUMPRODUCT(
 (KH_CoHoi!$A$2:$A$996="UNI")*
 (KH_CoHoi!$E$2:$E$996=M$4)*
 (KH_CoHoi!$F$2:$F$996=$B12)*
 (KH_CoHoi!$G$2:$G$996)
)</f>
        <v>0</v>
      </c>
      <c r="N12" s="277" t="n">
        <f aca="false">SUMPRODUCT(
 (KH_CoHoi!$A$2:$A$996="G2B")*
 (KH_CoHoi!$E$2:$E$996=N$4)*
 (KH_CoHoi!$F$2:$F$996=$B12)*
 (KH_CoHoi!$G$2:$G$996)
)</f>
        <v>0</v>
      </c>
      <c r="O12" s="277" t="n">
        <f aca="false">SUMPRODUCT(
 (KH_CoHoi!$A$2:$A$996="G2B")*
 (KH_CoHoi!$E$2:$E$996=O$4)*
 (KH_CoHoi!$F$2:$F$996=$B12)*
 (KH_CoHoi!$G$2:$G$996)
)</f>
        <v>0</v>
      </c>
      <c r="P12" s="277" t="n">
        <f aca="false">SUMPRODUCT(
 (KH_CoHoi!$A$2:$A$996="G2B")*
 (KH_CoHoi!$E$2:$E$996=P$4)*
 (KH_CoHoi!$F$2:$F$996=$B12)*
 (KH_CoHoi!$G$2:$G$996)
)</f>
        <v>0</v>
      </c>
      <c r="Q12" s="277" t="n">
        <f aca="false">G12+K12+N12</f>
        <v>0</v>
      </c>
      <c r="R12" s="277" t="n">
        <f aca="false">L12+O12</f>
        <v>0</v>
      </c>
      <c r="S12" s="277" t="n">
        <f aca="false">M12+P12</f>
        <v>0</v>
      </c>
    </row>
    <row r="13" customFormat="false" ht="18.75" hidden="false" customHeight="false" outlineLevel="0" collapsed="false">
      <c r="A13" s="273" t="n">
        <v>9</v>
      </c>
      <c r="B13" s="274" t="s">
        <v>141</v>
      </c>
      <c r="C13" s="371" t="n">
        <v>950000000</v>
      </c>
      <c r="D13" s="371" t="n">
        <v>1100000000</v>
      </c>
      <c r="E13" s="371" t="n">
        <v>1334000000</v>
      </c>
      <c r="F13" s="371" t="n">
        <f aca="false">SUM(C13:E13)</f>
        <v>3384000000</v>
      </c>
      <c r="G13" s="276" t="n">
        <f aca="false">SUMPRODUCT(
 (KH_CoHoi!$A$2:$A$996="ITO")*
 (KH_CoHoi!$E$2:$E$996=K$4)*
 (KH_CoHoi!$F$2:$F$996=$B13)*
 (KH_CoHoi!$G$2:$G$996)
)</f>
        <v>950000000</v>
      </c>
      <c r="H13" s="276" t="n">
        <f aca="false">SUM(K13:M13)</f>
        <v>7724770000</v>
      </c>
      <c r="I13" s="276" t="n">
        <f aca="false">SUM(N13:P13)</f>
        <v>3635980000</v>
      </c>
      <c r="J13" s="276" t="n">
        <f aca="false">SUM(G13:I13)</f>
        <v>12310750000</v>
      </c>
      <c r="K13" s="277" t="n">
        <f aca="false">SUMPRODUCT(
 (KH_CoHoi!$A$2:$A$996="UNI")*
 (KH_CoHoi!$E$2:$E$996=K$4)*
 (KH_CoHoi!$F$2:$F$996=$B13)*
 (KH_CoHoi!$G$2:$G$996)
)</f>
        <v>48000000</v>
      </c>
      <c r="L13" s="277" t="n">
        <f aca="false">SUMPRODUCT(
 (KH_CoHoi!$A$2:$A$996="UNI")*
 (KH_CoHoi!$E$2:$E$996=L$4)*
 (KH_CoHoi!$F$2:$F$996=$B13)*
 (KH_CoHoi!$G$2:$G$996)
)</f>
        <v>1680800000</v>
      </c>
      <c r="M13" s="277" t="n">
        <f aca="false">SUMPRODUCT(
 (KH_CoHoi!$A$2:$A$996="UNI")*
 (KH_CoHoi!$E$2:$E$996=M$4)*
 (KH_CoHoi!$F$2:$F$996=$B13)*
 (KH_CoHoi!$G$2:$G$996)
)</f>
        <v>5995970000</v>
      </c>
      <c r="N13" s="277" t="n">
        <f aca="false">SUMPRODUCT(
 (KH_CoHoi!$A$2:$A$996="G2B")*
 (KH_CoHoi!$E$2:$E$996=N$4)*
 (KH_CoHoi!$F$2:$F$996=$B13)*
 (KH_CoHoi!$G$2:$G$996)
)</f>
        <v>498980000</v>
      </c>
      <c r="O13" s="277" t="n">
        <f aca="false">SUMPRODUCT(
 (KH_CoHoi!$A$2:$A$996="G2B")*
 (KH_CoHoi!$E$2:$E$996=O$4)*
 (KH_CoHoi!$F$2:$F$996=$B13)*
 (KH_CoHoi!$G$2:$G$996)
)</f>
        <v>3100000000</v>
      </c>
      <c r="P13" s="277" t="n">
        <f aca="false">SUMPRODUCT(
 (KH_CoHoi!$A$2:$A$996="G2B")*
 (KH_CoHoi!$E$2:$E$996=P$4)*
 (KH_CoHoi!$F$2:$F$996=$B13)*
 (KH_CoHoi!$G$2:$G$996)
)</f>
        <v>37000000</v>
      </c>
      <c r="Q13" s="277" t="n">
        <f aca="false">G13+K13+N13</f>
        <v>1496980000</v>
      </c>
      <c r="R13" s="277" t="n">
        <f aca="false">L13+O13</f>
        <v>4780800000</v>
      </c>
      <c r="S13" s="277" t="n">
        <f aca="false">M13+P13</f>
        <v>6032970000</v>
      </c>
    </row>
    <row r="14" customFormat="false" ht="18.75" hidden="false" customHeight="false" outlineLevel="0" collapsed="false">
      <c r="A14" s="273" t="n">
        <v>10</v>
      </c>
      <c r="B14" s="274" t="s">
        <v>142</v>
      </c>
      <c r="C14" s="371" t="n">
        <v>950000000</v>
      </c>
      <c r="D14" s="371" t="n">
        <v>800000000</v>
      </c>
      <c r="E14" s="371" t="n">
        <v>800000000</v>
      </c>
      <c r="F14" s="371" t="n">
        <f aca="false">SUM(C14:E14)</f>
        <v>2550000000</v>
      </c>
      <c r="G14" s="276" t="n">
        <f aca="false">SUMPRODUCT(
 (KH_CoHoi!$A$2:$A$996="ITO")*
 (KH_CoHoi!$E$2:$E$996=K$4)*
 (KH_CoHoi!$F$2:$F$996=$B14)*
 (KH_CoHoi!$G$2:$G$996)
)</f>
        <v>950000000</v>
      </c>
      <c r="H14" s="276" t="n">
        <f aca="false">SUM(K14:M14)</f>
        <v>7444236000</v>
      </c>
      <c r="I14" s="276" t="n">
        <f aca="false">SUM(N14:P14)</f>
        <v>328250000</v>
      </c>
      <c r="J14" s="276" t="n">
        <f aca="false">SUM(G14:I14)</f>
        <v>8722486000</v>
      </c>
      <c r="K14" s="277" t="n">
        <f aca="false">SUMPRODUCT(
 (KH_CoHoi!$A$2:$A$996="UNI")*
 (KH_CoHoi!$E$2:$E$996=K$4)*
 (KH_CoHoi!$F$2:$F$996=$B14)*
 (KH_CoHoi!$G$2:$G$996)
)</f>
        <v>13500000</v>
      </c>
      <c r="L14" s="277" t="n">
        <f aca="false">SUMPRODUCT(
 (KH_CoHoi!$A$2:$A$996="UNI")*
 (KH_CoHoi!$E$2:$E$996=L$4)*
 (KH_CoHoi!$F$2:$F$996=$B14)*
 (KH_CoHoi!$G$2:$G$996)
)</f>
        <v>6691000000</v>
      </c>
      <c r="M14" s="277" t="n">
        <f aca="false">SUMPRODUCT(
 (KH_CoHoi!$A$2:$A$996="UNI")*
 (KH_CoHoi!$E$2:$E$996=M$4)*
 (KH_CoHoi!$F$2:$F$996=$B14)*
 (KH_CoHoi!$G$2:$G$996)
)</f>
        <v>739736000</v>
      </c>
      <c r="N14" s="277" t="n">
        <f aca="false">SUMPRODUCT(
 (KH_CoHoi!$A$2:$A$996="G2B")*
 (KH_CoHoi!$E$2:$E$996=N$4)*
 (KH_CoHoi!$F$2:$F$996=$B14)*
 (KH_CoHoi!$G$2:$G$996)
)</f>
        <v>0</v>
      </c>
      <c r="O14" s="277" t="n">
        <f aca="false">SUMPRODUCT(
 (KH_CoHoi!$A$2:$A$996="G2B")*
 (KH_CoHoi!$E$2:$E$996=O$4)*
 (KH_CoHoi!$F$2:$F$996=$B14)*
 (KH_CoHoi!$G$2:$G$996)
)</f>
        <v>300000000</v>
      </c>
      <c r="P14" s="277" t="n">
        <f aca="false">SUMPRODUCT(
 (KH_CoHoi!$A$2:$A$996="G2B")*
 (KH_CoHoi!$E$2:$E$996=P$4)*
 (KH_CoHoi!$F$2:$F$996=$B14)*
 (KH_CoHoi!$G$2:$G$996)
)</f>
        <v>28250000</v>
      </c>
      <c r="Q14" s="277" t="n">
        <f aca="false">G14+K14+N14</f>
        <v>963500000</v>
      </c>
      <c r="R14" s="277" t="n">
        <f aca="false">L14+O14</f>
        <v>6991000000</v>
      </c>
      <c r="S14" s="277" t="n">
        <f aca="false">M14+P14</f>
        <v>767986000</v>
      </c>
    </row>
    <row r="15" customFormat="false" ht="18.75" hidden="false" customHeight="false" outlineLevel="0" collapsed="false">
      <c r="A15" s="273" t="n">
        <v>11</v>
      </c>
      <c r="B15" s="274" t="s">
        <v>143</v>
      </c>
      <c r="C15" s="371" t="n">
        <v>950000000</v>
      </c>
      <c r="D15" s="371" t="n">
        <v>900000000</v>
      </c>
      <c r="E15" s="371" t="n">
        <v>900000000</v>
      </c>
      <c r="F15" s="371" t="n">
        <f aca="false">SUM(C15:E15)</f>
        <v>2750000000</v>
      </c>
      <c r="G15" s="276" t="n">
        <f aca="false">SUMPRODUCT(
 (KH_CoHoi!$A$2:$A$996="ITO")*
 (KH_CoHoi!$E$2:$E$996=K$4)*
 (KH_CoHoi!$F$2:$F$996=$B15)*
 (KH_CoHoi!$G$2:$G$996)
)</f>
        <v>950000000</v>
      </c>
      <c r="H15" s="276" t="n">
        <f aca="false">SUM(K15:M15)</f>
        <v>102825000</v>
      </c>
      <c r="I15" s="276" t="n">
        <f aca="false">SUM(N15:P15)</f>
        <v>3003500000</v>
      </c>
      <c r="J15" s="276" t="n">
        <f aca="false">SUM(G15:I15)</f>
        <v>4056325000</v>
      </c>
      <c r="K15" s="277" t="n">
        <f aca="false">SUMPRODUCT(
 (KH_CoHoi!$A$2:$A$996="UNI")*
 (KH_CoHoi!$E$2:$E$996=K$4)*
 (KH_CoHoi!$F$2:$F$996=$B15)*
 (KH_CoHoi!$G$2:$G$996)
)</f>
        <v>0</v>
      </c>
      <c r="L15" s="277" t="n">
        <f aca="false">SUMPRODUCT(
 (KH_CoHoi!$A$2:$A$996="UNI")*
 (KH_CoHoi!$E$2:$E$996=L$4)*
 (KH_CoHoi!$F$2:$F$996=$B15)*
 (KH_CoHoi!$G$2:$G$996)
)</f>
        <v>0</v>
      </c>
      <c r="M15" s="277" t="n">
        <f aca="false">SUMPRODUCT(
 (KH_CoHoi!$A$2:$A$996="UNI")*
 (KH_CoHoi!$E$2:$E$996=M$4)*
 (KH_CoHoi!$F$2:$F$996=$B15)*
 (KH_CoHoi!$G$2:$G$996)
)</f>
        <v>102825000</v>
      </c>
      <c r="N15" s="277" t="n">
        <f aca="false">SUMPRODUCT(
 (KH_CoHoi!$A$2:$A$996="G2B")*
 (KH_CoHoi!$E$2:$E$996=N$4)*
 (KH_CoHoi!$F$2:$F$996=$B15)*
 (KH_CoHoi!$G$2:$G$996)
)</f>
        <v>3500000</v>
      </c>
      <c r="O15" s="277" t="n">
        <f aca="false">SUMPRODUCT(
 (KH_CoHoi!$A$2:$A$996="G2B")*
 (KH_CoHoi!$E$2:$E$996=O$4)*
 (KH_CoHoi!$F$2:$F$996=$B15)*
 (KH_CoHoi!$G$2:$G$996)
)</f>
        <v>0</v>
      </c>
      <c r="P15" s="277" t="n">
        <f aca="false">SUMPRODUCT(
 (KH_CoHoi!$A$2:$A$996="G2B")*
 (KH_CoHoi!$E$2:$E$996=P$4)*
 (KH_CoHoi!$F$2:$F$996=$B15)*
 (KH_CoHoi!$G$2:$G$996)
)</f>
        <v>3000000000</v>
      </c>
      <c r="Q15" s="277" t="n">
        <f aca="false">G15+K15+N15</f>
        <v>953500000</v>
      </c>
      <c r="R15" s="277" t="n">
        <f aca="false">L15+O15</f>
        <v>0</v>
      </c>
      <c r="S15" s="277" t="n">
        <f aca="false">M15+P15</f>
        <v>3102825000</v>
      </c>
    </row>
    <row r="16" customFormat="false" ht="18.75" hidden="false" customHeight="false" outlineLevel="0" collapsed="false">
      <c r="A16" s="273" t="n">
        <v>12</v>
      </c>
      <c r="B16" s="274" t="s">
        <v>144</v>
      </c>
      <c r="C16" s="371" t="n">
        <v>950000000</v>
      </c>
      <c r="D16" s="371" t="n">
        <v>1000000000</v>
      </c>
      <c r="E16" s="371" t="n">
        <v>1000000000</v>
      </c>
      <c r="F16" s="371" t="n">
        <f aca="false">SUM(C16:E16)</f>
        <v>2950000000</v>
      </c>
      <c r="G16" s="276" t="n">
        <f aca="false">SUMPRODUCT(
 (KH_CoHoi!$A$2:$A$996="ITO")*
 (KH_CoHoi!$E$2:$E$996=K$4)*
 (KH_CoHoi!$F$2:$F$996=$B16)*
 (KH_CoHoi!$G$2:$G$996)
)</f>
        <v>950000000</v>
      </c>
      <c r="H16" s="276" t="n">
        <f aca="false">SUM(K16:M16)</f>
        <v>734300000</v>
      </c>
      <c r="I16" s="276" t="n">
        <f aca="false">SUM(N16:P16)</f>
        <v>3108712000</v>
      </c>
      <c r="J16" s="276" t="n">
        <f aca="false">SUM(G16:I16)</f>
        <v>4793012000</v>
      </c>
      <c r="K16" s="277" t="n">
        <f aca="false">SUMPRODUCT(
 (KH_CoHoi!$A$2:$A$996="UNI")*
 (KH_CoHoi!$E$2:$E$996=K$4)*
 (KH_CoHoi!$F$2:$F$996=$B16)*
 (KH_CoHoi!$G$2:$G$996)
)</f>
        <v>37800000</v>
      </c>
      <c r="L16" s="277" t="n">
        <f aca="false">SUMPRODUCT(
 (KH_CoHoi!$A$2:$A$996="UNI")*
 (KH_CoHoi!$E$2:$E$996=L$4)*
 (KH_CoHoi!$F$2:$F$996=$B16)*
 (KH_CoHoi!$G$2:$G$996)
)</f>
        <v>300000000</v>
      </c>
      <c r="M16" s="277" t="n">
        <f aca="false">SUMPRODUCT(
 (KH_CoHoi!$A$2:$A$996="UNI")*
 (KH_CoHoi!$E$2:$E$996=M$4)*
 (KH_CoHoi!$F$2:$F$996=$B16)*
 (KH_CoHoi!$G$2:$G$996)
)</f>
        <v>396500000</v>
      </c>
      <c r="N16" s="277" t="n">
        <f aca="false">SUMPRODUCT(
 (KH_CoHoi!$A$2:$A$996="G2B")*
 (KH_CoHoi!$E$2:$E$996=N$4)*
 (KH_CoHoi!$F$2:$F$996=$B16)*
 (KH_CoHoi!$G$2:$G$996)
)</f>
        <v>0</v>
      </c>
      <c r="O16" s="277" t="n">
        <f aca="false">SUMPRODUCT(
 (KH_CoHoi!$A$2:$A$996="G2B")*
 (KH_CoHoi!$E$2:$E$996=O$4)*
 (KH_CoHoi!$F$2:$F$996=$B16)*
 (KH_CoHoi!$G$2:$G$996)
)</f>
        <v>3073712000</v>
      </c>
      <c r="P16" s="277" t="n">
        <f aca="false">SUMPRODUCT(
 (KH_CoHoi!$A$2:$A$996="G2B")*
 (KH_CoHoi!$E$2:$E$996=P$4)*
 (KH_CoHoi!$F$2:$F$996=$B16)*
 (KH_CoHoi!$G$2:$G$996)
)</f>
        <v>35000000</v>
      </c>
      <c r="Q16" s="277" t="n">
        <f aca="false">G16+K16+N16</f>
        <v>987800000</v>
      </c>
      <c r="R16" s="277" t="n">
        <f aca="false">L16+O16</f>
        <v>3373712000</v>
      </c>
      <c r="S16" s="277" t="n">
        <f aca="false">M16+P16</f>
        <v>431500000</v>
      </c>
    </row>
    <row r="17" customFormat="false" ht="18.75" hidden="false" customHeight="false" outlineLevel="0" collapsed="false">
      <c r="A17" s="261"/>
      <c r="B17" s="267" t="s">
        <v>494</v>
      </c>
      <c r="C17" s="372" t="n">
        <f aca="false">SUM(C5:C16)</f>
        <v>11400000000</v>
      </c>
      <c r="D17" s="372" t="n">
        <f aca="false">SUM(D5:D16)</f>
        <v>10100000000</v>
      </c>
      <c r="E17" s="372" t="n">
        <f aca="false">SUM(E5:E16)</f>
        <v>10000000000</v>
      </c>
      <c r="F17" s="372" t="n">
        <f aca="false">SUM(F5:F16)</f>
        <v>31500000000</v>
      </c>
      <c r="G17" s="373" t="n">
        <f aca="false">SUM(G5:G16)</f>
        <v>3800000000</v>
      </c>
      <c r="H17" s="373" t="n">
        <f aca="false">SUM(H5:H16)</f>
        <v>16006131000</v>
      </c>
      <c r="I17" s="373" t="n">
        <f aca="false">SUM(I5:I16)</f>
        <v>10076442000</v>
      </c>
      <c r="J17" s="373" t="n">
        <f aca="false">SUM(J5:J16)</f>
        <v>29882573000</v>
      </c>
      <c r="K17" s="282" t="n">
        <f aca="false">SUM(K5:K16)</f>
        <v>99300000</v>
      </c>
      <c r="L17" s="282" t="n">
        <f aca="false">SUM(L5:L16)</f>
        <v>8671800000</v>
      </c>
      <c r="M17" s="282" t="n">
        <f aca="false">SUM(M5:M16)</f>
        <v>7235031000</v>
      </c>
      <c r="N17" s="282" t="n">
        <f aca="false">SUM(N5:N16)</f>
        <v>502480000</v>
      </c>
      <c r="O17" s="282" t="n">
        <f aca="false">SUM(O5:O16)</f>
        <v>6473712000</v>
      </c>
      <c r="P17" s="282" t="n">
        <f aca="false">SUM(P5:P16)</f>
        <v>3100250000</v>
      </c>
      <c r="Q17" s="282" t="n">
        <f aca="false">SUM(Q5:Q16)</f>
        <v>4401780000</v>
      </c>
      <c r="R17" s="282" t="n">
        <f aca="false">SUM(R5:R16)</f>
        <v>15145512000</v>
      </c>
      <c r="S17" s="282" t="n">
        <f aca="false">SUM(S5:S16)</f>
        <v>10335281000</v>
      </c>
    </row>
    <row r="18" customFormat="false" ht="18.75" hidden="false" customHeight="false" outlineLevel="0" collapsed="false">
      <c r="A18" s="8"/>
      <c r="B18" s="300"/>
      <c r="C18" s="300"/>
      <c r="D18" s="300"/>
      <c r="E18" s="300"/>
      <c r="F18" s="300"/>
      <c r="G18" s="300"/>
      <c r="H18" s="300"/>
      <c r="I18" s="300"/>
      <c r="J18" s="300"/>
      <c r="K18" s="301"/>
      <c r="L18" s="301"/>
      <c r="M18" s="301"/>
      <c r="N18" s="301"/>
      <c r="O18" s="301"/>
      <c r="P18" s="301"/>
      <c r="Q18" s="301"/>
      <c r="R18" s="301"/>
      <c r="S18" s="301"/>
    </row>
    <row r="19" customFormat="false" ht="18.75" hidden="false" customHeight="false" outlineLevel="0" collapsed="false">
      <c r="A19" s="259" t="s">
        <v>84</v>
      </c>
      <c r="B19" s="8"/>
      <c r="C19" s="8"/>
      <c r="D19" s="8"/>
      <c r="E19" s="8"/>
      <c r="F19" s="8"/>
      <c r="G19" s="8"/>
      <c r="H19" s="8"/>
      <c r="I19" s="8"/>
      <c r="J19" s="8"/>
      <c r="L19" s="8"/>
      <c r="M19" s="8"/>
      <c r="N19" s="8"/>
      <c r="P19" s="8"/>
    </row>
    <row r="20" customFormat="false" ht="18.75" hidden="false" customHeight="false" outlineLevel="0" collapsed="false">
      <c r="A20" s="260"/>
      <c r="B20" s="261"/>
      <c r="C20" s="365" t="s">
        <v>132</v>
      </c>
      <c r="D20" s="365"/>
      <c r="E20" s="365"/>
      <c r="F20" s="365"/>
      <c r="G20" s="290" t="s">
        <v>930</v>
      </c>
      <c r="H20" s="290"/>
      <c r="I20" s="290"/>
      <c r="J20" s="290"/>
      <c r="K20" s="374" t="s">
        <v>3</v>
      </c>
      <c r="L20" s="375"/>
      <c r="M20" s="376"/>
      <c r="N20" s="374" t="s">
        <v>5</v>
      </c>
      <c r="O20" s="375"/>
      <c r="P20" s="376"/>
      <c r="Q20" s="374" t="s">
        <v>131</v>
      </c>
      <c r="R20" s="375"/>
      <c r="S20" s="376"/>
    </row>
    <row r="21" customFormat="false" ht="18.75" hidden="false" customHeight="false" outlineLevel="0" collapsed="false">
      <c r="A21" s="267" t="s">
        <v>81</v>
      </c>
      <c r="B21" s="268" t="s">
        <v>6</v>
      </c>
      <c r="C21" s="368" t="s">
        <v>2</v>
      </c>
      <c r="D21" s="368" t="s">
        <v>3</v>
      </c>
      <c r="E21" s="368" t="s">
        <v>5</v>
      </c>
      <c r="F21" s="368" t="s">
        <v>131</v>
      </c>
      <c r="G21" s="369" t="s">
        <v>2</v>
      </c>
      <c r="H21" s="369" t="s">
        <v>3</v>
      </c>
      <c r="I21" s="369" t="s">
        <v>5</v>
      </c>
      <c r="J21" s="369" t="s">
        <v>131</v>
      </c>
      <c r="K21" s="370" t="s">
        <v>491</v>
      </c>
      <c r="L21" s="370" t="s">
        <v>492</v>
      </c>
      <c r="M21" s="370" t="s">
        <v>493</v>
      </c>
      <c r="N21" s="370" t="s">
        <v>491</v>
      </c>
      <c r="O21" s="370" t="s">
        <v>492</v>
      </c>
      <c r="P21" s="370" t="s">
        <v>493</v>
      </c>
      <c r="Q21" s="370" t="s">
        <v>491</v>
      </c>
      <c r="R21" s="370" t="s">
        <v>492</v>
      </c>
      <c r="S21" s="370" t="s">
        <v>493</v>
      </c>
    </row>
    <row r="22" customFormat="false" ht="18.75" hidden="false" customHeight="false" outlineLevel="0" collapsed="false">
      <c r="A22" s="273" t="n">
        <v>1</v>
      </c>
      <c r="B22" s="274" t="s">
        <v>133</v>
      </c>
      <c r="C22" s="371" t="n">
        <v>950000000</v>
      </c>
      <c r="D22" s="371" t="n">
        <v>851000000</v>
      </c>
      <c r="E22" s="371" t="n">
        <v>270000000</v>
      </c>
      <c r="F22" s="371" t="n">
        <f aca="false">SUM(C22:E22)</f>
        <v>2071000000</v>
      </c>
      <c r="G22" s="276" t="n">
        <f aca="false">SUMIFS(
 KH_CoHoi!$H$2:$H$996,
 KH_CoHoi!$A$2:$A$996, "ITO",
 KH_CoHoi!$E$2:$E$996, K$21,
 KH_CoHoi!$I$2:$I$996, TRIM($B22)
)</f>
        <v>0</v>
      </c>
      <c r="H22" s="276" t="n">
        <f aca="false">SUM(K22:M22)</f>
        <v>0</v>
      </c>
      <c r="I22" s="276" t="n">
        <f aca="false">SUM(N22:P22)</f>
        <v>0</v>
      </c>
      <c r="J22" s="276" t="n">
        <f aca="false">SUM(G22:I22)</f>
        <v>0</v>
      </c>
      <c r="K22" s="277" t="n">
        <f aca="false">SUMIFS(
 KH_CoHoi!$H$2:$H$996,
 KH_CoHoi!$A$2:$A$996, "UNI",
 KH_CoHoi!$E$2:$E$996, K$21,
 KH_CoHoi!$I$2:$I$996, TRIM($B22)
)
+
SUMIFS(
 KH_CoHoi!$J$2:$J$996,
 KH_CoHoi!$A$2:$A$996, "UNI",
 KH_CoHoi!$E$2:$E$996, K$21,
 KH_CoHoi!$K$2:$K$996, TRIM($B22)
)
+
SUMIFS(
 KH_CoHoi!$L$2:$L$996,
 KH_CoHoi!$A$2:$A$996, "UNI",
 KH_CoHoi!$E$2:$E$996, K$21,
 KH_CoHoi!$M$2:$M$996, TRIM($B22)
)</f>
        <v>0</v>
      </c>
      <c r="L22" s="277" t="n">
        <f aca="false">SUMIFS(
 KH_CoHoi!$H$2:$H$996,
 KH_CoHoi!$A$2:$A$996, "UNI",
 KH_CoHoi!$E$2:$E$996, L$21,
 KH_CoHoi!$I$2:$I$996, TRIM($B22)
)
+
SUMIFS(
 KH_CoHoi!$J$2:$J$996,
 KH_CoHoi!$A$2:$A$996, "UNI",
 KH_CoHoi!$E$2:$E$996, L$21,
 KH_CoHoi!$K$2:$K$996, TRIM($B22)
)
+
SUMIFS(
 KH_CoHoi!$L$2:$L$996,
 KH_CoHoi!$A$2:$A$996, "UNI",
 KH_CoHoi!$E$2:$E$996, L$21,
 KH_CoHoi!$M$2:$M$996, TRIM($B22)
)</f>
        <v>0</v>
      </c>
      <c r="M22" s="277" t="n">
        <f aca="false">SUMIFS(
 KH_CoHoi!$H$2:$H$996,
 KH_CoHoi!$A$2:$A$996, "UNI",
 KH_CoHoi!$E$2:$E$996, M$21,
 KH_CoHoi!$I$2:$I$996, TRIM($B22)
)
+
SUMIFS(
 KH_CoHoi!$J$2:$J$996,
 KH_CoHoi!$A$2:$A$996, "UNI",
 KH_CoHoi!$E$2:$E$996, M$21,
 KH_CoHoi!$K$2:$K$996, TRIM($B22)
)
+
SUMIFS(
 KH_CoHoi!$L$2:$L$996,
 KH_CoHoi!$A$2:$A$996, "UNI",
 KH_CoHoi!$E$2:$E$996, M$21,
 KH_CoHoi!$M$2:$M$996, TRIM($B22)
)</f>
        <v>0</v>
      </c>
      <c r="N22" s="277" t="n">
        <f aca="false">SUMIFS(
 KH_CoHoi!$H$2:$H$996,
 KH_CoHoi!$A$2:$A$996, "G2B",
 KH_CoHoi!$E$2:$E$996, N$21,
 KH_CoHoi!$I$2:$I$996, TRIM($B22)
)
+
SUMIFS(
 KH_CoHoi!$J$2:$J$996,
 KH_CoHoi!$A$2:$A$996, "G2B",
 KH_CoHoi!$E$2:$E$996, N$21,
 KH_CoHoi!$K$2:$K$996, TRIM($B22)
)
+
SUMIFS(
 KH_CoHoi!$L$2:$L$996,
 KH_CoHoi!$A$2:$A$996, "G2B",
 KH_CoHoi!$E$2:$E$996, N$21,
 KH_CoHoi!$M$2:$M$996, TRIM($B22)
)</f>
        <v>0</v>
      </c>
      <c r="O22" s="277" t="n">
        <f aca="false">SUMIFS(
 KH_CoHoi!$H$2:$H$996,
 KH_CoHoi!$A$2:$A$996, "G2B",
 KH_CoHoi!$E$2:$E$996, O$21,
 KH_CoHoi!$I$2:$I$996, TRIM($B22)
)
+
SUMIFS(
 KH_CoHoi!$J$2:$J$996,
 KH_CoHoi!$A$2:$A$996, "G2B",
 KH_CoHoi!$E$2:$E$996, O$21,
 KH_CoHoi!$K$2:$K$996, TRIM($B22)
)
+
SUMIFS(
 KH_CoHoi!$L$2:$L$996,
 KH_CoHoi!$A$2:$A$996, "G2B",
 KH_CoHoi!$E$2:$E$996, O$21,
 KH_CoHoi!$M$2:$M$996, TRIM($B22)
)</f>
        <v>0</v>
      </c>
      <c r="P22" s="277" t="n">
        <f aca="false">SUMIFS(
 KH_CoHoi!$H$2:$H$996,
 KH_CoHoi!$A$2:$A$996, "G2B",
 KH_CoHoi!$E$2:$E$996, P$21,
 KH_CoHoi!$I$2:$I$996, TRIM($B22)
)
+
SUMIFS(
 KH_CoHoi!$J$2:$J$996,
 KH_CoHoi!$A$2:$A$996, "G2B",
 KH_CoHoi!$E$2:$E$996, P$21,
 KH_CoHoi!$K$2:$K$996, TRIM($B22)
)
+
SUMIFS(
 KH_CoHoi!$L$2:$L$996,
 KH_CoHoi!$A$2:$A$996, "G2B",
 KH_CoHoi!$E$2:$E$996, P$21,
 KH_CoHoi!$M$2:$M$996, TRIM($B22)
)</f>
        <v>0</v>
      </c>
      <c r="Q22" s="277" t="n">
        <f aca="false">G22+K22+N22</f>
        <v>0</v>
      </c>
      <c r="R22" s="277" t="n">
        <f aca="false">L22+O22</f>
        <v>0</v>
      </c>
      <c r="S22" s="277" t="n">
        <f aca="false">M22+P22</f>
        <v>0</v>
      </c>
    </row>
    <row r="23" customFormat="false" ht="18.75" hidden="false" customHeight="false" outlineLevel="0" collapsed="false">
      <c r="A23" s="273" t="n">
        <v>2</v>
      </c>
      <c r="B23" s="274" t="s">
        <v>134</v>
      </c>
      <c r="C23" s="371" t="n">
        <v>950000000</v>
      </c>
      <c r="D23" s="371" t="n">
        <v>30000000</v>
      </c>
      <c r="E23" s="371" t="n">
        <v>1405000000</v>
      </c>
      <c r="F23" s="371" t="n">
        <f aca="false">SUM(C23:E23)</f>
        <v>2385000000</v>
      </c>
      <c r="G23" s="276" t="n">
        <f aca="false">SUMIFS(
 KH_CoHoi!$H$2:$H$996,
 KH_CoHoi!$A$2:$A$996, "ITO",
 KH_CoHoi!$E$2:$E$996, K$21,
 KH_CoHoi!$I$2:$I$996, TRIM($B23)
)</f>
        <v>0</v>
      </c>
      <c r="H23" s="276" t="n">
        <f aca="false">SUM(K23:M23)</f>
        <v>0</v>
      </c>
      <c r="I23" s="276" t="n">
        <f aca="false">SUM(N23:P23)</f>
        <v>0</v>
      </c>
      <c r="J23" s="276" t="n">
        <f aca="false">SUM(G23:I23)</f>
        <v>0</v>
      </c>
      <c r="K23" s="277" t="n">
        <f aca="false">SUMIFS(
 KH_CoHoi!$H$2:$H$996,
 KH_CoHoi!$A$2:$A$996, "UNI",
 KH_CoHoi!$E$2:$E$996, K$21,
 KH_CoHoi!$I$2:$I$996, TRIM($B23)
)
+
SUMIFS(
 KH_CoHoi!$J$2:$J$996,
 KH_CoHoi!$A$2:$A$996, "UNI",
 KH_CoHoi!$E$2:$E$996, K$21,
 KH_CoHoi!$K$2:$K$996, TRIM($B23)
)
+
SUMIFS(
 KH_CoHoi!$L$2:$L$996,
 KH_CoHoi!$A$2:$A$996, "UNI",
 KH_CoHoi!$E$2:$E$996, K$21,
 KH_CoHoi!$M$2:$M$996, TRIM($B23)
)</f>
        <v>0</v>
      </c>
      <c r="L23" s="277" t="n">
        <f aca="false">SUMIFS(
 KH_CoHoi!$H$2:$H$996,
 KH_CoHoi!$A$2:$A$996, "UNI",
 KH_CoHoi!$E$2:$E$996, L$21,
 KH_CoHoi!$I$2:$I$996, TRIM($B23)
)
+
SUMIFS(
 KH_CoHoi!$J$2:$J$996,
 KH_CoHoi!$A$2:$A$996, "UNI",
 KH_CoHoi!$E$2:$E$996, L$21,
 KH_CoHoi!$K$2:$K$996, TRIM($B23)
)
+
SUMIFS(
 KH_CoHoi!$L$2:$L$996,
 KH_CoHoi!$A$2:$A$996, "UNI",
 KH_CoHoi!$E$2:$E$996, L$21,
 KH_CoHoi!$M$2:$M$996, TRIM($B23)
)</f>
        <v>0</v>
      </c>
      <c r="M23" s="277" t="n">
        <f aca="false">SUMIFS(
 KH_CoHoi!$H$2:$H$996,
 KH_CoHoi!$A$2:$A$996, "UNI",
 KH_CoHoi!$E$2:$E$996, M$21,
 KH_CoHoi!$I$2:$I$996, TRIM($B23)
)
+
SUMIFS(
 KH_CoHoi!$J$2:$J$996,
 KH_CoHoi!$A$2:$A$996, "UNI",
 KH_CoHoi!$E$2:$E$996, M$21,
 KH_CoHoi!$K$2:$K$996, TRIM($B23)
)
+
SUMIFS(
 KH_CoHoi!$L$2:$L$996,
 KH_CoHoi!$A$2:$A$996, "UNI",
 KH_CoHoi!$E$2:$E$996, M$21,
 KH_CoHoi!$M$2:$M$996, TRIM($B23)
)</f>
        <v>0</v>
      </c>
      <c r="N23" s="277" t="n">
        <f aca="false">SUMIFS(
 KH_CoHoi!$H$2:$H$996,
 KH_CoHoi!$A$2:$A$996, "G2B",
 KH_CoHoi!$E$2:$E$996, N$21,
 KH_CoHoi!$I$2:$I$996, TRIM($B23)
)
+
SUMIFS(
 KH_CoHoi!$J$2:$J$996,
 KH_CoHoi!$A$2:$A$996, "G2B",
 KH_CoHoi!$E$2:$E$996, N$21,
 KH_CoHoi!$K$2:$K$996, TRIM($B23)
)
+
SUMIFS(
 KH_CoHoi!$L$2:$L$996,
 KH_CoHoi!$A$2:$A$996, "G2B",
 KH_CoHoi!$E$2:$E$996, N$21,
 KH_CoHoi!$M$2:$M$996, TRIM($B23)
)</f>
        <v>0</v>
      </c>
      <c r="O23" s="277" t="n">
        <f aca="false">SUMIFS(
 KH_CoHoi!$H$2:$H$996,
 KH_CoHoi!$A$2:$A$996, "G2B",
 KH_CoHoi!$E$2:$E$996, O$21,
 KH_CoHoi!$I$2:$I$996, TRIM($B23)
)
+
SUMIFS(
 KH_CoHoi!$J$2:$J$996,
 KH_CoHoi!$A$2:$A$996, "G2B",
 KH_CoHoi!$E$2:$E$996, O$21,
 KH_CoHoi!$K$2:$K$996, TRIM($B23)
)
+
SUMIFS(
 KH_CoHoi!$L$2:$L$996,
 KH_CoHoi!$A$2:$A$996, "G2B",
 KH_CoHoi!$E$2:$E$996, O$21,
 KH_CoHoi!$M$2:$M$996, TRIM($B23)
)</f>
        <v>0</v>
      </c>
      <c r="P23" s="277" t="n">
        <f aca="false">SUMIFS(
 KH_CoHoi!$H$2:$H$996,
 KH_CoHoi!$A$2:$A$996, "G2B",
 KH_CoHoi!$E$2:$E$996, P$21,
 KH_CoHoi!$I$2:$I$996, TRIM($B23)
)
+
SUMIFS(
 KH_CoHoi!$J$2:$J$996,
 KH_CoHoi!$A$2:$A$996, "G2B",
 KH_CoHoi!$E$2:$E$996, P$21,
 KH_CoHoi!$K$2:$K$996, TRIM($B23)
)
+
SUMIFS(
 KH_CoHoi!$L$2:$L$996,
 KH_CoHoi!$A$2:$A$996, "G2B",
 KH_CoHoi!$E$2:$E$996, P$21,
 KH_CoHoi!$M$2:$M$996, TRIM($B23)
)</f>
        <v>0</v>
      </c>
      <c r="Q23" s="277" t="n">
        <f aca="false">G23+K23+N23</f>
        <v>0</v>
      </c>
      <c r="R23" s="277" t="n">
        <f aca="false">L23+O23</f>
        <v>0</v>
      </c>
      <c r="S23" s="277" t="n">
        <f aca="false">M23+P23</f>
        <v>0</v>
      </c>
    </row>
    <row r="24" customFormat="false" ht="18.75" hidden="false" customHeight="false" outlineLevel="0" collapsed="false">
      <c r="A24" s="273" t="n">
        <v>3</v>
      </c>
      <c r="B24" s="274" t="s">
        <v>135</v>
      </c>
      <c r="C24" s="371" t="n">
        <v>950000000</v>
      </c>
      <c r="D24" s="371" t="n">
        <v>770000000</v>
      </c>
      <c r="E24" s="371" t="n">
        <v>500000000</v>
      </c>
      <c r="F24" s="371" t="n">
        <f aca="false">SUM(C24:E24)</f>
        <v>2220000000</v>
      </c>
      <c r="G24" s="276" t="n">
        <f aca="false">SUMIFS(
 KH_CoHoi!$H$2:$H$996,
 KH_CoHoi!$A$2:$A$996, "ITO",
 KH_CoHoi!$E$2:$E$996, K$21,
 KH_CoHoi!$I$2:$I$996, TRIM($B24)
)</f>
        <v>0</v>
      </c>
      <c r="H24" s="276" t="n">
        <f aca="false">SUM(K24:M24)</f>
        <v>0</v>
      </c>
      <c r="I24" s="276" t="n">
        <f aca="false">SUM(N24:P24)</f>
        <v>0</v>
      </c>
      <c r="J24" s="276" t="n">
        <f aca="false">SUM(G24:I24)</f>
        <v>0</v>
      </c>
      <c r="K24" s="277" t="n">
        <f aca="false">SUMIFS(
 KH_CoHoi!$H$2:$H$996,
 KH_CoHoi!$A$2:$A$996, "UNI",
 KH_CoHoi!$E$2:$E$996, K$21,
 KH_CoHoi!$I$2:$I$996, TRIM($B24)
)
+
SUMIFS(
 KH_CoHoi!$J$2:$J$996,
 KH_CoHoi!$A$2:$A$996, "UNI",
 KH_CoHoi!$E$2:$E$996, K$21,
 KH_CoHoi!$K$2:$K$996, TRIM($B24)
)
+
SUMIFS(
 KH_CoHoi!$L$2:$L$996,
 KH_CoHoi!$A$2:$A$996, "UNI",
 KH_CoHoi!$E$2:$E$996, K$21,
 KH_CoHoi!$M$2:$M$996, TRIM($B24)
)</f>
        <v>0</v>
      </c>
      <c r="L24" s="277" t="n">
        <f aca="false">SUMIFS(
 KH_CoHoi!$H$2:$H$996,
 KH_CoHoi!$A$2:$A$996, "UNI",
 KH_CoHoi!$E$2:$E$996, L$21,
 KH_CoHoi!$I$2:$I$996, TRIM($B24)
)
+
SUMIFS(
 KH_CoHoi!$J$2:$J$996,
 KH_CoHoi!$A$2:$A$996, "UNI",
 KH_CoHoi!$E$2:$E$996, L$21,
 KH_CoHoi!$K$2:$K$996, TRIM($B24)
)
+
SUMIFS(
 KH_CoHoi!$L$2:$L$996,
 KH_CoHoi!$A$2:$A$996, "UNI",
 KH_CoHoi!$E$2:$E$996, L$21,
 KH_CoHoi!$M$2:$M$996, TRIM($B24)
)</f>
        <v>0</v>
      </c>
      <c r="M24" s="277" t="n">
        <f aca="false">SUMIFS(
 KH_CoHoi!$H$2:$H$996,
 KH_CoHoi!$A$2:$A$996, "UNI",
 KH_CoHoi!$E$2:$E$996, M$21,
 KH_CoHoi!$I$2:$I$996, TRIM($B24)
)
+
SUMIFS(
 KH_CoHoi!$J$2:$J$996,
 KH_CoHoi!$A$2:$A$996, "UNI",
 KH_CoHoi!$E$2:$E$996, M$21,
 KH_CoHoi!$K$2:$K$996, TRIM($B24)
)
+
SUMIFS(
 KH_CoHoi!$L$2:$L$996,
 KH_CoHoi!$A$2:$A$996, "UNI",
 KH_CoHoi!$E$2:$E$996, M$21,
 KH_CoHoi!$M$2:$M$996, TRIM($B24)
)</f>
        <v>0</v>
      </c>
      <c r="N24" s="277" t="n">
        <f aca="false">SUMIFS(
 KH_CoHoi!$H$2:$H$996,
 KH_CoHoi!$A$2:$A$996, "G2B",
 KH_CoHoi!$E$2:$E$996, N$21,
 KH_CoHoi!$I$2:$I$996, TRIM($B24)
)
+
SUMIFS(
 KH_CoHoi!$J$2:$J$996,
 KH_CoHoi!$A$2:$A$996, "G2B",
 KH_CoHoi!$E$2:$E$996, N$21,
 KH_CoHoi!$K$2:$K$996, TRIM($B24)
)
+
SUMIFS(
 KH_CoHoi!$L$2:$L$996,
 KH_CoHoi!$A$2:$A$996, "G2B",
 KH_CoHoi!$E$2:$E$996, N$21,
 KH_CoHoi!$M$2:$M$996, TRIM($B24)
)</f>
        <v>0</v>
      </c>
      <c r="O24" s="277" t="n">
        <f aca="false">SUMIFS(
 KH_CoHoi!$H$2:$H$996,
 KH_CoHoi!$A$2:$A$996, "G2B",
 KH_CoHoi!$E$2:$E$996, O$21,
 KH_CoHoi!$I$2:$I$996, TRIM($B24)
)
+
SUMIFS(
 KH_CoHoi!$J$2:$J$996,
 KH_CoHoi!$A$2:$A$996, "G2B",
 KH_CoHoi!$E$2:$E$996, O$21,
 KH_CoHoi!$K$2:$K$996, TRIM($B24)
)
+
SUMIFS(
 KH_CoHoi!$L$2:$L$996,
 KH_CoHoi!$A$2:$A$996, "G2B",
 KH_CoHoi!$E$2:$E$996, O$21,
 KH_CoHoi!$M$2:$M$996, TRIM($B24)
)</f>
        <v>0</v>
      </c>
      <c r="P24" s="277" t="n">
        <f aca="false">SUMIFS(
 KH_CoHoi!$H$2:$H$996,
 KH_CoHoi!$A$2:$A$996, "G2B",
 KH_CoHoi!$E$2:$E$996, P$21,
 KH_CoHoi!$I$2:$I$996, TRIM($B24)
)
+
SUMIFS(
 KH_CoHoi!$J$2:$J$996,
 KH_CoHoi!$A$2:$A$996, "G2B",
 KH_CoHoi!$E$2:$E$996, P$21,
 KH_CoHoi!$K$2:$K$996, TRIM($B24)
)
+
SUMIFS(
 KH_CoHoi!$L$2:$L$996,
 KH_CoHoi!$A$2:$A$996, "G2B",
 KH_CoHoi!$E$2:$E$996, P$21,
 KH_CoHoi!$M$2:$M$996, TRIM($B24)
)</f>
        <v>0</v>
      </c>
      <c r="Q24" s="277" t="n">
        <f aca="false">G24+K24+N24</f>
        <v>0</v>
      </c>
      <c r="R24" s="277" t="n">
        <f aca="false">L24+O24</f>
        <v>0</v>
      </c>
      <c r="S24" s="277" t="n">
        <f aca="false">M24+P24</f>
        <v>0</v>
      </c>
    </row>
    <row r="25" customFormat="false" ht="18.75" hidden="false" customHeight="false" outlineLevel="0" collapsed="false">
      <c r="A25" s="273" t="n">
        <v>4</v>
      </c>
      <c r="B25" s="274" t="s">
        <v>136</v>
      </c>
      <c r="C25" s="371" t="n">
        <v>950000000</v>
      </c>
      <c r="D25" s="371" t="n">
        <v>660000000</v>
      </c>
      <c r="E25" s="371" t="n">
        <v>890000000</v>
      </c>
      <c r="F25" s="371" t="n">
        <f aca="false">SUM(C25:E25)</f>
        <v>2500000000</v>
      </c>
      <c r="G25" s="276" t="n">
        <f aca="false">SUMIFS(
 KH_CoHoi!$H$2:$H$996,
 KH_CoHoi!$A$2:$A$996, "ITO",
 KH_CoHoi!$E$2:$E$996, K$21,
 KH_CoHoi!$I$2:$I$996, TRIM($B25)
)</f>
        <v>0</v>
      </c>
      <c r="H25" s="276" t="n">
        <f aca="false">SUM(K25:M25)</f>
        <v>0</v>
      </c>
      <c r="I25" s="276" t="n">
        <f aca="false">SUM(N25:P25)</f>
        <v>0</v>
      </c>
      <c r="J25" s="276" t="n">
        <f aca="false">SUM(G25:I25)</f>
        <v>0</v>
      </c>
      <c r="K25" s="277" t="n">
        <f aca="false">SUMIFS(
 KH_CoHoi!$H$2:$H$996,
 KH_CoHoi!$A$2:$A$996, "UNI",
 KH_CoHoi!$E$2:$E$996, K$21,
 KH_CoHoi!$I$2:$I$996, TRIM($B25)
)
+
SUMIFS(
 KH_CoHoi!$J$2:$J$996,
 KH_CoHoi!$A$2:$A$996, "UNI",
 KH_CoHoi!$E$2:$E$996, K$21,
 KH_CoHoi!$K$2:$K$996, TRIM($B25)
)
+
SUMIFS(
 KH_CoHoi!$L$2:$L$996,
 KH_CoHoi!$A$2:$A$996, "UNI",
 KH_CoHoi!$E$2:$E$996, K$21,
 KH_CoHoi!$M$2:$M$996, TRIM($B25)
)</f>
        <v>0</v>
      </c>
      <c r="L25" s="277" t="n">
        <f aca="false">SUMIFS(
 KH_CoHoi!$H$2:$H$996,
 KH_CoHoi!$A$2:$A$996, "UNI",
 KH_CoHoi!$E$2:$E$996, L$21,
 KH_CoHoi!$I$2:$I$996, TRIM($B25)
)
+
SUMIFS(
 KH_CoHoi!$J$2:$J$996,
 KH_CoHoi!$A$2:$A$996, "UNI",
 KH_CoHoi!$E$2:$E$996, L$21,
 KH_CoHoi!$K$2:$K$996, TRIM($B25)
)
+
SUMIFS(
 KH_CoHoi!$L$2:$L$996,
 KH_CoHoi!$A$2:$A$996, "UNI",
 KH_CoHoi!$E$2:$E$996, L$21,
 KH_CoHoi!$M$2:$M$996, TRIM($B25)
)</f>
        <v>0</v>
      </c>
      <c r="M25" s="277" t="n">
        <f aca="false">SUMIFS(
 KH_CoHoi!$H$2:$H$996,
 KH_CoHoi!$A$2:$A$996, "UNI",
 KH_CoHoi!$E$2:$E$996, M$21,
 KH_CoHoi!$I$2:$I$996, TRIM($B25)
)
+
SUMIFS(
 KH_CoHoi!$J$2:$J$996,
 KH_CoHoi!$A$2:$A$996, "UNI",
 KH_CoHoi!$E$2:$E$996, M$21,
 KH_CoHoi!$K$2:$K$996, TRIM($B25)
)
+
SUMIFS(
 KH_CoHoi!$L$2:$L$996,
 KH_CoHoi!$A$2:$A$996, "UNI",
 KH_CoHoi!$E$2:$E$996, M$21,
 KH_CoHoi!$M$2:$M$996, TRIM($B25)
)</f>
        <v>0</v>
      </c>
      <c r="N25" s="277" t="n">
        <f aca="false">SUMIFS(
 KH_CoHoi!$H$2:$H$996,
 KH_CoHoi!$A$2:$A$996, "G2B",
 KH_CoHoi!$E$2:$E$996, N$21,
 KH_CoHoi!$I$2:$I$996, TRIM($B25)
)
+
SUMIFS(
 KH_CoHoi!$J$2:$J$996,
 KH_CoHoi!$A$2:$A$996, "G2B",
 KH_CoHoi!$E$2:$E$996, N$21,
 KH_CoHoi!$K$2:$K$996, TRIM($B25)
)
+
SUMIFS(
 KH_CoHoi!$L$2:$L$996,
 KH_CoHoi!$A$2:$A$996, "G2B",
 KH_CoHoi!$E$2:$E$996, N$21,
 KH_CoHoi!$M$2:$M$996, TRIM($B25)
)</f>
        <v>0</v>
      </c>
      <c r="O25" s="277" t="n">
        <f aca="false">SUMIFS(
 KH_CoHoi!$H$2:$H$996,
 KH_CoHoi!$A$2:$A$996, "G2B",
 KH_CoHoi!$E$2:$E$996, O$21,
 KH_CoHoi!$I$2:$I$996, TRIM($B25)
)
+
SUMIFS(
 KH_CoHoi!$J$2:$J$996,
 KH_CoHoi!$A$2:$A$996, "G2B",
 KH_CoHoi!$E$2:$E$996, O$21,
 KH_CoHoi!$K$2:$K$996, TRIM($B25)
)
+
SUMIFS(
 KH_CoHoi!$L$2:$L$996,
 KH_CoHoi!$A$2:$A$996, "G2B",
 KH_CoHoi!$E$2:$E$996, O$21,
 KH_CoHoi!$M$2:$M$996, TRIM($B25)
)</f>
        <v>0</v>
      </c>
      <c r="P25" s="277" t="n">
        <f aca="false">SUMIFS(
 KH_CoHoi!$H$2:$H$996,
 KH_CoHoi!$A$2:$A$996, "G2B",
 KH_CoHoi!$E$2:$E$996, P$21,
 KH_CoHoi!$I$2:$I$996, TRIM($B25)
)
+
SUMIFS(
 KH_CoHoi!$J$2:$J$996,
 KH_CoHoi!$A$2:$A$996, "G2B",
 KH_CoHoi!$E$2:$E$996, P$21,
 KH_CoHoi!$K$2:$K$996, TRIM($B25)
)
+
SUMIFS(
 KH_CoHoi!$L$2:$L$996,
 KH_CoHoi!$A$2:$A$996, "G2B",
 KH_CoHoi!$E$2:$E$996, P$21,
 KH_CoHoi!$M$2:$M$996, TRIM($B25)
)</f>
        <v>0</v>
      </c>
      <c r="Q25" s="277" t="n">
        <f aca="false">G25+K25+N25</f>
        <v>0</v>
      </c>
      <c r="R25" s="277" t="n">
        <f aca="false">L25+O25</f>
        <v>0</v>
      </c>
      <c r="S25" s="277" t="n">
        <f aca="false">M25+P25</f>
        <v>0</v>
      </c>
    </row>
    <row r="26" customFormat="false" ht="18.75" hidden="false" customHeight="false" outlineLevel="0" collapsed="false">
      <c r="A26" s="273" t="n">
        <v>5</v>
      </c>
      <c r="B26" s="274" t="s">
        <v>137</v>
      </c>
      <c r="C26" s="371" t="n">
        <v>950000000</v>
      </c>
      <c r="D26" s="371" t="n">
        <v>865000000</v>
      </c>
      <c r="E26" s="371" t="n">
        <v>300000000</v>
      </c>
      <c r="F26" s="371" t="n">
        <f aca="false">SUM(C26:E26)</f>
        <v>2115000000</v>
      </c>
      <c r="G26" s="276" t="n">
        <f aca="false">SUMIFS(
 KH_CoHoi!$H$2:$H$996,
 KH_CoHoi!$A$2:$A$996, "ITO",
 KH_CoHoi!$E$2:$E$996, K$21,
 KH_CoHoi!$I$2:$I$996, TRIM($B26)
)</f>
        <v>0</v>
      </c>
      <c r="H26" s="276" t="n">
        <f aca="false">SUM(K26:M26)</f>
        <v>0</v>
      </c>
      <c r="I26" s="276" t="n">
        <f aca="false">SUM(N26:P26)</f>
        <v>0</v>
      </c>
      <c r="J26" s="276" t="n">
        <f aca="false">SUM(G26:I26)</f>
        <v>0</v>
      </c>
      <c r="K26" s="277" t="n">
        <f aca="false">SUMIFS(
 KH_CoHoi!$H$2:$H$996,
 KH_CoHoi!$A$2:$A$996, "UNI",
 KH_CoHoi!$E$2:$E$996, K$21,
 KH_CoHoi!$I$2:$I$996, TRIM($B26)
)
+
SUMIFS(
 KH_CoHoi!$J$2:$J$996,
 KH_CoHoi!$A$2:$A$996, "UNI",
 KH_CoHoi!$E$2:$E$996, K$21,
 KH_CoHoi!$K$2:$K$996, TRIM($B26)
)
+
SUMIFS(
 KH_CoHoi!$L$2:$L$996,
 KH_CoHoi!$A$2:$A$996, "UNI",
 KH_CoHoi!$E$2:$E$996, K$21,
 KH_CoHoi!$M$2:$M$996, TRIM($B26)
)</f>
        <v>0</v>
      </c>
      <c r="L26" s="277" t="n">
        <f aca="false">SUMIFS(
 KH_CoHoi!$H$2:$H$996,
 KH_CoHoi!$A$2:$A$996, "UNI",
 KH_CoHoi!$E$2:$E$996, L$21,
 KH_CoHoi!$I$2:$I$996, TRIM($B26)
)
+
SUMIFS(
 KH_CoHoi!$J$2:$J$996,
 KH_CoHoi!$A$2:$A$996, "UNI",
 KH_CoHoi!$E$2:$E$996, L$21,
 KH_CoHoi!$K$2:$K$996, TRIM($B26)
)
+
SUMIFS(
 KH_CoHoi!$L$2:$L$996,
 KH_CoHoi!$A$2:$A$996, "UNI",
 KH_CoHoi!$E$2:$E$996, L$21,
 KH_CoHoi!$M$2:$M$996, TRIM($B26)
)</f>
        <v>0</v>
      </c>
      <c r="M26" s="277" t="n">
        <f aca="false">SUMIFS(
 KH_CoHoi!$H$2:$H$996,
 KH_CoHoi!$A$2:$A$996, "UNI",
 KH_CoHoi!$E$2:$E$996, M$21,
 KH_CoHoi!$I$2:$I$996, TRIM($B26)
)
+
SUMIFS(
 KH_CoHoi!$J$2:$J$996,
 KH_CoHoi!$A$2:$A$996, "UNI",
 KH_CoHoi!$E$2:$E$996, M$21,
 KH_CoHoi!$K$2:$K$996, TRIM($B26)
)
+
SUMIFS(
 KH_CoHoi!$L$2:$L$996,
 KH_CoHoi!$A$2:$A$996, "UNI",
 KH_CoHoi!$E$2:$E$996, M$21,
 KH_CoHoi!$M$2:$M$996, TRIM($B26)
)</f>
        <v>0</v>
      </c>
      <c r="N26" s="277" t="n">
        <f aca="false">SUMIFS(
 KH_CoHoi!$H$2:$H$996,
 KH_CoHoi!$A$2:$A$996, "G2B",
 KH_CoHoi!$E$2:$E$996, N$21,
 KH_CoHoi!$I$2:$I$996, TRIM($B26)
)
+
SUMIFS(
 KH_CoHoi!$J$2:$J$996,
 KH_CoHoi!$A$2:$A$996, "G2B",
 KH_CoHoi!$E$2:$E$996, N$21,
 KH_CoHoi!$K$2:$K$996, TRIM($B26)
)
+
SUMIFS(
 KH_CoHoi!$L$2:$L$996,
 KH_CoHoi!$A$2:$A$996, "G2B",
 KH_CoHoi!$E$2:$E$996, N$21,
 KH_CoHoi!$M$2:$M$996, TRIM($B26)
)</f>
        <v>0</v>
      </c>
      <c r="O26" s="277" t="n">
        <f aca="false">SUMIFS(
 KH_CoHoi!$H$2:$H$996,
 KH_CoHoi!$A$2:$A$996, "G2B",
 KH_CoHoi!$E$2:$E$996, O$21,
 KH_CoHoi!$I$2:$I$996, TRIM($B26)
)
+
SUMIFS(
 KH_CoHoi!$J$2:$J$996,
 KH_CoHoi!$A$2:$A$996, "G2B",
 KH_CoHoi!$E$2:$E$996, O$21,
 KH_CoHoi!$K$2:$K$996, TRIM($B26)
)
+
SUMIFS(
 KH_CoHoi!$L$2:$L$996,
 KH_CoHoi!$A$2:$A$996, "G2B",
 KH_CoHoi!$E$2:$E$996, O$21,
 KH_CoHoi!$M$2:$M$996, TRIM($B26)
)</f>
        <v>0</v>
      </c>
      <c r="P26" s="277" t="n">
        <f aca="false">SUMIFS(
 KH_CoHoi!$H$2:$H$996,
 KH_CoHoi!$A$2:$A$996, "G2B",
 KH_CoHoi!$E$2:$E$996, P$21,
 KH_CoHoi!$I$2:$I$996, TRIM($B26)
)
+
SUMIFS(
 KH_CoHoi!$J$2:$J$996,
 KH_CoHoi!$A$2:$A$996, "G2B",
 KH_CoHoi!$E$2:$E$996, P$21,
 KH_CoHoi!$K$2:$K$996, TRIM($B26)
)
+
SUMIFS(
 KH_CoHoi!$L$2:$L$996,
 KH_CoHoi!$A$2:$A$996, "G2B",
 KH_CoHoi!$E$2:$E$996, P$21,
 KH_CoHoi!$M$2:$M$996, TRIM($B26)
)</f>
        <v>0</v>
      </c>
      <c r="Q26" s="277" t="n">
        <f aca="false">G26+K26+N26</f>
        <v>0</v>
      </c>
      <c r="R26" s="277" t="n">
        <f aca="false">L26+O26</f>
        <v>0</v>
      </c>
      <c r="S26" s="277" t="n">
        <f aca="false">M26+P26</f>
        <v>0</v>
      </c>
    </row>
    <row r="27" customFormat="false" ht="18.75" hidden="false" customHeight="false" outlineLevel="0" collapsed="false">
      <c r="A27" s="273" t="n">
        <v>6</v>
      </c>
      <c r="B27" s="274" t="s">
        <v>138</v>
      </c>
      <c r="C27" s="371" t="n">
        <v>950000000</v>
      </c>
      <c r="D27" s="371" t="n">
        <v>870000000</v>
      </c>
      <c r="E27" s="371" t="n">
        <v>765000000</v>
      </c>
      <c r="F27" s="371" t="n">
        <f aca="false">SUM(C27:E27)</f>
        <v>2585000000</v>
      </c>
      <c r="G27" s="276" t="n">
        <f aca="false">SUMIFS(
 KH_CoHoi!$H$2:$H$996,
 KH_CoHoi!$A$2:$A$996, "ITO",
 KH_CoHoi!$E$2:$E$996, K$21,
 KH_CoHoi!$I$2:$I$996, TRIM($B27)
)</f>
        <v>0</v>
      </c>
      <c r="H27" s="276" t="n">
        <f aca="false">SUM(K27:M27)</f>
        <v>0</v>
      </c>
      <c r="I27" s="276" t="n">
        <f aca="false">SUM(N27:P27)</f>
        <v>0</v>
      </c>
      <c r="J27" s="276" t="n">
        <f aca="false">SUM(G27:I27)</f>
        <v>0</v>
      </c>
      <c r="K27" s="277" t="n">
        <f aca="false">SUMIFS(
 KH_CoHoi!$H$2:$H$996,
 KH_CoHoi!$A$2:$A$996, "UNI",
 KH_CoHoi!$E$2:$E$996, K$21,
 KH_CoHoi!$I$2:$I$996, TRIM($B27)
)
+
SUMIFS(
 KH_CoHoi!$J$2:$J$996,
 KH_CoHoi!$A$2:$A$996, "UNI",
 KH_CoHoi!$E$2:$E$996, K$21,
 KH_CoHoi!$K$2:$K$996, TRIM($B27)
)
+
SUMIFS(
 KH_CoHoi!$L$2:$L$996,
 KH_CoHoi!$A$2:$A$996, "UNI",
 KH_CoHoi!$E$2:$E$996, K$21,
 KH_CoHoi!$M$2:$M$996, TRIM($B27)
)</f>
        <v>0</v>
      </c>
      <c r="L27" s="277" t="n">
        <f aca="false">SUMIFS(
 KH_CoHoi!$H$2:$H$996,
 KH_CoHoi!$A$2:$A$996, "UNI",
 KH_CoHoi!$E$2:$E$996, L$21,
 KH_CoHoi!$I$2:$I$996, TRIM($B27)
)
+
SUMIFS(
 KH_CoHoi!$J$2:$J$996,
 KH_CoHoi!$A$2:$A$996, "UNI",
 KH_CoHoi!$E$2:$E$996, L$21,
 KH_CoHoi!$K$2:$K$996, TRIM($B27)
)
+
SUMIFS(
 KH_CoHoi!$L$2:$L$996,
 KH_CoHoi!$A$2:$A$996, "UNI",
 KH_CoHoi!$E$2:$E$996, L$21,
 KH_CoHoi!$M$2:$M$996, TRIM($B27)
)</f>
        <v>0</v>
      </c>
      <c r="M27" s="277" t="n">
        <f aca="false">SUMIFS(
 KH_CoHoi!$H$2:$H$996,
 KH_CoHoi!$A$2:$A$996, "UNI",
 KH_CoHoi!$E$2:$E$996, M$21,
 KH_CoHoi!$I$2:$I$996, TRIM($B27)
)
+
SUMIFS(
 KH_CoHoi!$J$2:$J$996,
 KH_CoHoi!$A$2:$A$996, "UNI",
 KH_CoHoi!$E$2:$E$996, M$21,
 KH_CoHoi!$K$2:$K$996, TRIM($B27)
)
+
SUMIFS(
 KH_CoHoi!$L$2:$L$996,
 KH_CoHoi!$A$2:$A$996, "UNI",
 KH_CoHoi!$E$2:$E$996, M$21,
 KH_CoHoi!$M$2:$M$996, TRIM($B27)
)</f>
        <v>0</v>
      </c>
      <c r="N27" s="277" t="n">
        <f aca="false">SUMIFS(
 KH_CoHoi!$H$2:$H$996,
 KH_CoHoi!$A$2:$A$996, "G2B",
 KH_CoHoi!$E$2:$E$996, N$21,
 KH_CoHoi!$I$2:$I$996, TRIM($B27)
)
+
SUMIFS(
 KH_CoHoi!$J$2:$J$996,
 KH_CoHoi!$A$2:$A$996, "G2B",
 KH_CoHoi!$E$2:$E$996, N$21,
 KH_CoHoi!$K$2:$K$996, TRIM($B27)
)
+
SUMIFS(
 KH_CoHoi!$L$2:$L$996,
 KH_CoHoi!$A$2:$A$996, "G2B",
 KH_CoHoi!$E$2:$E$996, N$21,
 KH_CoHoi!$M$2:$M$996, TRIM($B27)
)</f>
        <v>0</v>
      </c>
      <c r="O27" s="277" t="n">
        <f aca="false">SUMIFS(
 KH_CoHoi!$H$2:$H$996,
 KH_CoHoi!$A$2:$A$996, "G2B",
 KH_CoHoi!$E$2:$E$996, O$21,
 KH_CoHoi!$I$2:$I$996, TRIM($B27)
)
+
SUMIFS(
 KH_CoHoi!$J$2:$J$996,
 KH_CoHoi!$A$2:$A$996, "G2B",
 KH_CoHoi!$E$2:$E$996, O$21,
 KH_CoHoi!$K$2:$K$996, TRIM($B27)
)
+
SUMIFS(
 KH_CoHoi!$L$2:$L$996,
 KH_CoHoi!$A$2:$A$996, "G2B",
 KH_CoHoi!$E$2:$E$996, O$21,
 KH_CoHoi!$M$2:$M$996, TRIM($B27)
)</f>
        <v>0</v>
      </c>
      <c r="P27" s="277" t="n">
        <f aca="false">SUMIFS(
 KH_CoHoi!$H$2:$H$996,
 KH_CoHoi!$A$2:$A$996, "G2B",
 KH_CoHoi!$E$2:$E$996, P$21,
 KH_CoHoi!$I$2:$I$996, TRIM($B27)
)
+
SUMIFS(
 KH_CoHoi!$J$2:$J$996,
 KH_CoHoi!$A$2:$A$996, "G2B",
 KH_CoHoi!$E$2:$E$996, P$21,
 KH_CoHoi!$K$2:$K$996, TRIM($B27)
)
+
SUMIFS(
 KH_CoHoi!$L$2:$L$996,
 KH_CoHoi!$A$2:$A$996, "G2B",
 KH_CoHoi!$E$2:$E$996, P$21,
 KH_CoHoi!$M$2:$M$996, TRIM($B27)
)</f>
        <v>0</v>
      </c>
      <c r="Q27" s="277" t="n">
        <f aca="false">G27+K27+N27</f>
        <v>0</v>
      </c>
      <c r="R27" s="277" t="n">
        <f aca="false">L27+O27</f>
        <v>0</v>
      </c>
      <c r="S27" s="277" t="n">
        <f aca="false">M27+P27</f>
        <v>0</v>
      </c>
    </row>
    <row r="28" customFormat="false" ht="18.75" hidden="false" customHeight="false" outlineLevel="0" collapsed="false">
      <c r="A28" s="273" t="n">
        <v>7</v>
      </c>
      <c r="B28" s="274" t="s">
        <v>139</v>
      </c>
      <c r="C28" s="371" t="n">
        <v>950000000</v>
      </c>
      <c r="D28" s="371" t="n">
        <v>670000000</v>
      </c>
      <c r="E28" s="371" t="n">
        <v>400000000</v>
      </c>
      <c r="F28" s="371" t="n">
        <f aca="false">SUM(C28:E28)</f>
        <v>2020000000</v>
      </c>
      <c r="G28" s="276" t="n">
        <f aca="false">SUMIFS(
 KH_CoHoi!$H$2:$H$996,
 KH_CoHoi!$A$2:$A$996, "ITO",
 KH_CoHoi!$E$2:$E$996, K$21,
 KH_CoHoi!$I$2:$I$996, TRIM($B28)
)</f>
        <v>0</v>
      </c>
      <c r="H28" s="276" t="n">
        <f aca="false">SUM(K28:M28)</f>
        <v>0</v>
      </c>
      <c r="I28" s="276" t="n">
        <f aca="false">SUM(N28:P28)</f>
        <v>0</v>
      </c>
      <c r="J28" s="276" t="n">
        <f aca="false">SUM(G28:I28)</f>
        <v>0</v>
      </c>
      <c r="K28" s="277" t="n">
        <f aca="false">SUMIFS(
 KH_CoHoi!$H$2:$H$996,
 KH_CoHoi!$A$2:$A$996, "UNI",
 KH_CoHoi!$E$2:$E$996, K$21,
 KH_CoHoi!$I$2:$I$996, TRIM($B28)
)
+
SUMIFS(
 KH_CoHoi!$J$2:$J$996,
 KH_CoHoi!$A$2:$A$996, "UNI",
 KH_CoHoi!$E$2:$E$996, K$21,
 KH_CoHoi!$K$2:$K$996, TRIM($B28)
)
+
SUMIFS(
 KH_CoHoi!$L$2:$L$996,
 KH_CoHoi!$A$2:$A$996, "UNI",
 KH_CoHoi!$E$2:$E$996, K$21,
 KH_CoHoi!$M$2:$M$996, TRIM($B28)
)</f>
        <v>0</v>
      </c>
      <c r="L28" s="277" t="n">
        <f aca="false">SUMIFS(
 KH_CoHoi!$H$2:$H$996,
 KH_CoHoi!$A$2:$A$996, "UNI",
 KH_CoHoi!$E$2:$E$996, L$21,
 KH_CoHoi!$I$2:$I$996, TRIM($B28)
)
+
SUMIFS(
 KH_CoHoi!$J$2:$J$996,
 KH_CoHoi!$A$2:$A$996, "UNI",
 KH_CoHoi!$E$2:$E$996, L$21,
 KH_CoHoi!$K$2:$K$996, TRIM($B28)
)
+
SUMIFS(
 KH_CoHoi!$L$2:$L$996,
 KH_CoHoi!$A$2:$A$996, "UNI",
 KH_CoHoi!$E$2:$E$996, L$21,
 KH_CoHoi!$M$2:$M$996, TRIM($B28)
)</f>
        <v>0</v>
      </c>
      <c r="M28" s="277" t="n">
        <f aca="false">SUMIFS(
 KH_CoHoi!$H$2:$H$996,
 KH_CoHoi!$A$2:$A$996, "UNI",
 KH_CoHoi!$E$2:$E$996, M$21,
 KH_CoHoi!$I$2:$I$996, TRIM($B28)
)
+
SUMIFS(
 KH_CoHoi!$J$2:$J$996,
 KH_CoHoi!$A$2:$A$996, "UNI",
 KH_CoHoi!$E$2:$E$996, M$21,
 KH_CoHoi!$K$2:$K$996, TRIM($B28)
)
+
SUMIFS(
 KH_CoHoi!$L$2:$L$996,
 KH_CoHoi!$A$2:$A$996, "UNI",
 KH_CoHoi!$E$2:$E$996, M$21,
 KH_CoHoi!$M$2:$M$996, TRIM($B28)
)</f>
        <v>0</v>
      </c>
      <c r="N28" s="277" t="n">
        <f aca="false">SUMIFS(
 KH_CoHoi!$H$2:$H$996,
 KH_CoHoi!$A$2:$A$996, "G2B",
 KH_CoHoi!$E$2:$E$996, N$21,
 KH_CoHoi!$I$2:$I$996, TRIM($B28)
)
+
SUMIFS(
 KH_CoHoi!$J$2:$J$996,
 KH_CoHoi!$A$2:$A$996, "G2B",
 KH_CoHoi!$E$2:$E$996, N$21,
 KH_CoHoi!$K$2:$K$996, TRIM($B28)
)
+
SUMIFS(
 KH_CoHoi!$L$2:$L$996,
 KH_CoHoi!$A$2:$A$996, "G2B",
 KH_CoHoi!$E$2:$E$996, N$21,
 KH_CoHoi!$M$2:$M$996, TRIM($B28)
)</f>
        <v>0</v>
      </c>
      <c r="O28" s="277" t="n">
        <f aca="false">SUMIFS(
 KH_CoHoi!$H$2:$H$996,
 KH_CoHoi!$A$2:$A$996, "G2B",
 KH_CoHoi!$E$2:$E$996, O$21,
 KH_CoHoi!$I$2:$I$996, TRIM($B28)
)
+
SUMIFS(
 KH_CoHoi!$J$2:$J$996,
 KH_CoHoi!$A$2:$A$996, "G2B",
 KH_CoHoi!$E$2:$E$996, O$21,
 KH_CoHoi!$K$2:$K$996, TRIM($B28)
)
+
SUMIFS(
 KH_CoHoi!$L$2:$L$996,
 KH_CoHoi!$A$2:$A$996, "G2B",
 KH_CoHoi!$E$2:$E$996, O$21,
 KH_CoHoi!$M$2:$M$996, TRIM($B28)
)</f>
        <v>0</v>
      </c>
      <c r="P28" s="277" t="n">
        <f aca="false">SUMIFS(
 KH_CoHoi!$H$2:$H$996,
 KH_CoHoi!$A$2:$A$996, "G2B",
 KH_CoHoi!$E$2:$E$996, P$21,
 KH_CoHoi!$I$2:$I$996, TRIM($B28)
)
+
SUMIFS(
 KH_CoHoi!$J$2:$J$996,
 KH_CoHoi!$A$2:$A$996, "G2B",
 KH_CoHoi!$E$2:$E$996, P$21,
 KH_CoHoi!$K$2:$K$996, TRIM($B28)
)
+
SUMIFS(
 KH_CoHoi!$L$2:$L$996,
 KH_CoHoi!$A$2:$A$996, "G2B",
 KH_CoHoi!$E$2:$E$996, P$21,
 KH_CoHoi!$M$2:$M$996, TRIM($B28)
)</f>
        <v>0</v>
      </c>
      <c r="Q28" s="277" t="n">
        <f aca="false">G28+K28+N28</f>
        <v>0</v>
      </c>
      <c r="R28" s="277" t="n">
        <f aca="false">L28+O28</f>
        <v>0</v>
      </c>
      <c r="S28" s="277" t="n">
        <f aca="false">M28+P28</f>
        <v>0</v>
      </c>
    </row>
    <row r="29" customFormat="false" ht="18.75" hidden="false" customHeight="false" outlineLevel="0" collapsed="false">
      <c r="A29" s="273" t="n">
        <v>8</v>
      </c>
      <c r="B29" s="274" t="s">
        <v>140</v>
      </c>
      <c r="C29" s="371" t="n">
        <v>950000000</v>
      </c>
      <c r="D29" s="371" t="n">
        <v>831000000</v>
      </c>
      <c r="E29" s="371" t="n">
        <v>900000000</v>
      </c>
      <c r="F29" s="371" t="n">
        <f aca="false">SUM(C29:E29)</f>
        <v>2681000000</v>
      </c>
      <c r="G29" s="276" t="n">
        <f aca="false">SUMIFS(
 KH_CoHoi!$H$2:$H$996,
 KH_CoHoi!$A$2:$A$996, "ITO",
 KH_CoHoi!$E$2:$E$996, K$21,
 KH_CoHoi!$I$2:$I$996, TRIM($B29)
)</f>
        <v>0</v>
      </c>
      <c r="H29" s="276" t="n">
        <f aca="false">SUM(K29:M29)</f>
        <v>0</v>
      </c>
      <c r="I29" s="276" t="n">
        <f aca="false">SUM(N29:P29)</f>
        <v>0</v>
      </c>
      <c r="J29" s="276" t="n">
        <f aca="false">SUM(G29:I29)</f>
        <v>0</v>
      </c>
      <c r="K29" s="277" t="n">
        <f aca="false">SUMIFS(
 KH_CoHoi!$H$2:$H$996,
 KH_CoHoi!$A$2:$A$996, "UNI",
 KH_CoHoi!$E$2:$E$996, K$21,
 KH_CoHoi!$I$2:$I$996, TRIM($B29)
)
+
SUMIFS(
 KH_CoHoi!$J$2:$J$996,
 KH_CoHoi!$A$2:$A$996, "UNI",
 KH_CoHoi!$E$2:$E$996, K$21,
 KH_CoHoi!$K$2:$K$996, TRIM($B29)
)
+
SUMIFS(
 KH_CoHoi!$L$2:$L$996,
 KH_CoHoi!$A$2:$A$996, "UNI",
 KH_CoHoi!$E$2:$E$996, K$21,
 KH_CoHoi!$M$2:$M$996, TRIM($B29)
)</f>
        <v>0</v>
      </c>
      <c r="L29" s="277" t="n">
        <f aca="false">SUMIFS(
 KH_CoHoi!$H$2:$H$996,
 KH_CoHoi!$A$2:$A$996, "UNI",
 KH_CoHoi!$E$2:$E$996, L$21,
 KH_CoHoi!$I$2:$I$996, TRIM($B29)
)
+
SUMIFS(
 KH_CoHoi!$J$2:$J$996,
 KH_CoHoi!$A$2:$A$996, "UNI",
 KH_CoHoi!$E$2:$E$996, L$21,
 KH_CoHoi!$K$2:$K$996, TRIM($B29)
)
+
SUMIFS(
 KH_CoHoi!$L$2:$L$996,
 KH_CoHoi!$A$2:$A$996, "UNI",
 KH_CoHoi!$E$2:$E$996, L$21,
 KH_CoHoi!$M$2:$M$996, TRIM($B29)
)</f>
        <v>0</v>
      </c>
      <c r="M29" s="277" t="n">
        <f aca="false">SUMIFS(
 KH_CoHoi!$H$2:$H$996,
 KH_CoHoi!$A$2:$A$996, "UNI",
 KH_CoHoi!$E$2:$E$996, M$21,
 KH_CoHoi!$I$2:$I$996, TRIM($B29)
)
+
SUMIFS(
 KH_CoHoi!$J$2:$J$996,
 KH_CoHoi!$A$2:$A$996, "UNI",
 KH_CoHoi!$E$2:$E$996, M$21,
 KH_CoHoi!$K$2:$K$996, TRIM($B29)
)
+
SUMIFS(
 KH_CoHoi!$L$2:$L$996,
 KH_CoHoi!$A$2:$A$996, "UNI",
 KH_CoHoi!$E$2:$E$996, M$21,
 KH_CoHoi!$M$2:$M$996, TRIM($B29)
)</f>
        <v>0</v>
      </c>
      <c r="N29" s="277" t="n">
        <f aca="false">SUMIFS(
 KH_CoHoi!$H$2:$H$996,
 KH_CoHoi!$A$2:$A$996, "G2B",
 KH_CoHoi!$E$2:$E$996, N$21,
 KH_CoHoi!$I$2:$I$996, TRIM($B29)
)
+
SUMIFS(
 KH_CoHoi!$J$2:$J$996,
 KH_CoHoi!$A$2:$A$996, "G2B",
 KH_CoHoi!$E$2:$E$996, N$21,
 KH_CoHoi!$K$2:$K$996, TRIM($B29)
)
+
SUMIFS(
 KH_CoHoi!$L$2:$L$996,
 KH_CoHoi!$A$2:$A$996, "G2B",
 KH_CoHoi!$E$2:$E$996, N$21,
 KH_CoHoi!$M$2:$M$996, TRIM($B29)
)</f>
        <v>0</v>
      </c>
      <c r="O29" s="277" t="n">
        <f aca="false">SUMIFS(
 KH_CoHoi!$H$2:$H$996,
 KH_CoHoi!$A$2:$A$996, "G2B",
 KH_CoHoi!$E$2:$E$996, O$21,
 KH_CoHoi!$I$2:$I$996, TRIM($B29)
)
+
SUMIFS(
 KH_CoHoi!$J$2:$J$996,
 KH_CoHoi!$A$2:$A$996, "G2B",
 KH_CoHoi!$E$2:$E$996, O$21,
 KH_CoHoi!$K$2:$K$996, TRIM($B29)
)
+
SUMIFS(
 KH_CoHoi!$L$2:$L$996,
 KH_CoHoi!$A$2:$A$996, "G2B",
 KH_CoHoi!$E$2:$E$996, O$21,
 KH_CoHoi!$M$2:$M$996, TRIM($B29)
)</f>
        <v>0</v>
      </c>
      <c r="P29" s="277" t="n">
        <f aca="false">SUMIFS(
 KH_CoHoi!$H$2:$H$996,
 KH_CoHoi!$A$2:$A$996, "G2B",
 KH_CoHoi!$E$2:$E$996, P$21,
 KH_CoHoi!$I$2:$I$996, TRIM($B29)
)
+
SUMIFS(
 KH_CoHoi!$J$2:$J$996,
 KH_CoHoi!$A$2:$A$996, "G2B",
 KH_CoHoi!$E$2:$E$996, P$21,
 KH_CoHoi!$K$2:$K$996, TRIM($B29)
)
+
SUMIFS(
 KH_CoHoi!$L$2:$L$996,
 KH_CoHoi!$A$2:$A$996, "G2B",
 KH_CoHoi!$E$2:$E$996, P$21,
 KH_CoHoi!$M$2:$M$996, TRIM($B29)
)</f>
        <v>0</v>
      </c>
      <c r="Q29" s="277" t="n">
        <f aca="false">G29+K29+N29</f>
        <v>0</v>
      </c>
      <c r="R29" s="277" t="n">
        <f aca="false">L29+O29</f>
        <v>0</v>
      </c>
      <c r="S29" s="277" t="n">
        <f aca="false">M29+P29</f>
        <v>0</v>
      </c>
    </row>
    <row r="30" customFormat="false" ht="18.75" hidden="false" customHeight="false" outlineLevel="0" collapsed="false">
      <c r="A30" s="273" t="n">
        <v>9</v>
      </c>
      <c r="B30" s="274" t="s">
        <v>141</v>
      </c>
      <c r="C30" s="371" t="n">
        <v>950000000</v>
      </c>
      <c r="D30" s="371" t="n">
        <v>725500000</v>
      </c>
      <c r="E30" s="371" t="n">
        <v>800000000</v>
      </c>
      <c r="F30" s="371" t="n">
        <f aca="false">SUM(C30:E30)</f>
        <v>2475500000</v>
      </c>
      <c r="G30" s="276" t="n">
        <f aca="false">SUMIFS(
 KH_CoHoi!$H$2:$H$996,
 KH_CoHoi!$A$2:$A$996, "ITO",
 KH_CoHoi!$E$2:$E$996, K$21,
 KH_CoHoi!$I$2:$I$996, TRIM($B30)
)</f>
        <v>950000000</v>
      </c>
      <c r="H30" s="276" t="n">
        <f aca="false">SUM(K30:M30)</f>
        <v>2111910000</v>
      </c>
      <c r="I30" s="276" t="n">
        <f aca="false">SUM(N30:P30)</f>
        <v>978610000</v>
      </c>
      <c r="J30" s="276" t="n">
        <f aca="false">SUM(G30:I30)</f>
        <v>4040520000</v>
      </c>
      <c r="K30" s="277" t="n">
        <f aca="false">SUMIFS(
 KH_CoHoi!$H$2:$H$996,
 KH_CoHoi!$A$2:$A$996, "UNI",
 KH_CoHoi!$E$2:$E$996, K$21,
 KH_CoHoi!$I$2:$I$996, TRIM($B30)
)
+
SUMIFS(
 KH_CoHoi!$J$2:$J$996,
 KH_CoHoi!$A$2:$A$996, "UNI",
 KH_CoHoi!$E$2:$E$996, K$21,
 KH_CoHoi!$K$2:$K$996, TRIM($B30)
)
+
SUMIFS(
 KH_CoHoi!$L$2:$L$996,
 KH_CoHoi!$A$2:$A$996, "UNI",
 KH_CoHoi!$E$2:$E$996, K$21,
 KH_CoHoi!$M$2:$M$996, TRIM($B30)
)</f>
        <v>0</v>
      </c>
      <c r="L30" s="277" t="n">
        <f aca="false">SUMIFS(
 KH_CoHoi!$H$2:$H$996,
 KH_CoHoi!$A$2:$A$996, "UNI",
 KH_CoHoi!$E$2:$E$996, L$21,
 KH_CoHoi!$I$2:$I$996, TRIM($B30)
)
+
SUMIFS(
 KH_CoHoi!$J$2:$J$996,
 KH_CoHoi!$A$2:$A$996, "UNI",
 KH_CoHoi!$E$2:$E$996, L$21,
 KH_CoHoi!$K$2:$K$996, TRIM($B30)
)
+
SUMIFS(
 KH_CoHoi!$L$2:$L$996,
 KH_CoHoi!$A$2:$A$996, "UNI",
 KH_CoHoi!$E$2:$E$996, L$21,
 KH_CoHoi!$M$2:$M$996, TRIM($B30)
)</f>
        <v>60000000</v>
      </c>
      <c r="M30" s="277" t="n">
        <f aca="false">SUMIFS(
 KH_CoHoi!$H$2:$H$996,
 KH_CoHoi!$A$2:$A$996, "UNI",
 KH_CoHoi!$E$2:$E$996, M$21,
 KH_CoHoi!$I$2:$I$996, TRIM($B30)
)
+
SUMIFS(
 KH_CoHoi!$J$2:$J$996,
 KH_CoHoi!$A$2:$A$996, "UNI",
 KH_CoHoi!$E$2:$E$996, M$21,
 KH_CoHoi!$K$2:$K$996, TRIM($B30)
)
+
SUMIFS(
 KH_CoHoi!$L$2:$L$996,
 KH_CoHoi!$A$2:$A$996, "UNI",
 KH_CoHoi!$E$2:$E$996, M$21,
 KH_CoHoi!$M$2:$M$996, TRIM($B30)
)</f>
        <v>2051910000</v>
      </c>
      <c r="N30" s="277" t="n">
        <f aca="false">SUMIFS(
 KH_CoHoi!$H$2:$H$996,
 KH_CoHoi!$A$2:$A$996, "G2B",
 KH_CoHoi!$E$2:$E$996, N$21,
 KH_CoHoi!$I$2:$I$996, TRIM($B30)
)
+
SUMIFS(
 KH_CoHoi!$J$2:$J$996,
 KH_CoHoi!$A$2:$A$996, "G2B",
 KH_CoHoi!$E$2:$E$996, N$21,
 KH_CoHoi!$K$2:$K$996, TRIM($B30)
)
+
SUMIFS(
 KH_CoHoi!$L$2:$L$996,
 KH_CoHoi!$A$2:$A$996, "G2B",
 KH_CoHoi!$E$2:$E$996, N$21,
 KH_CoHoi!$M$2:$M$996, TRIM($B30)
)</f>
        <v>48610000</v>
      </c>
      <c r="O30" s="277" t="n">
        <f aca="false">SUMIFS(
 KH_CoHoi!$H$2:$H$996,
 KH_CoHoi!$A$2:$A$996, "G2B",
 KH_CoHoi!$E$2:$E$996, O$21,
 KH_CoHoi!$I$2:$I$996, TRIM($B30)
)
+
SUMIFS(
 KH_CoHoi!$J$2:$J$996,
 KH_CoHoi!$A$2:$A$996, "G2B",
 KH_CoHoi!$E$2:$E$996, O$21,
 KH_CoHoi!$K$2:$K$996, TRIM($B30)
)
+
SUMIFS(
 KH_CoHoi!$L$2:$L$996,
 KH_CoHoi!$A$2:$A$996, "G2B",
 KH_CoHoi!$E$2:$E$996, O$21,
 KH_CoHoi!$M$2:$M$996, TRIM($B30)
)</f>
        <v>930000000</v>
      </c>
      <c r="P30" s="277" t="n">
        <f aca="false">SUMIFS(
 KH_CoHoi!$H$2:$H$996,
 KH_CoHoi!$A$2:$A$996, "G2B",
 KH_CoHoi!$E$2:$E$996, P$21,
 KH_CoHoi!$I$2:$I$996, TRIM($B30)
)
+
SUMIFS(
 KH_CoHoi!$J$2:$J$996,
 KH_CoHoi!$A$2:$A$996, "G2B",
 KH_CoHoi!$E$2:$E$996, P$21,
 KH_CoHoi!$K$2:$K$996, TRIM($B30)
)
+
SUMIFS(
 KH_CoHoi!$L$2:$L$996,
 KH_CoHoi!$A$2:$A$996, "G2B",
 KH_CoHoi!$E$2:$E$996, P$21,
 KH_CoHoi!$M$2:$M$996, TRIM($B30)
)</f>
        <v>0</v>
      </c>
      <c r="Q30" s="277" t="n">
        <f aca="false">G30+K30+N30</f>
        <v>998610000</v>
      </c>
      <c r="R30" s="277" t="n">
        <f aca="false">L30+O30</f>
        <v>990000000</v>
      </c>
      <c r="S30" s="277" t="n">
        <f aca="false">M30+P30</f>
        <v>2051910000</v>
      </c>
    </row>
    <row r="31" customFormat="false" ht="18.75" hidden="false" customHeight="false" outlineLevel="0" collapsed="false">
      <c r="A31" s="273" t="n">
        <v>10</v>
      </c>
      <c r="B31" s="274" t="s">
        <v>142</v>
      </c>
      <c r="C31" s="371" t="n">
        <v>950000000</v>
      </c>
      <c r="D31" s="371" t="n">
        <v>682500000</v>
      </c>
      <c r="E31" s="371" t="n">
        <v>600000000</v>
      </c>
      <c r="F31" s="371" t="n">
        <f aca="false">SUM(C31:E31)</f>
        <v>2232500000</v>
      </c>
      <c r="G31" s="276" t="n">
        <f aca="false">SUMIFS(
 KH_CoHoi!$H$2:$H$996,
 KH_CoHoi!$A$2:$A$996, "ITO",
 KH_CoHoi!$E$2:$E$996, K$21,
 KH_CoHoi!$I$2:$I$996, TRIM($B31)
)</f>
        <v>950000000</v>
      </c>
      <c r="H31" s="276" t="n">
        <f aca="false">SUM(K31:M31)</f>
        <v>2254800000</v>
      </c>
      <c r="I31" s="276" t="n">
        <f aca="false">SUM(N31:P31)</f>
        <v>2237370000</v>
      </c>
      <c r="J31" s="276" t="n">
        <f aca="false">SUM(G31:I31)</f>
        <v>5442170000</v>
      </c>
      <c r="K31" s="277" t="n">
        <f aca="false">SUMIFS(
 KH_CoHoi!$H$2:$H$996,
 KH_CoHoi!$A$2:$A$996, "UNI",
 KH_CoHoi!$E$2:$E$996, K$21,
 KH_CoHoi!$I$2:$I$996, TRIM($B31)
)
+
SUMIFS(
 KH_CoHoi!$J$2:$J$996,
 KH_CoHoi!$A$2:$A$996, "UNI",
 KH_CoHoi!$E$2:$E$996, K$21,
 KH_CoHoi!$K$2:$K$996, TRIM($B31)
)
+
SUMIFS(
 KH_CoHoi!$L$2:$L$996,
 KH_CoHoi!$A$2:$A$996, "UNI",
 KH_CoHoi!$E$2:$E$996, K$21,
 KH_CoHoi!$M$2:$M$996, TRIM($B31)
)</f>
        <v>48000000</v>
      </c>
      <c r="L31" s="277" t="n">
        <f aca="false">SUMIFS(
 KH_CoHoi!$H$2:$H$996,
 KH_CoHoi!$A$2:$A$996, "UNI",
 KH_CoHoi!$E$2:$E$996, L$21,
 KH_CoHoi!$I$2:$I$996, TRIM($B31)
)
+
SUMIFS(
 KH_CoHoi!$J$2:$J$996,
 KH_CoHoi!$A$2:$A$996, "UNI",
 KH_CoHoi!$E$2:$E$996, L$21,
 KH_CoHoi!$K$2:$K$996, TRIM($B31)
)
+
SUMIFS(
 KH_CoHoi!$L$2:$L$996,
 KH_CoHoi!$A$2:$A$996, "UNI",
 KH_CoHoi!$E$2:$E$996, L$21,
 KH_CoHoi!$M$2:$M$996, TRIM($B31)
)</f>
        <v>2161800000</v>
      </c>
      <c r="M31" s="277" t="n">
        <f aca="false">SUMIFS(
 KH_CoHoi!$H$2:$H$996,
 KH_CoHoi!$A$2:$A$996, "UNI",
 KH_CoHoi!$E$2:$E$996, M$21,
 KH_CoHoi!$I$2:$I$996, TRIM($B31)
)
+
SUMIFS(
 KH_CoHoi!$J$2:$J$996,
 KH_CoHoi!$A$2:$A$996, "UNI",
 KH_CoHoi!$E$2:$E$996, M$21,
 KH_CoHoi!$K$2:$K$996, TRIM($B31)
)
+
SUMIFS(
 KH_CoHoi!$L$2:$L$996,
 KH_CoHoi!$A$2:$A$996, "UNI",
 KH_CoHoi!$E$2:$E$996, M$21,
 KH_CoHoi!$M$2:$M$996, TRIM($B31)
)</f>
        <v>45000000</v>
      </c>
      <c r="N31" s="277" t="n">
        <f aca="false">SUMIFS(
 KH_CoHoi!$H$2:$H$996,
 KH_CoHoi!$A$2:$A$996, "G2B",
 KH_CoHoi!$E$2:$E$996, N$21,
 KH_CoHoi!$I$2:$I$996, TRIM($B31)
)
+
SUMIFS(
 KH_CoHoi!$J$2:$J$996,
 KH_CoHoi!$A$2:$A$996, "G2B",
 KH_CoHoi!$E$2:$E$996, N$21,
 KH_CoHoi!$K$2:$K$996, TRIM($B31)
)
+
SUMIFS(
 KH_CoHoi!$L$2:$L$996,
 KH_CoHoi!$A$2:$A$996, "G2B",
 KH_CoHoi!$E$2:$E$996, N$21,
 KH_CoHoi!$M$2:$M$996, TRIM($B31)
)</f>
        <v>450370000</v>
      </c>
      <c r="O31" s="277" t="n">
        <f aca="false">SUMIFS(
 KH_CoHoi!$H$2:$H$996,
 KH_CoHoi!$A$2:$A$996, "G2B",
 KH_CoHoi!$E$2:$E$996, O$21,
 KH_CoHoi!$I$2:$I$996, TRIM($B31)
)
+
SUMIFS(
 KH_CoHoi!$J$2:$J$996,
 KH_CoHoi!$A$2:$A$996, "G2B",
 KH_CoHoi!$E$2:$E$996, O$21,
 KH_CoHoi!$K$2:$K$996, TRIM($B31)
)
+
SUMIFS(
 KH_CoHoi!$L$2:$L$996,
 KH_CoHoi!$A$2:$A$996, "G2B",
 KH_CoHoi!$E$2:$E$996, O$21,
 KH_CoHoi!$M$2:$M$996, TRIM($B31)
)</f>
        <v>1750000000</v>
      </c>
      <c r="P31" s="277" t="n">
        <f aca="false">SUMIFS(
 KH_CoHoi!$H$2:$H$996,
 KH_CoHoi!$A$2:$A$996, "G2B",
 KH_CoHoi!$E$2:$E$996, P$21,
 KH_CoHoi!$I$2:$I$996, TRIM($B31)
)
+
SUMIFS(
 KH_CoHoi!$J$2:$J$996,
 KH_CoHoi!$A$2:$A$996, "G2B",
 KH_CoHoi!$E$2:$E$996, P$21,
 KH_CoHoi!$K$2:$K$996, TRIM($B31)
)
+
SUMIFS(
 KH_CoHoi!$L$2:$L$996,
 KH_CoHoi!$A$2:$A$996, "G2B",
 KH_CoHoi!$E$2:$E$996, P$21,
 KH_CoHoi!$M$2:$M$996, TRIM($B31)
)</f>
        <v>37000000</v>
      </c>
      <c r="Q31" s="277" t="n">
        <f aca="false">G31+K31+N31</f>
        <v>1448370000</v>
      </c>
      <c r="R31" s="277" t="n">
        <f aca="false">L31+O31</f>
        <v>3911800000</v>
      </c>
      <c r="S31" s="277" t="n">
        <f aca="false">M31+P31</f>
        <v>82000000</v>
      </c>
    </row>
    <row r="32" customFormat="false" ht="18.75" hidden="false" customHeight="false" outlineLevel="0" collapsed="false">
      <c r="A32" s="273" t="n">
        <v>11</v>
      </c>
      <c r="B32" s="274" t="s">
        <v>143</v>
      </c>
      <c r="C32" s="371" t="n">
        <v>950000000</v>
      </c>
      <c r="D32" s="371" t="n">
        <v>700000000</v>
      </c>
      <c r="E32" s="371" t="n">
        <v>970000000</v>
      </c>
      <c r="F32" s="371" t="n">
        <f aca="false">SUM(C32:E32)</f>
        <v>2620000000</v>
      </c>
      <c r="G32" s="276" t="n">
        <f aca="false">SUMIFS(
 KH_CoHoi!$H$2:$H$996,
 KH_CoHoi!$A$2:$A$996, "ITO",
 KH_CoHoi!$E$2:$E$996, K$21,
 KH_CoHoi!$I$2:$I$996, TRIM($B32)
)</f>
        <v>950000000</v>
      </c>
      <c r="H32" s="276" t="n">
        <f aca="false">SUM(K32:M32)</f>
        <v>437800000</v>
      </c>
      <c r="I32" s="276" t="n">
        <f aca="false">SUM(N32:P32)</f>
        <v>1203500000</v>
      </c>
      <c r="J32" s="276" t="n">
        <f aca="false">SUM(G32:I32)</f>
        <v>2591300000</v>
      </c>
      <c r="K32" s="277" t="n">
        <f aca="false">SUMIFS(
 KH_CoHoi!$H$2:$H$996,
 KH_CoHoi!$A$2:$A$996, "UNI",
 KH_CoHoi!$E$2:$E$996, K$21,
 KH_CoHoi!$I$2:$I$996, TRIM($B32)
)
+
SUMIFS(
 KH_CoHoi!$J$2:$J$996,
 KH_CoHoi!$A$2:$A$996, "UNI",
 KH_CoHoi!$E$2:$E$996, K$21,
 KH_CoHoi!$K$2:$K$996, TRIM($B32)
)
+
SUMIFS(
 KH_CoHoi!$L$2:$L$996,
 KH_CoHoi!$A$2:$A$996, "UNI",
 KH_CoHoi!$E$2:$E$996, K$21,
 KH_CoHoi!$M$2:$M$996, TRIM($B32)
)</f>
        <v>37800000</v>
      </c>
      <c r="L32" s="277" t="n">
        <f aca="false">SUMIFS(
 KH_CoHoi!$H$2:$H$996,
 KH_CoHoi!$A$2:$A$996, "UNI",
 KH_CoHoi!$E$2:$E$996, L$21,
 KH_CoHoi!$I$2:$I$996, TRIM($B32)
)
+
SUMIFS(
 KH_CoHoi!$J$2:$J$996,
 KH_CoHoi!$A$2:$A$996, "UNI",
 KH_CoHoi!$E$2:$E$996, L$21,
 KH_CoHoi!$K$2:$K$996, TRIM($B32)
)
+
SUMIFS(
 KH_CoHoi!$L$2:$L$996,
 KH_CoHoi!$A$2:$A$996, "UNI",
 KH_CoHoi!$E$2:$E$996, L$21,
 KH_CoHoi!$M$2:$M$996, TRIM($B32)
)</f>
        <v>400000000</v>
      </c>
      <c r="M32" s="277" t="n">
        <f aca="false">SUMIFS(
 KH_CoHoi!$H$2:$H$996,
 KH_CoHoi!$A$2:$A$996, "UNI",
 KH_CoHoi!$E$2:$E$996, M$21,
 KH_CoHoi!$I$2:$I$996, TRIM($B32)
)
+
SUMIFS(
 KH_CoHoi!$J$2:$J$996,
 KH_CoHoi!$A$2:$A$996, "UNI",
 KH_CoHoi!$E$2:$E$996, M$21,
 KH_CoHoi!$K$2:$K$996, TRIM($B32)
)
+
SUMIFS(
 KH_CoHoi!$L$2:$L$996,
 KH_CoHoi!$A$2:$A$996, "UNI",
 KH_CoHoi!$E$2:$E$996, M$21,
 KH_CoHoi!$M$2:$M$996, TRIM($B32)
)</f>
        <v>0</v>
      </c>
      <c r="N32" s="277" t="n">
        <f aca="false">SUMIFS(
 KH_CoHoi!$H$2:$H$996,
 KH_CoHoi!$A$2:$A$996, "G2B",
 KH_CoHoi!$E$2:$E$996, N$21,
 KH_CoHoi!$I$2:$I$996, TRIM($B32)
)
+
SUMIFS(
 KH_CoHoi!$J$2:$J$996,
 KH_CoHoi!$A$2:$A$996, "G2B",
 KH_CoHoi!$E$2:$E$996, N$21,
 KH_CoHoi!$K$2:$K$996, TRIM($B32)
)
+
SUMIFS(
 KH_CoHoi!$L$2:$L$996,
 KH_CoHoi!$A$2:$A$996, "G2B",
 KH_CoHoi!$E$2:$E$996, N$21,
 KH_CoHoi!$M$2:$M$996, TRIM($B32)
)</f>
        <v>3500000</v>
      </c>
      <c r="O32" s="277" t="n">
        <f aca="false">SUMIFS(
 KH_CoHoi!$H$2:$H$996,
 KH_CoHoi!$A$2:$A$996, "G2B",
 KH_CoHoi!$E$2:$E$996, O$21,
 KH_CoHoi!$I$2:$I$996, TRIM($B32)
)
+
SUMIFS(
 KH_CoHoi!$J$2:$J$996,
 KH_CoHoi!$A$2:$A$996, "G2B",
 KH_CoHoi!$E$2:$E$996, O$21,
 KH_CoHoi!$K$2:$K$996, TRIM($B32)
)
+
SUMIFS(
 KH_CoHoi!$L$2:$L$996,
 KH_CoHoi!$A$2:$A$996, "G2B",
 KH_CoHoi!$E$2:$E$996, O$21,
 KH_CoHoi!$M$2:$M$996, TRIM($B32)
)</f>
        <v>300000000</v>
      </c>
      <c r="P32" s="277" t="n">
        <f aca="false">SUMIFS(
 KH_CoHoi!$H$2:$H$996,
 KH_CoHoi!$A$2:$A$996, "G2B",
 KH_CoHoi!$E$2:$E$996, P$21,
 KH_CoHoi!$I$2:$I$996, TRIM($B32)
)
+
SUMIFS(
 KH_CoHoi!$J$2:$J$996,
 KH_CoHoi!$A$2:$A$996, "G2B",
 KH_CoHoi!$E$2:$E$996, P$21,
 KH_CoHoi!$K$2:$K$996, TRIM($B32)
)
+
SUMIFS(
 KH_CoHoi!$L$2:$L$996,
 KH_CoHoi!$A$2:$A$996, "G2B",
 KH_CoHoi!$E$2:$E$996, P$21,
 KH_CoHoi!$M$2:$M$996, TRIM($B32)
)</f>
        <v>900000000</v>
      </c>
      <c r="Q32" s="277" t="n">
        <f aca="false">G32+K32+N32</f>
        <v>991300000</v>
      </c>
      <c r="R32" s="277" t="n">
        <f aca="false">L32+O32</f>
        <v>700000000</v>
      </c>
      <c r="S32" s="277" t="n">
        <f aca="false">M32+P32</f>
        <v>900000000</v>
      </c>
    </row>
    <row r="33" customFormat="false" ht="18.75" hidden="false" customHeight="false" outlineLevel="0" collapsed="false">
      <c r="A33" s="273" t="n">
        <v>12</v>
      </c>
      <c r="B33" s="274" t="s">
        <v>144</v>
      </c>
      <c r="C33" s="371" t="n">
        <v>950000000</v>
      </c>
      <c r="D33" s="371" t="n">
        <v>1645000000</v>
      </c>
      <c r="E33" s="371" t="n">
        <v>1500000000</v>
      </c>
      <c r="F33" s="371" t="n">
        <f aca="false">SUM(C33:E33)</f>
        <v>4095000000</v>
      </c>
      <c r="G33" s="276" t="n">
        <f aca="false">SUMIFS(
 KH_CoHoi!$H$2:$H$996,
 KH_CoHoi!$A$2:$A$996, "ITO",
 KH_CoHoi!$E$2:$E$996, K$21,
 KH_CoHoi!$I$2:$I$996, TRIM($B33)
)</f>
        <v>950000000</v>
      </c>
      <c r="H33" s="276" t="n">
        <f aca="false">SUM(K33:M33)</f>
        <v>9027526000</v>
      </c>
      <c r="I33" s="276" t="n">
        <f aca="false">SUM(N33:P33)</f>
        <v>2520000000</v>
      </c>
      <c r="J33" s="276" t="n">
        <f aca="false">SUM(G33:I33)</f>
        <v>12497526000</v>
      </c>
      <c r="K33" s="277" t="n">
        <f aca="false">SUMIFS(
 KH_CoHoi!$H$2:$H$996,
 KH_CoHoi!$A$2:$A$996, "UNI",
 KH_CoHoi!$E$2:$E$996, K$21,
 KH_CoHoi!$I$2:$I$996, TRIM($B33)
)
+
SUMIFS(
 KH_CoHoi!$J$2:$J$996,
 KH_CoHoi!$A$2:$A$996, "UNI",
 KH_CoHoi!$E$2:$E$996, K$21,
 KH_CoHoi!$K$2:$K$996, TRIM($B33)
)
+
SUMIFS(
 KH_CoHoi!$L$2:$L$996,
 KH_CoHoi!$A$2:$A$996, "UNI",
 KH_CoHoi!$E$2:$E$996, K$21,
 KH_CoHoi!$M$2:$M$996, TRIM($B33)
)</f>
        <v>0</v>
      </c>
      <c r="L33" s="277" t="n">
        <f aca="false">SUMIFS(
 KH_CoHoi!$H$2:$H$996,
 KH_CoHoi!$A$2:$A$996, "UNI",
 KH_CoHoi!$E$2:$E$996, L$21,
 KH_CoHoi!$I$2:$I$996, TRIM($B33)
)
+
SUMIFS(
 KH_CoHoi!$J$2:$J$996,
 KH_CoHoi!$A$2:$A$996, "UNI",
 KH_CoHoi!$E$2:$E$996, L$21,
 KH_CoHoi!$K$2:$K$996, TRIM($B33)
)
+
SUMIFS(
 KH_CoHoi!$L$2:$L$996,
 KH_CoHoi!$A$2:$A$996, "UNI",
 KH_CoHoi!$E$2:$E$996, L$21,
 KH_CoHoi!$M$2:$M$996, TRIM($B33)
)</f>
        <v>4150000000</v>
      </c>
      <c r="M33" s="277" t="n">
        <f aca="false">SUMIFS(
 KH_CoHoi!$H$2:$H$996,
 KH_CoHoi!$A$2:$A$996, "UNI",
 KH_CoHoi!$E$2:$E$996, M$21,
 KH_CoHoi!$I$2:$I$996, TRIM($B33)
)
+
SUMIFS(
 KH_CoHoi!$J$2:$J$996,
 KH_CoHoi!$A$2:$A$996, "UNI",
 KH_CoHoi!$E$2:$E$996, M$21,
 KH_CoHoi!$K$2:$K$996, TRIM($B33)
)
+
SUMIFS(
 KH_CoHoi!$L$2:$L$996,
 KH_CoHoi!$A$2:$A$996, "UNI",
 KH_CoHoi!$E$2:$E$996, M$21,
 KH_CoHoi!$M$2:$M$996, TRIM($B33)
)</f>
        <v>4877526000</v>
      </c>
      <c r="N33" s="277" t="n">
        <f aca="false">SUMIFS(
 KH_CoHoi!$H$2:$H$996,
 KH_CoHoi!$A$2:$A$996, "G2B",
 KH_CoHoi!$E$2:$E$996, N$21,
 KH_CoHoi!$I$2:$I$996, TRIM($B33)
)
+
SUMIFS(
 KH_CoHoi!$J$2:$J$996,
 KH_CoHoi!$A$2:$A$996, "G2B",
 KH_CoHoi!$E$2:$E$996, N$21,
 KH_CoHoi!$K$2:$K$996, TRIM($B33)
)
+
SUMIFS(
 KH_CoHoi!$L$2:$L$996,
 KH_CoHoi!$A$2:$A$996, "G2B",
 KH_CoHoi!$E$2:$E$996, N$21,
 KH_CoHoi!$M$2:$M$996, TRIM($B33)
)</f>
        <v>0</v>
      </c>
      <c r="O33" s="277" t="n">
        <f aca="false">SUMIFS(
 KH_CoHoi!$H$2:$H$996,
 KH_CoHoi!$A$2:$A$996, "G2B",
 KH_CoHoi!$E$2:$E$996, O$21,
 KH_CoHoi!$I$2:$I$996, TRIM($B33)
)
+
SUMIFS(
 KH_CoHoi!$J$2:$J$996,
 KH_CoHoi!$A$2:$A$996, "G2B",
 KH_CoHoi!$E$2:$E$996, O$21,
 KH_CoHoi!$K$2:$K$996, TRIM($B33)
)
+
SUMIFS(
 KH_CoHoi!$L$2:$L$996,
 KH_CoHoi!$A$2:$A$996, "G2B",
 KH_CoHoi!$E$2:$E$996, O$21,
 KH_CoHoi!$M$2:$M$996, TRIM($B33)
)</f>
        <v>420000000</v>
      </c>
      <c r="P33" s="277" t="n">
        <f aca="false">SUMIFS(
 KH_CoHoi!$H$2:$H$996,
 KH_CoHoi!$A$2:$A$996, "G2B",
 KH_CoHoi!$E$2:$E$996, P$21,
 KH_CoHoi!$I$2:$I$996, TRIM($B33)
)
+
SUMIFS(
 KH_CoHoi!$J$2:$J$996,
 KH_CoHoi!$A$2:$A$996, "G2B",
 KH_CoHoi!$E$2:$E$996, P$21,
 KH_CoHoi!$K$2:$K$996, TRIM($B33)
)
+
SUMIFS(
 KH_CoHoi!$L$2:$L$996,
 KH_CoHoi!$A$2:$A$996, "G2B",
 KH_CoHoi!$E$2:$E$996, P$21,
 KH_CoHoi!$M$2:$M$996, TRIM($B33)
)</f>
        <v>2100000000</v>
      </c>
      <c r="Q33" s="277" t="n">
        <f aca="false">G33+K33+N33</f>
        <v>950000000</v>
      </c>
      <c r="R33" s="277" t="n">
        <f aca="false">L33+O33</f>
        <v>4570000000</v>
      </c>
      <c r="S33" s="277" t="n">
        <f aca="false">M33+P33</f>
        <v>6977526000</v>
      </c>
    </row>
    <row r="34" customFormat="false" ht="18.75" hidden="false" customHeight="false" outlineLevel="0" collapsed="false">
      <c r="A34" s="261"/>
      <c r="B34" s="267" t="s">
        <v>494</v>
      </c>
      <c r="C34" s="372" t="n">
        <f aca="false">SUM(C22:C33)</f>
        <v>11400000000</v>
      </c>
      <c r="D34" s="372" t="n">
        <f aca="false">SUM(D22:D33)</f>
        <v>9300000000</v>
      </c>
      <c r="E34" s="372" t="n">
        <f aca="false">SUM(E22:E33)</f>
        <v>9300000000</v>
      </c>
      <c r="F34" s="372" t="n">
        <f aca="false">SUM(F22:F33)</f>
        <v>30000000000</v>
      </c>
      <c r="G34" s="373" t="n">
        <f aca="false">SUM(G22:G33)</f>
        <v>3800000000</v>
      </c>
      <c r="H34" s="373" t="n">
        <f aca="false">SUM(H22:H33)</f>
        <v>13832036000</v>
      </c>
      <c r="I34" s="373" t="n">
        <f aca="false">SUM(I22:I33)</f>
        <v>6939480000</v>
      </c>
      <c r="J34" s="373" t="n">
        <f aca="false">SUM(J22:J33)</f>
        <v>24571516000</v>
      </c>
      <c r="K34" s="282" t="n">
        <f aca="false">SUM(K22:K33)</f>
        <v>85800000</v>
      </c>
      <c r="L34" s="282" t="n">
        <f aca="false">SUM(L22:L33)</f>
        <v>6771800000</v>
      </c>
      <c r="M34" s="282" t="n">
        <f aca="false">SUM(M22:M33)</f>
        <v>6974436000</v>
      </c>
      <c r="N34" s="282" t="n">
        <f aca="false">SUM(N22:N33)</f>
        <v>502480000</v>
      </c>
      <c r="O34" s="282" t="n">
        <f aca="false">SUM(O22:O33)</f>
        <v>3400000000</v>
      </c>
      <c r="P34" s="282" t="n">
        <f aca="false">SUM(P22:P33)</f>
        <v>3037000000</v>
      </c>
      <c r="Q34" s="282" t="n">
        <f aca="false">SUM(Q22:Q33)</f>
        <v>4388280000</v>
      </c>
      <c r="R34" s="282" t="n">
        <f aca="false">SUM(R22:R33)</f>
        <v>10171800000</v>
      </c>
      <c r="S34" s="282" t="n">
        <f aca="false">SUM(S22:S33)</f>
        <v>10011436000</v>
      </c>
    </row>
    <row r="35" customFormat="false" ht="17.35" hidden="false" customHeight="false" outlineLevel="0" collapsed="false">
      <c r="I35" s="377"/>
      <c r="J35" s="377"/>
      <c r="T35" s="377"/>
      <c r="U35" s="378"/>
    </row>
    <row r="36" customFormat="false" ht="17.35" hidden="false" customHeight="false" outlineLevel="0" collapsed="false"/>
    <row r="37" customFormat="false" ht="17.35" hidden="false" customHeight="false" outlineLevel="0" collapsed="false"/>
    <row r="38" customFormat="false" ht="17.35" hidden="false" customHeight="false" outlineLevel="0" collapsed="false"/>
    <row r="43" customFormat="false" ht="18.75" hidden="false" customHeight="false" outlineLevel="0" collapsed="false">
      <c r="M43" s="379"/>
    </row>
    <row r="45" customFormat="false" ht="18.75" hidden="false" customHeight="false" outlineLevel="0" collapsed="false">
      <c r="K45" s="380"/>
    </row>
    <row r="46" customFormat="false" ht="18.75" hidden="false" customHeight="false" outlineLevel="0" collapsed="false">
      <c r="M46" s="379"/>
    </row>
    <row r="47" customFormat="false" ht="18.75" hidden="false" customHeight="false" outlineLevel="0" collapsed="false">
      <c r="M47" s="379"/>
    </row>
    <row r="48" customFormat="false" ht="18.75" hidden="false" customHeight="false" outlineLevel="0" collapsed="false">
      <c r="M48" s="379"/>
    </row>
  </sheetData>
  <mergeCells count="7">
    <mergeCell ref="C3:F3"/>
    <mergeCell ref="G3:J3"/>
    <mergeCell ref="K3:L3"/>
    <mergeCell ref="N3:O3"/>
    <mergeCell ref="Q3:R3"/>
    <mergeCell ref="C20:F20"/>
    <mergeCell ref="G20:J20"/>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DEADA"/>
    <pageSetUpPr fitToPage="false"/>
  </sheetPr>
  <dimension ref="A1:M1048576"/>
  <sheetViews>
    <sheetView showFormulas="false" showGridLines="true" showRowColHeaders="true" showZeros="true" rightToLeft="false" tabSelected="true" showOutlineSymbols="true" defaultGridColor="true" view="normal" topLeftCell="A1" colorId="64" zoomScale="75" zoomScaleNormal="75" zoomScalePageLayoutView="100" workbookViewId="0">
      <selection pane="topLeft" activeCell="D27" activeCellId="0" sqref="D27"/>
    </sheetView>
  </sheetViews>
  <sheetFormatPr defaultColWidth="8.6796875" defaultRowHeight="15" customHeight="false" zeroHeight="false" outlineLevelRow="0" outlineLevelCol="0"/>
  <cols>
    <col collapsed="false" customWidth="true" hidden="false" outlineLevel="0" max="1" min="1" style="1" width="7"/>
    <col collapsed="false" customWidth="true" hidden="false" outlineLevel="0" max="2" min="2" style="1" width="45.57"/>
    <col collapsed="false" customWidth="true" hidden="false" outlineLevel="0" max="3" min="3" style="1" width="10.85"/>
    <col collapsed="false" customWidth="true" hidden="false" outlineLevel="0" max="4" min="4" style="1" width="55.29"/>
    <col collapsed="false" customWidth="true" hidden="false" outlineLevel="0" max="5" min="5" style="1" width="18.57"/>
    <col collapsed="false" customWidth="true" hidden="false" outlineLevel="0" max="6" min="6" style="1" width="10.57"/>
    <col collapsed="false" customWidth="true" hidden="false" outlineLevel="0" max="7" min="7" style="381" width="16.84"/>
    <col collapsed="false" customWidth="true" hidden="false" outlineLevel="0" max="8" min="8" style="1" width="16.84"/>
    <col collapsed="false" customWidth="true" hidden="false" outlineLevel="0" max="9" min="9" style="1" width="15.14"/>
    <col collapsed="false" customWidth="true" hidden="false" outlineLevel="0" max="10" min="10" style="1" width="15.29"/>
    <col collapsed="false" customWidth="true" hidden="false" outlineLevel="0" max="11" min="11" style="1" width="15.14"/>
    <col collapsed="false" customWidth="true" hidden="false" outlineLevel="0" max="12" min="12" style="1" width="17.29"/>
    <col collapsed="false" customWidth="true" hidden="false" outlineLevel="0" max="13" min="13" style="1" width="15.14"/>
  </cols>
  <sheetData>
    <row r="1" customFormat="false" ht="15" hidden="false" customHeight="false" outlineLevel="0" collapsed="false">
      <c r="A1" s="382" t="s">
        <v>656</v>
      </c>
      <c r="B1" s="382" t="s">
        <v>657</v>
      </c>
      <c r="C1" s="382" t="s">
        <v>931</v>
      </c>
      <c r="D1" s="382" t="s">
        <v>932</v>
      </c>
      <c r="E1" s="382" t="s">
        <v>933</v>
      </c>
      <c r="F1" s="382" t="s">
        <v>934</v>
      </c>
      <c r="G1" s="383" t="s">
        <v>935</v>
      </c>
      <c r="H1" s="382" t="s">
        <v>936</v>
      </c>
      <c r="I1" s="382" t="s">
        <v>519</v>
      </c>
      <c r="J1" s="382" t="s">
        <v>520</v>
      </c>
      <c r="K1" s="382" t="s">
        <v>521</v>
      </c>
      <c r="L1" s="382" t="s">
        <v>937</v>
      </c>
      <c r="M1" s="382" t="s">
        <v>938</v>
      </c>
    </row>
    <row r="2" customFormat="false" ht="15" hidden="false" customHeight="false" outlineLevel="0" collapsed="false">
      <c r="A2" s="346" t="s">
        <v>5</v>
      </c>
      <c r="B2" s="346" t="s">
        <v>939</v>
      </c>
      <c r="C2" s="346" t="s">
        <v>171</v>
      </c>
      <c r="D2" s="346" t="s">
        <v>940</v>
      </c>
      <c r="E2" s="346" t="s">
        <v>491</v>
      </c>
      <c r="F2" s="346" t="s">
        <v>141</v>
      </c>
      <c r="G2" s="357" t="n">
        <v>10300000</v>
      </c>
      <c r="H2" s="357" t="n">
        <v>10300000</v>
      </c>
      <c r="I2" s="346" t="s">
        <v>141</v>
      </c>
      <c r="J2" s="346" t="n">
        <v>0</v>
      </c>
      <c r="K2" s="346" t="s">
        <v>533</v>
      </c>
      <c r="L2" s="346" t="s">
        <v>533</v>
      </c>
      <c r="M2" s="346" t="s">
        <v>941</v>
      </c>
    </row>
    <row r="3" customFormat="false" ht="15" hidden="false" customHeight="false" outlineLevel="0" collapsed="false">
      <c r="A3" s="346" t="s">
        <v>3</v>
      </c>
      <c r="B3" s="346" t="s">
        <v>546</v>
      </c>
      <c r="C3" s="346" t="s">
        <v>534</v>
      </c>
      <c r="D3" s="346" t="s">
        <v>942</v>
      </c>
      <c r="E3" s="346" t="s">
        <v>493</v>
      </c>
      <c r="F3" s="346" t="s">
        <v>141</v>
      </c>
      <c r="G3" s="357" t="n">
        <v>45000000</v>
      </c>
      <c r="H3" s="357" t="n">
        <v>45000000</v>
      </c>
      <c r="I3" s="346" t="s">
        <v>142</v>
      </c>
      <c r="J3" s="346" t="n">
        <v>0</v>
      </c>
      <c r="K3" s="346" t="s">
        <v>533</v>
      </c>
      <c r="L3" s="346" t="s">
        <v>533</v>
      </c>
      <c r="M3" s="346" t="s">
        <v>941</v>
      </c>
    </row>
    <row r="4" customFormat="false" ht="15" hidden="false" customHeight="false" outlineLevel="0" collapsed="false">
      <c r="A4" s="346" t="s">
        <v>2</v>
      </c>
      <c r="B4" s="346" t="s">
        <v>85</v>
      </c>
      <c r="C4" s="346" t="s">
        <v>534</v>
      </c>
      <c r="D4" s="346" t="s">
        <v>943</v>
      </c>
      <c r="E4" s="346" t="s">
        <v>491</v>
      </c>
      <c r="F4" s="346" t="s">
        <v>141</v>
      </c>
      <c r="G4" s="357" t="n">
        <v>950000000</v>
      </c>
      <c r="H4" s="357" t="n">
        <v>950000000</v>
      </c>
      <c r="I4" s="346" t="s">
        <v>141</v>
      </c>
      <c r="J4" s="346" t="n">
        <v>0</v>
      </c>
      <c r="K4" s="346" t="s">
        <v>533</v>
      </c>
      <c r="L4" s="346" t="s">
        <v>533</v>
      </c>
      <c r="M4" s="346" t="s">
        <v>941</v>
      </c>
    </row>
    <row r="5" customFormat="false" ht="15" hidden="false" customHeight="false" outlineLevel="0" collapsed="false">
      <c r="A5" s="346" t="s">
        <v>5</v>
      </c>
      <c r="B5" s="346" t="s">
        <v>944</v>
      </c>
      <c r="C5" s="346" t="s">
        <v>534</v>
      </c>
      <c r="D5" s="346" t="s">
        <v>945</v>
      </c>
      <c r="E5" s="346" t="s">
        <v>492</v>
      </c>
      <c r="F5" s="346" t="s">
        <v>141</v>
      </c>
      <c r="G5" s="357" t="n">
        <v>2500000000</v>
      </c>
      <c r="H5" s="357" t="n">
        <v>750000000</v>
      </c>
      <c r="I5" s="346" t="s">
        <v>141</v>
      </c>
      <c r="J5" s="346" t="n">
        <v>1750000000</v>
      </c>
      <c r="K5" s="346" t="s">
        <v>142</v>
      </c>
      <c r="L5" s="346" t="s">
        <v>533</v>
      </c>
      <c r="M5" s="346" t="s">
        <v>941</v>
      </c>
    </row>
    <row r="6" customFormat="false" ht="15" hidden="false" customHeight="false" outlineLevel="0" collapsed="false">
      <c r="A6" s="346" t="s">
        <v>5</v>
      </c>
      <c r="B6" s="346" t="s">
        <v>946</v>
      </c>
      <c r="C6" s="346" t="s">
        <v>534</v>
      </c>
      <c r="D6" s="346" t="s">
        <v>947</v>
      </c>
      <c r="E6" s="346" t="s">
        <v>492</v>
      </c>
      <c r="F6" s="346" t="s">
        <v>141</v>
      </c>
      <c r="G6" s="357" t="n">
        <v>600000000</v>
      </c>
      <c r="H6" s="357" t="n">
        <v>180000000</v>
      </c>
      <c r="I6" s="346" t="s">
        <v>141</v>
      </c>
      <c r="J6" s="346" t="n">
        <v>420000000</v>
      </c>
      <c r="K6" s="346" t="s">
        <v>144</v>
      </c>
      <c r="L6" s="346" t="s">
        <v>533</v>
      </c>
      <c r="M6" s="346" t="s">
        <v>941</v>
      </c>
    </row>
    <row r="7" customFormat="false" ht="15" hidden="false" customHeight="false" outlineLevel="0" collapsed="false">
      <c r="A7" s="346" t="s">
        <v>5</v>
      </c>
      <c r="B7" s="346" t="s">
        <v>948</v>
      </c>
      <c r="C7" s="346" t="s">
        <v>534</v>
      </c>
      <c r="D7" s="346" t="s">
        <v>949</v>
      </c>
      <c r="E7" s="346" t="s">
        <v>493</v>
      </c>
      <c r="F7" s="346" t="s">
        <v>141</v>
      </c>
      <c r="G7" s="357" t="n">
        <v>37000000</v>
      </c>
      <c r="H7" s="357" t="n">
        <v>37000000</v>
      </c>
      <c r="I7" s="346" t="s">
        <v>142</v>
      </c>
      <c r="J7" s="346" t="n">
        <v>0</v>
      </c>
      <c r="K7" s="346" t="s">
        <v>533</v>
      </c>
      <c r="L7" s="346" t="s">
        <v>533</v>
      </c>
      <c r="M7" s="346" t="s">
        <v>941</v>
      </c>
    </row>
    <row r="8" customFormat="false" ht="15" hidden="false" customHeight="false" outlineLevel="0" collapsed="false">
      <c r="A8" s="346" t="s">
        <v>3</v>
      </c>
      <c r="B8" s="346" t="s">
        <v>950</v>
      </c>
      <c r="C8" s="346" t="s">
        <v>171</v>
      </c>
      <c r="D8" s="346" t="s">
        <v>951</v>
      </c>
      <c r="E8" s="346" t="s">
        <v>493</v>
      </c>
      <c r="F8" s="346" t="s">
        <v>141</v>
      </c>
      <c r="G8" s="357" t="n">
        <v>36270000</v>
      </c>
      <c r="H8" s="357" t="n">
        <v>0</v>
      </c>
      <c r="I8" s="346" t="s">
        <v>533</v>
      </c>
      <c r="J8" s="346" t="n">
        <v>0</v>
      </c>
      <c r="K8" s="346" t="s">
        <v>533</v>
      </c>
      <c r="L8" s="346" t="s">
        <v>533</v>
      </c>
      <c r="M8" s="346" t="s">
        <v>941</v>
      </c>
    </row>
    <row r="9" customFormat="false" ht="15" hidden="false" customHeight="false" outlineLevel="0" collapsed="false">
      <c r="A9" s="346" t="s">
        <v>3</v>
      </c>
      <c r="B9" s="346" t="s">
        <v>690</v>
      </c>
      <c r="C9" s="346" t="s">
        <v>534</v>
      </c>
      <c r="D9" s="346" t="s">
        <v>952</v>
      </c>
      <c r="E9" s="346" t="s">
        <v>492</v>
      </c>
      <c r="F9" s="346" t="s">
        <v>141</v>
      </c>
      <c r="G9" s="357" t="n">
        <v>1000000000</v>
      </c>
      <c r="H9" s="357" t="n">
        <v>400000000</v>
      </c>
      <c r="I9" s="346" t="s">
        <v>143</v>
      </c>
      <c r="J9" s="346" t="n">
        <v>0</v>
      </c>
      <c r="K9" s="346" t="s">
        <v>533</v>
      </c>
      <c r="L9" s="346" t="s">
        <v>533</v>
      </c>
      <c r="M9" s="346" t="s">
        <v>941</v>
      </c>
    </row>
    <row r="10" customFormat="false" ht="15" hidden="false" customHeight="false" outlineLevel="0" collapsed="false">
      <c r="A10" s="346" t="s">
        <v>3</v>
      </c>
      <c r="B10" s="346" t="s">
        <v>684</v>
      </c>
      <c r="C10" s="346" t="s">
        <v>534</v>
      </c>
      <c r="D10" s="346" t="s">
        <v>953</v>
      </c>
      <c r="E10" s="346" t="s">
        <v>493</v>
      </c>
      <c r="F10" s="346" t="s">
        <v>141</v>
      </c>
      <c r="G10" s="357" t="n">
        <v>75000000</v>
      </c>
      <c r="H10" s="357" t="n">
        <v>75000000</v>
      </c>
      <c r="I10" s="346" t="s">
        <v>144</v>
      </c>
      <c r="J10" s="346" t="n">
        <v>0</v>
      </c>
      <c r="K10" s="346" t="s">
        <v>533</v>
      </c>
      <c r="L10" s="346" t="s">
        <v>533</v>
      </c>
      <c r="M10" s="346" t="s">
        <v>941</v>
      </c>
    </row>
    <row r="11" customFormat="false" ht="15" hidden="false" customHeight="false" outlineLevel="0" collapsed="false">
      <c r="A11" s="346" t="s">
        <v>3</v>
      </c>
      <c r="B11" s="346" t="s">
        <v>684</v>
      </c>
      <c r="C11" s="346" t="s">
        <v>534</v>
      </c>
      <c r="D11" s="346" t="s">
        <v>954</v>
      </c>
      <c r="E11" s="346" t="s">
        <v>492</v>
      </c>
      <c r="F11" s="346" t="s">
        <v>141</v>
      </c>
      <c r="G11" s="357" t="n">
        <v>164800000</v>
      </c>
      <c r="H11" s="357" t="n">
        <v>164800000</v>
      </c>
      <c r="I11" s="346" t="s">
        <v>142</v>
      </c>
      <c r="J11" s="346" t="n">
        <v>0</v>
      </c>
      <c r="K11" s="346" t="s">
        <v>533</v>
      </c>
      <c r="L11" s="346" t="s">
        <v>533</v>
      </c>
      <c r="M11" s="346" t="s">
        <v>941</v>
      </c>
    </row>
    <row r="12" customFormat="false" ht="15" hidden="false" customHeight="false" outlineLevel="0" collapsed="false">
      <c r="A12" s="346" t="s">
        <v>3</v>
      </c>
      <c r="B12" s="346" t="s">
        <v>955</v>
      </c>
      <c r="C12" s="346" t="s">
        <v>534</v>
      </c>
      <c r="D12" s="346" t="s">
        <v>956</v>
      </c>
      <c r="E12" s="346" t="s">
        <v>491</v>
      </c>
      <c r="F12" s="346" t="s">
        <v>141</v>
      </c>
      <c r="G12" s="357" t="n">
        <v>48000000</v>
      </c>
      <c r="H12" s="357" t="n">
        <v>48000000</v>
      </c>
      <c r="I12" s="346" t="s">
        <v>142</v>
      </c>
      <c r="J12" s="346" t="n">
        <v>0</v>
      </c>
      <c r="K12" s="346" t="s">
        <v>533</v>
      </c>
      <c r="L12" s="346" t="s">
        <v>533</v>
      </c>
      <c r="M12" s="346" t="s">
        <v>941</v>
      </c>
    </row>
    <row r="13" customFormat="false" ht="15" hidden="false" customHeight="false" outlineLevel="0" collapsed="false">
      <c r="A13" s="346" t="s">
        <v>3</v>
      </c>
      <c r="B13" s="346" t="s">
        <v>955</v>
      </c>
      <c r="C13" s="346" t="s">
        <v>534</v>
      </c>
      <c r="D13" s="346" t="s">
        <v>957</v>
      </c>
      <c r="E13" s="346" t="s">
        <v>492</v>
      </c>
      <c r="F13" s="346" t="s">
        <v>141</v>
      </c>
      <c r="G13" s="357" t="n">
        <v>48000000</v>
      </c>
      <c r="H13" s="357" t="n">
        <v>48000000</v>
      </c>
      <c r="I13" s="346" t="s">
        <v>142</v>
      </c>
      <c r="J13" s="346" t="n">
        <v>0</v>
      </c>
      <c r="K13" s="346" t="s">
        <v>533</v>
      </c>
      <c r="L13" s="346" t="s">
        <v>533</v>
      </c>
      <c r="M13" s="346" t="s">
        <v>941</v>
      </c>
    </row>
    <row r="14" customFormat="false" ht="15" hidden="false" customHeight="false" outlineLevel="0" collapsed="false">
      <c r="A14" s="346" t="s">
        <v>3</v>
      </c>
      <c r="B14" s="346" t="s">
        <v>667</v>
      </c>
      <c r="C14" s="346" t="s">
        <v>534</v>
      </c>
      <c r="D14" s="346" t="s">
        <v>958</v>
      </c>
      <c r="E14" s="346" t="s">
        <v>492</v>
      </c>
      <c r="F14" s="346" t="s">
        <v>141</v>
      </c>
      <c r="G14" s="357" t="n">
        <v>200000000</v>
      </c>
      <c r="H14" s="357" t="n">
        <v>60000000</v>
      </c>
      <c r="I14" s="346" t="s">
        <v>141</v>
      </c>
      <c r="J14" s="346" t="n">
        <v>140000000</v>
      </c>
      <c r="K14" s="346" t="s">
        <v>142</v>
      </c>
      <c r="L14" s="346" t="s">
        <v>533</v>
      </c>
      <c r="M14" s="346" t="s">
        <v>941</v>
      </c>
    </row>
    <row r="15" customFormat="false" ht="15" hidden="false" customHeight="false" outlineLevel="0" collapsed="false">
      <c r="A15" s="346" t="s">
        <v>3</v>
      </c>
      <c r="B15" s="346" t="s">
        <v>612</v>
      </c>
      <c r="C15" s="346" t="s">
        <v>534</v>
      </c>
      <c r="D15" s="346" t="s">
        <v>959</v>
      </c>
      <c r="E15" s="346" t="s">
        <v>492</v>
      </c>
      <c r="F15" s="346" t="s">
        <v>141</v>
      </c>
      <c r="G15" s="357" t="n">
        <v>173000000</v>
      </c>
      <c r="H15" s="357" t="n">
        <v>173000000</v>
      </c>
      <c r="I15" s="346" t="s">
        <v>142</v>
      </c>
      <c r="J15" s="346" t="n">
        <v>0</v>
      </c>
      <c r="K15" s="346" t="s">
        <v>533</v>
      </c>
      <c r="L15" s="346" t="s">
        <v>533</v>
      </c>
      <c r="M15" s="346" t="s">
        <v>941</v>
      </c>
    </row>
    <row r="16" customFormat="false" ht="15" hidden="false" customHeight="false" outlineLevel="0" collapsed="false">
      <c r="A16" s="346" t="s">
        <v>5</v>
      </c>
      <c r="B16" s="346" t="s">
        <v>618</v>
      </c>
      <c r="C16" s="346" t="s">
        <v>534</v>
      </c>
      <c r="D16" s="346" t="s">
        <v>620</v>
      </c>
      <c r="E16" s="346" t="s">
        <v>491</v>
      </c>
      <c r="F16" s="346" t="s">
        <v>141</v>
      </c>
      <c r="G16" s="357" t="n">
        <v>360980000</v>
      </c>
      <c r="H16" s="357" t="n">
        <v>360980000</v>
      </c>
      <c r="I16" s="346" t="s">
        <v>142</v>
      </c>
      <c r="J16" s="346" t="n">
        <v>0</v>
      </c>
      <c r="K16" s="346" t="s">
        <v>533</v>
      </c>
      <c r="L16" s="346" t="s">
        <v>533</v>
      </c>
      <c r="M16" s="346" t="s">
        <v>941</v>
      </c>
    </row>
    <row r="17" customFormat="false" ht="15" hidden="false" customHeight="false" outlineLevel="0" collapsed="false">
      <c r="A17" s="346" t="s">
        <v>3</v>
      </c>
      <c r="B17" s="346" t="s">
        <v>618</v>
      </c>
      <c r="C17" s="346" t="s">
        <v>534</v>
      </c>
      <c r="D17" s="346" t="s">
        <v>960</v>
      </c>
      <c r="E17" s="346" t="s">
        <v>492</v>
      </c>
      <c r="F17" s="346" t="s">
        <v>141</v>
      </c>
      <c r="G17" s="357" t="n">
        <v>95000000</v>
      </c>
      <c r="H17" s="357" t="n">
        <v>95000000</v>
      </c>
      <c r="I17" s="346" t="s">
        <v>142</v>
      </c>
      <c r="J17" s="346" t="n">
        <v>0</v>
      </c>
      <c r="K17" s="346" t="s">
        <v>533</v>
      </c>
      <c r="L17" s="346" t="s">
        <v>533</v>
      </c>
      <c r="M17" s="346" t="s">
        <v>941</v>
      </c>
    </row>
    <row r="18" customFormat="false" ht="15" hidden="false" customHeight="false" outlineLevel="0" collapsed="false">
      <c r="A18" s="346" t="s">
        <v>3</v>
      </c>
      <c r="B18" s="346" t="s">
        <v>961</v>
      </c>
      <c r="C18" s="346" t="s">
        <v>534</v>
      </c>
      <c r="D18" s="346" t="s">
        <v>962</v>
      </c>
      <c r="E18" s="346" t="s">
        <v>493</v>
      </c>
      <c r="F18" s="346" t="s">
        <v>141</v>
      </c>
      <c r="G18" s="357" t="n">
        <v>5839700000</v>
      </c>
      <c r="H18" s="357" t="n">
        <v>1751910000</v>
      </c>
      <c r="I18" s="346" t="s">
        <v>141</v>
      </c>
      <c r="J18" s="346" t="n">
        <v>4087790000</v>
      </c>
      <c r="K18" s="346" t="s">
        <v>144</v>
      </c>
      <c r="L18" s="346" t="s">
        <v>533</v>
      </c>
      <c r="M18" s="346" t="s">
        <v>941</v>
      </c>
    </row>
    <row r="19" customFormat="false" ht="15" hidden="false" customHeight="false" outlineLevel="0" collapsed="false">
      <c r="A19" s="346" t="s">
        <v>5</v>
      </c>
      <c r="B19" s="346" t="s">
        <v>963</v>
      </c>
      <c r="C19" s="346" t="s">
        <v>534</v>
      </c>
      <c r="D19" s="346" t="s">
        <v>964</v>
      </c>
      <c r="E19" s="346" t="s">
        <v>491</v>
      </c>
      <c r="F19" s="346" t="s">
        <v>141</v>
      </c>
      <c r="G19" s="357" t="n">
        <v>127700000</v>
      </c>
      <c r="H19" s="357" t="n">
        <v>38310000</v>
      </c>
      <c r="I19" s="346" t="s">
        <v>141</v>
      </c>
      <c r="J19" s="346" t="n">
        <v>89390000</v>
      </c>
      <c r="K19" s="346" t="s">
        <v>142</v>
      </c>
      <c r="L19" s="346" t="s">
        <v>533</v>
      </c>
      <c r="M19" s="346" t="s">
        <v>941</v>
      </c>
    </row>
    <row r="20" customFormat="false" ht="15" hidden="false" customHeight="false" outlineLevel="0" collapsed="false">
      <c r="A20" s="346" t="s">
        <v>2</v>
      </c>
      <c r="B20" s="346" t="s">
        <v>85</v>
      </c>
      <c r="C20" s="346" t="s">
        <v>534</v>
      </c>
      <c r="D20" s="346" t="s">
        <v>965</v>
      </c>
      <c r="E20" s="346" t="s">
        <v>491</v>
      </c>
      <c r="F20" s="346" t="s">
        <v>142</v>
      </c>
      <c r="G20" s="357" t="n">
        <v>950000000</v>
      </c>
      <c r="H20" s="357" t="n">
        <v>950000000</v>
      </c>
      <c r="I20" s="346" t="s">
        <v>142</v>
      </c>
      <c r="J20" s="346" t="n">
        <v>0</v>
      </c>
      <c r="K20" s="346" t="s">
        <v>533</v>
      </c>
      <c r="L20" s="346" t="s">
        <v>533</v>
      </c>
      <c r="M20" s="346" t="s">
        <v>941</v>
      </c>
    </row>
    <row r="21" customFormat="false" ht="15" hidden="false" customHeight="false" outlineLevel="0" collapsed="false">
      <c r="A21" s="346" t="s">
        <v>3</v>
      </c>
      <c r="B21" s="346" t="s">
        <v>966</v>
      </c>
      <c r="C21" s="346" t="s">
        <v>534</v>
      </c>
      <c r="D21" s="346" t="s">
        <v>967</v>
      </c>
      <c r="E21" s="346" t="s">
        <v>492</v>
      </c>
      <c r="F21" s="346" t="s">
        <v>142</v>
      </c>
      <c r="G21" s="357" t="n">
        <v>4500000000</v>
      </c>
      <c r="H21" s="357" t="n">
        <v>1350000000</v>
      </c>
      <c r="I21" s="346" t="s">
        <v>142</v>
      </c>
      <c r="J21" s="346" t="n">
        <v>3150000000</v>
      </c>
      <c r="K21" s="346" t="s">
        <v>144</v>
      </c>
      <c r="L21" s="346" t="s">
        <v>533</v>
      </c>
      <c r="M21" s="346" t="s">
        <v>941</v>
      </c>
    </row>
    <row r="22" customFormat="false" ht="15" hidden="false" customHeight="false" outlineLevel="0" collapsed="false">
      <c r="A22" s="346" t="s">
        <v>3</v>
      </c>
      <c r="B22" s="346" t="s">
        <v>634</v>
      </c>
      <c r="C22" s="346" t="s">
        <v>534</v>
      </c>
      <c r="D22" s="346" t="s">
        <v>968</v>
      </c>
      <c r="E22" s="346" t="s">
        <v>492</v>
      </c>
      <c r="F22" s="346" t="s">
        <v>142</v>
      </c>
      <c r="G22" s="357" t="n">
        <v>191000000</v>
      </c>
      <c r="H22" s="357" t="n">
        <v>191000000</v>
      </c>
      <c r="I22" s="346" t="s">
        <v>142</v>
      </c>
      <c r="J22" s="346" t="n">
        <v>0</v>
      </c>
      <c r="K22" s="346" t="s">
        <v>533</v>
      </c>
      <c r="L22" s="346" t="s">
        <v>533</v>
      </c>
      <c r="M22" s="346" t="s">
        <v>941</v>
      </c>
    </row>
    <row r="23" customFormat="false" ht="15" hidden="false" customHeight="false" outlineLevel="0" collapsed="false">
      <c r="A23" s="346" t="s">
        <v>3</v>
      </c>
      <c r="B23" s="346" t="s">
        <v>634</v>
      </c>
      <c r="C23" s="346" t="s">
        <v>534</v>
      </c>
      <c r="D23" s="346" t="s">
        <v>635</v>
      </c>
      <c r="E23" s="346" t="s">
        <v>493</v>
      </c>
      <c r="F23" s="346" t="s">
        <v>142</v>
      </c>
      <c r="G23" s="357" t="n">
        <v>289736000</v>
      </c>
      <c r="H23" s="357" t="n">
        <v>289736000</v>
      </c>
      <c r="I23" s="346" t="s">
        <v>144</v>
      </c>
      <c r="J23" s="346" t="n">
        <v>0</v>
      </c>
      <c r="K23" s="346" t="s">
        <v>533</v>
      </c>
      <c r="L23" s="346" t="s">
        <v>533</v>
      </c>
      <c r="M23" s="346" t="s">
        <v>941</v>
      </c>
    </row>
    <row r="24" customFormat="false" ht="15" hidden="false" customHeight="false" outlineLevel="0" collapsed="false">
      <c r="A24" s="346" t="s">
        <v>5</v>
      </c>
      <c r="B24" s="346" t="s">
        <v>690</v>
      </c>
      <c r="C24" s="346" t="s">
        <v>534</v>
      </c>
      <c r="D24" s="346" t="s">
        <v>969</v>
      </c>
      <c r="E24" s="346" t="s">
        <v>492</v>
      </c>
      <c r="F24" s="346" t="s">
        <v>142</v>
      </c>
      <c r="G24" s="357" t="n">
        <v>300000000</v>
      </c>
      <c r="H24" s="357" t="n">
        <v>300000000</v>
      </c>
      <c r="I24" s="346" t="s">
        <v>143</v>
      </c>
      <c r="J24" s="346" t="n">
        <v>0</v>
      </c>
      <c r="K24" s="346" t="s">
        <v>533</v>
      </c>
      <c r="L24" s="346" t="s">
        <v>533</v>
      </c>
      <c r="M24" s="346" t="s">
        <v>941</v>
      </c>
    </row>
    <row r="25" customFormat="false" ht="15" hidden="false" customHeight="false" outlineLevel="0" collapsed="false">
      <c r="A25" s="346" t="s">
        <v>3</v>
      </c>
      <c r="B25" s="346" t="s">
        <v>524</v>
      </c>
      <c r="C25" s="346" t="s">
        <v>534</v>
      </c>
      <c r="D25" s="346" t="s">
        <v>970</v>
      </c>
      <c r="E25" s="346" t="s">
        <v>493</v>
      </c>
      <c r="F25" s="346" t="s">
        <v>142</v>
      </c>
      <c r="G25" s="357" t="n">
        <v>150000000</v>
      </c>
      <c r="H25" s="357" t="n">
        <v>150000000</v>
      </c>
      <c r="I25" s="346" t="s">
        <v>144</v>
      </c>
      <c r="J25" s="346" t="n">
        <v>0</v>
      </c>
      <c r="K25" s="346" t="s">
        <v>533</v>
      </c>
      <c r="L25" s="346" t="s">
        <v>533</v>
      </c>
      <c r="M25" s="346" t="s">
        <v>941</v>
      </c>
    </row>
    <row r="26" customFormat="false" ht="15" hidden="false" customHeight="false" outlineLevel="0" collapsed="false">
      <c r="A26" s="346" t="s">
        <v>3</v>
      </c>
      <c r="B26" s="346" t="s">
        <v>618</v>
      </c>
      <c r="C26" s="346" t="s">
        <v>534</v>
      </c>
      <c r="D26" s="346" t="s">
        <v>971</v>
      </c>
      <c r="E26" s="346" t="s">
        <v>493</v>
      </c>
      <c r="F26" s="346" t="s">
        <v>142</v>
      </c>
      <c r="G26" s="357" t="n">
        <v>300000000</v>
      </c>
      <c r="H26" s="357" t="n">
        <v>300000000</v>
      </c>
      <c r="I26" s="346" t="s">
        <v>141</v>
      </c>
      <c r="J26" s="346" t="n">
        <v>0</v>
      </c>
      <c r="K26" s="346" t="s">
        <v>533</v>
      </c>
      <c r="L26" s="346" t="s">
        <v>533</v>
      </c>
      <c r="M26" s="346" t="s">
        <v>941</v>
      </c>
    </row>
    <row r="27" customFormat="false" ht="15" hidden="false" customHeight="false" outlineLevel="0" collapsed="false">
      <c r="A27" s="346" t="s">
        <v>3</v>
      </c>
      <c r="B27" s="346" t="s">
        <v>763</v>
      </c>
      <c r="C27" s="346" t="s">
        <v>171</v>
      </c>
      <c r="D27" s="346" t="s">
        <v>972</v>
      </c>
      <c r="E27" s="346" t="s">
        <v>491</v>
      </c>
      <c r="F27" s="346" t="s">
        <v>142</v>
      </c>
      <c r="G27" s="357" t="n">
        <v>13500000</v>
      </c>
      <c r="H27" s="357" t="n">
        <v>13500000</v>
      </c>
      <c r="I27" s="346" t="s">
        <v>533</v>
      </c>
      <c r="J27" s="346" t="n">
        <v>0</v>
      </c>
      <c r="K27" s="346" t="s">
        <v>533</v>
      </c>
      <c r="L27" s="346" t="s">
        <v>533</v>
      </c>
      <c r="M27" s="346" t="s">
        <v>941</v>
      </c>
    </row>
    <row r="28" customFormat="false" ht="15" hidden="false" customHeight="false" outlineLevel="0" collapsed="false">
      <c r="A28" s="346" t="s">
        <v>5</v>
      </c>
      <c r="B28" s="346" t="s">
        <v>973</v>
      </c>
      <c r="C28" s="346" t="s">
        <v>171</v>
      </c>
      <c r="D28" s="346" t="s">
        <v>974</v>
      </c>
      <c r="E28" s="346" t="s">
        <v>493</v>
      </c>
      <c r="F28" s="346" t="s">
        <v>142</v>
      </c>
      <c r="G28" s="357" t="n">
        <v>28250000</v>
      </c>
      <c r="H28" s="357" t="n">
        <v>28250000</v>
      </c>
      <c r="I28" s="346" t="s">
        <v>533</v>
      </c>
      <c r="J28" s="346" t="n">
        <v>0</v>
      </c>
      <c r="K28" s="346" t="s">
        <v>533</v>
      </c>
      <c r="L28" s="346" t="s">
        <v>533</v>
      </c>
      <c r="M28" s="346" t="s">
        <v>941</v>
      </c>
    </row>
    <row r="29" customFormat="false" ht="15" hidden="false" customHeight="false" outlineLevel="0" collapsed="false">
      <c r="A29" s="346" t="s">
        <v>3</v>
      </c>
      <c r="B29" s="346" t="s">
        <v>963</v>
      </c>
      <c r="C29" s="346" t="s">
        <v>534</v>
      </c>
      <c r="D29" s="346" t="s">
        <v>975</v>
      </c>
      <c r="E29" s="346" t="s">
        <v>492</v>
      </c>
      <c r="F29" s="346" t="s">
        <v>142</v>
      </c>
      <c r="G29" s="357" t="n">
        <v>2000000000</v>
      </c>
      <c r="H29" s="357" t="n">
        <v>1000000000</v>
      </c>
      <c r="I29" s="346" t="s">
        <v>144</v>
      </c>
      <c r="J29" s="346" t="n">
        <v>0</v>
      </c>
      <c r="K29" s="346" t="s">
        <v>144</v>
      </c>
      <c r="L29" s="346" t="s">
        <v>533</v>
      </c>
      <c r="M29" s="346" t="s">
        <v>941</v>
      </c>
    </row>
    <row r="30" customFormat="false" ht="15" hidden="false" customHeight="false" outlineLevel="0" collapsed="false">
      <c r="A30" s="346" t="s">
        <v>5</v>
      </c>
      <c r="B30" s="346" t="s">
        <v>976</v>
      </c>
      <c r="C30" s="346" t="s">
        <v>171</v>
      </c>
      <c r="D30" s="346" t="s">
        <v>977</v>
      </c>
      <c r="E30" s="346" t="s">
        <v>491</v>
      </c>
      <c r="F30" s="346" t="s">
        <v>143</v>
      </c>
      <c r="G30" s="357" t="n">
        <v>3500000</v>
      </c>
      <c r="H30" s="357" t="n">
        <v>3500000</v>
      </c>
      <c r="I30" s="346" t="s">
        <v>143</v>
      </c>
      <c r="J30" s="346" t="n">
        <v>0</v>
      </c>
      <c r="K30" s="346" t="s">
        <v>533</v>
      </c>
      <c r="L30" s="346" t="s">
        <v>533</v>
      </c>
      <c r="M30" s="346" t="s">
        <v>941</v>
      </c>
    </row>
    <row r="31" customFormat="false" ht="15" hidden="false" customHeight="false" outlineLevel="0" collapsed="false">
      <c r="A31" s="346" t="s">
        <v>2</v>
      </c>
      <c r="B31" s="346" t="s">
        <v>85</v>
      </c>
      <c r="C31" s="346" t="s">
        <v>534</v>
      </c>
      <c r="D31" s="346" t="s">
        <v>978</v>
      </c>
      <c r="E31" s="346" t="s">
        <v>491</v>
      </c>
      <c r="F31" s="346" t="s">
        <v>143</v>
      </c>
      <c r="G31" s="357" t="n">
        <v>950000000</v>
      </c>
      <c r="H31" s="357" t="n">
        <v>950000000</v>
      </c>
      <c r="I31" s="346" t="s">
        <v>143</v>
      </c>
      <c r="J31" s="346" t="n">
        <v>0</v>
      </c>
      <c r="K31" s="346" t="s">
        <v>533</v>
      </c>
      <c r="L31" s="346" t="s">
        <v>533</v>
      </c>
      <c r="M31" s="346" t="s">
        <v>941</v>
      </c>
    </row>
    <row r="32" customFormat="false" ht="15" hidden="false" customHeight="false" outlineLevel="0" collapsed="false">
      <c r="A32" s="346" t="s">
        <v>5</v>
      </c>
      <c r="B32" s="346" t="s">
        <v>979</v>
      </c>
      <c r="C32" s="346" t="s">
        <v>534</v>
      </c>
      <c r="D32" s="346" t="s">
        <v>980</v>
      </c>
      <c r="E32" s="346" t="s">
        <v>493</v>
      </c>
      <c r="F32" s="346" t="s">
        <v>143</v>
      </c>
      <c r="G32" s="357" t="n">
        <v>3000000000</v>
      </c>
      <c r="H32" s="357" t="n">
        <v>900000000</v>
      </c>
      <c r="I32" s="346" t="s">
        <v>143</v>
      </c>
      <c r="J32" s="346" t="n">
        <v>2100000000</v>
      </c>
      <c r="K32" s="346" t="s">
        <v>144</v>
      </c>
      <c r="L32" s="346" t="s">
        <v>533</v>
      </c>
      <c r="M32" s="346" t="s">
        <v>941</v>
      </c>
    </row>
    <row r="33" customFormat="false" ht="15" hidden="false" customHeight="false" outlineLevel="0" collapsed="false">
      <c r="A33" s="346" t="s">
        <v>3</v>
      </c>
      <c r="B33" s="346" t="s">
        <v>815</v>
      </c>
      <c r="C33" s="346" t="s">
        <v>171</v>
      </c>
      <c r="D33" s="346" t="s">
        <v>981</v>
      </c>
      <c r="E33" s="346" t="s">
        <v>493</v>
      </c>
      <c r="F33" s="346" t="s">
        <v>143</v>
      </c>
      <c r="G33" s="357" t="n">
        <v>18000000</v>
      </c>
      <c r="H33" s="357" t="n">
        <v>18000000</v>
      </c>
      <c r="I33" s="346" t="s">
        <v>533</v>
      </c>
      <c r="J33" s="346" t="n">
        <v>0</v>
      </c>
      <c r="K33" s="346" t="s">
        <v>533</v>
      </c>
      <c r="L33" s="346" t="s">
        <v>533</v>
      </c>
      <c r="M33" s="346" t="s">
        <v>941</v>
      </c>
    </row>
    <row r="34" customFormat="false" ht="15" hidden="false" customHeight="false" outlineLevel="0" collapsed="false">
      <c r="A34" s="346" t="s">
        <v>3</v>
      </c>
      <c r="B34" s="346" t="s">
        <v>626</v>
      </c>
      <c r="C34" s="346" t="s">
        <v>171</v>
      </c>
      <c r="D34" s="346" t="s">
        <v>982</v>
      </c>
      <c r="E34" s="346" t="s">
        <v>493</v>
      </c>
      <c r="F34" s="346" t="s">
        <v>143</v>
      </c>
      <c r="G34" s="357" t="n">
        <v>84825000</v>
      </c>
      <c r="H34" s="357" t="n">
        <v>84825000</v>
      </c>
      <c r="I34" s="346" t="s">
        <v>533</v>
      </c>
      <c r="J34" s="346" t="n">
        <v>0</v>
      </c>
      <c r="K34" s="346" t="s">
        <v>533</v>
      </c>
      <c r="L34" s="346" t="s">
        <v>533</v>
      </c>
      <c r="M34" s="346" t="s">
        <v>941</v>
      </c>
    </row>
    <row r="35" customFormat="false" ht="15" hidden="false" customHeight="false" outlineLevel="0" collapsed="false">
      <c r="A35" s="346" t="s">
        <v>5</v>
      </c>
      <c r="B35" s="346" t="s">
        <v>811</v>
      </c>
      <c r="C35" s="346" t="s">
        <v>171</v>
      </c>
      <c r="D35" s="346" t="s">
        <v>983</v>
      </c>
      <c r="E35" s="346" t="s">
        <v>493</v>
      </c>
      <c r="F35" s="346" t="s">
        <v>144</v>
      </c>
      <c r="G35" s="357" t="n">
        <v>15000000</v>
      </c>
      <c r="H35" s="357" t="n">
        <v>15000000</v>
      </c>
      <c r="I35" s="346" t="s">
        <v>533</v>
      </c>
      <c r="J35" s="346" t="n">
        <v>0</v>
      </c>
      <c r="K35" s="346" t="s">
        <v>533</v>
      </c>
      <c r="L35" s="346" t="s">
        <v>533</v>
      </c>
      <c r="M35" s="346" t="s">
        <v>941</v>
      </c>
    </row>
    <row r="36" customFormat="false" ht="15" hidden="false" customHeight="false" outlineLevel="0" collapsed="false">
      <c r="A36" s="346" t="s">
        <v>3</v>
      </c>
      <c r="B36" s="346" t="s">
        <v>546</v>
      </c>
      <c r="C36" s="346" t="s">
        <v>171</v>
      </c>
      <c r="D36" s="346" t="s">
        <v>984</v>
      </c>
      <c r="E36" s="346" t="s">
        <v>491</v>
      </c>
      <c r="F36" s="346" t="s">
        <v>144</v>
      </c>
      <c r="G36" s="357" t="n">
        <v>37800000</v>
      </c>
      <c r="H36" s="357" t="n">
        <v>37800000</v>
      </c>
      <c r="I36" s="346" t="s">
        <v>143</v>
      </c>
      <c r="J36" s="346" t="n">
        <v>0</v>
      </c>
      <c r="K36" s="346" t="s">
        <v>533</v>
      </c>
      <c r="L36" s="346" t="s">
        <v>533</v>
      </c>
      <c r="M36" s="346" t="s">
        <v>941</v>
      </c>
    </row>
    <row r="37" customFormat="false" ht="15" hidden="false" customHeight="false" outlineLevel="0" collapsed="false">
      <c r="A37" s="346" t="s">
        <v>3</v>
      </c>
      <c r="B37" s="346" t="s">
        <v>564</v>
      </c>
      <c r="C37" s="346" t="s">
        <v>534</v>
      </c>
      <c r="D37" s="346" t="s">
        <v>565</v>
      </c>
      <c r="E37" s="346" t="s">
        <v>493</v>
      </c>
      <c r="F37" s="346" t="s">
        <v>144</v>
      </c>
      <c r="G37" s="357" t="n">
        <v>275000000</v>
      </c>
      <c r="H37" s="357" t="n">
        <v>275000000</v>
      </c>
      <c r="I37" s="346" t="s">
        <v>144</v>
      </c>
      <c r="J37" s="346" t="n">
        <v>0</v>
      </c>
      <c r="K37" s="346" t="s">
        <v>144</v>
      </c>
      <c r="L37" s="346" t="s">
        <v>533</v>
      </c>
      <c r="M37" s="346" t="s">
        <v>941</v>
      </c>
    </row>
    <row r="38" customFormat="false" ht="15" hidden="false" customHeight="false" outlineLevel="0" collapsed="false">
      <c r="A38" s="346" t="s">
        <v>2</v>
      </c>
      <c r="B38" s="346" t="s">
        <v>85</v>
      </c>
      <c r="C38" s="346" t="s">
        <v>534</v>
      </c>
      <c r="D38" s="346" t="s">
        <v>985</v>
      </c>
      <c r="E38" s="346" t="s">
        <v>491</v>
      </c>
      <c r="F38" s="346" t="s">
        <v>144</v>
      </c>
      <c r="G38" s="357" t="n">
        <v>950000000</v>
      </c>
      <c r="H38" s="357" t="n">
        <v>950000000</v>
      </c>
      <c r="I38" s="346" t="s">
        <v>144</v>
      </c>
      <c r="J38" s="346" t="n">
        <v>0</v>
      </c>
      <c r="K38" s="346" t="s">
        <v>533</v>
      </c>
      <c r="L38" s="346" t="s">
        <v>533</v>
      </c>
      <c r="M38" s="346" t="s">
        <v>941</v>
      </c>
    </row>
    <row r="39" customFormat="false" ht="15" hidden="false" customHeight="false" outlineLevel="0" collapsed="false">
      <c r="A39" s="346" t="s">
        <v>5</v>
      </c>
      <c r="B39" s="346" t="s">
        <v>986</v>
      </c>
      <c r="C39" s="346" t="s">
        <v>171</v>
      </c>
      <c r="D39" s="346" t="s">
        <v>987</v>
      </c>
      <c r="E39" s="346" t="s">
        <v>493</v>
      </c>
      <c r="F39" s="346" t="s">
        <v>144</v>
      </c>
      <c r="G39" s="357" t="n">
        <v>9500000</v>
      </c>
      <c r="H39" s="357" t="n">
        <v>9500000</v>
      </c>
      <c r="I39" s="346" t="s">
        <v>533</v>
      </c>
      <c r="J39" s="346" t="n">
        <v>0</v>
      </c>
      <c r="K39" s="346" t="s">
        <v>533</v>
      </c>
      <c r="L39" s="346" t="s">
        <v>533</v>
      </c>
      <c r="M39" s="346" t="s">
        <v>941</v>
      </c>
    </row>
    <row r="40" customFormat="false" ht="15" hidden="false" customHeight="false" outlineLevel="0" collapsed="false">
      <c r="A40" s="346" t="s">
        <v>5</v>
      </c>
      <c r="B40" s="346" t="s">
        <v>713</v>
      </c>
      <c r="C40" s="346" t="s">
        <v>171</v>
      </c>
      <c r="D40" s="346" t="s">
        <v>988</v>
      </c>
      <c r="E40" s="346" t="s">
        <v>493</v>
      </c>
      <c r="F40" s="346" t="s">
        <v>144</v>
      </c>
      <c r="G40" s="357" t="n">
        <v>4500000</v>
      </c>
      <c r="H40" s="357" t="n">
        <v>4500000</v>
      </c>
      <c r="I40" s="346" t="s">
        <v>533</v>
      </c>
      <c r="J40" s="346" t="n">
        <v>0</v>
      </c>
      <c r="K40" s="346" t="s">
        <v>533</v>
      </c>
      <c r="L40" s="346" t="s">
        <v>533</v>
      </c>
      <c r="M40" s="346" t="s">
        <v>941</v>
      </c>
    </row>
    <row r="41" customFormat="false" ht="15" hidden="false" customHeight="false" outlineLevel="0" collapsed="false">
      <c r="A41" s="346" t="s">
        <v>5</v>
      </c>
      <c r="B41" s="346" t="s">
        <v>713</v>
      </c>
      <c r="C41" s="346" t="s">
        <v>171</v>
      </c>
      <c r="D41" s="346" t="s">
        <v>989</v>
      </c>
      <c r="E41" s="346" t="s">
        <v>493</v>
      </c>
      <c r="F41" s="346" t="s">
        <v>144</v>
      </c>
      <c r="G41" s="357" t="n">
        <v>6000000</v>
      </c>
      <c r="H41" s="357" t="n">
        <v>6000000</v>
      </c>
      <c r="I41" s="346" t="s">
        <v>533</v>
      </c>
      <c r="J41" s="346" t="n">
        <v>0</v>
      </c>
      <c r="K41" s="346" t="s">
        <v>533</v>
      </c>
      <c r="L41" s="346" t="s">
        <v>533</v>
      </c>
      <c r="M41" s="346" t="s">
        <v>941</v>
      </c>
    </row>
    <row r="42" customFormat="false" ht="15" hidden="false" customHeight="false" outlineLevel="0" collapsed="false">
      <c r="A42" s="346" t="s">
        <v>3</v>
      </c>
      <c r="B42" s="346" t="s">
        <v>690</v>
      </c>
      <c r="C42" s="346" t="s">
        <v>534</v>
      </c>
      <c r="D42" s="346" t="s">
        <v>990</v>
      </c>
      <c r="E42" s="346" t="s">
        <v>492</v>
      </c>
      <c r="F42" s="346" t="s">
        <v>144</v>
      </c>
      <c r="G42" s="357" t="n">
        <v>300000000</v>
      </c>
      <c r="H42" s="357" t="n">
        <v>0</v>
      </c>
      <c r="I42" s="346" t="s">
        <v>533</v>
      </c>
      <c r="J42" s="346" t="n">
        <v>0</v>
      </c>
      <c r="K42" s="346" t="s">
        <v>533</v>
      </c>
      <c r="L42" s="346" t="s">
        <v>533</v>
      </c>
      <c r="M42" s="346" t="s">
        <v>941</v>
      </c>
    </row>
    <row r="43" customFormat="false" ht="15" hidden="false" customHeight="false" outlineLevel="0" collapsed="false">
      <c r="A43" s="346" t="s">
        <v>5</v>
      </c>
      <c r="B43" s="346" t="s">
        <v>991</v>
      </c>
      <c r="C43" s="346" t="s">
        <v>534</v>
      </c>
      <c r="D43" s="346" t="s">
        <v>992</v>
      </c>
      <c r="E43" s="346" t="s">
        <v>492</v>
      </c>
      <c r="F43" s="346" t="s">
        <v>144</v>
      </c>
      <c r="G43" s="357" t="n">
        <v>3073712000</v>
      </c>
      <c r="H43" s="357" t="n">
        <v>0</v>
      </c>
      <c r="I43" s="346" t="s">
        <v>533</v>
      </c>
      <c r="J43" s="346" t="n">
        <v>0</v>
      </c>
      <c r="K43" s="346" t="s">
        <v>533</v>
      </c>
      <c r="L43" s="346" t="s">
        <v>533</v>
      </c>
      <c r="M43" s="346" t="s">
        <v>941</v>
      </c>
    </row>
    <row r="44" customFormat="false" ht="15" hidden="false" customHeight="false" outlineLevel="0" collapsed="false">
      <c r="A44" s="346" t="s">
        <v>3</v>
      </c>
      <c r="B44" s="346" t="s">
        <v>991</v>
      </c>
      <c r="C44" s="346" t="s">
        <v>171</v>
      </c>
      <c r="D44" s="346" t="s">
        <v>993</v>
      </c>
      <c r="E44" s="346" t="s">
        <v>493</v>
      </c>
      <c r="F44" s="346" t="s">
        <v>144</v>
      </c>
      <c r="G44" s="357" t="n">
        <v>121500000</v>
      </c>
      <c r="H44" s="357" t="n">
        <v>121500000</v>
      </c>
      <c r="I44" s="346" t="s">
        <v>533</v>
      </c>
      <c r="J44" s="346" t="n">
        <v>0</v>
      </c>
      <c r="K44" s="346" t="s">
        <v>533</v>
      </c>
      <c r="L44" s="346" t="s">
        <v>533</v>
      </c>
      <c r="M44" s="346" t="s">
        <v>941</v>
      </c>
    </row>
    <row r="45" customFormat="false" ht="15" hidden="false" customHeight="false" outlineLevel="0" collapsed="false">
      <c r="A45" s="346"/>
      <c r="B45" s="346"/>
      <c r="C45" s="346"/>
      <c r="D45" s="346"/>
      <c r="E45" s="346"/>
      <c r="F45" s="346"/>
      <c r="G45" s="357"/>
      <c r="H45" s="357"/>
      <c r="I45" s="357"/>
      <c r="J45" s="357"/>
      <c r="K45" s="346"/>
      <c r="L45" s="346"/>
      <c r="M45" s="346"/>
    </row>
    <row r="46" customFormat="false" ht="15" hidden="false" customHeight="false" outlineLevel="0" collapsed="false">
      <c r="A46" s="346"/>
      <c r="B46" s="346"/>
      <c r="C46" s="346"/>
      <c r="D46" s="346"/>
      <c r="E46" s="346"/>
      <c r="F46" s="346"/>
      <c r="G46" s="357"/>
      <c r="H46" s="357"/>
      <c r="I46" s="357"/>
      <c r="J46" s="357"/>
      <c r="K46" s="346"/>
      <c r="L46" s="346"/>
      <c r="M46" s="346"/>
    </row>
    <row r="47" customFormat="false" ht="15" hidden="false" customHeight="false" outlineLevel="0" collapsed="false">
      <c r="A47" s="346"/>
      <c r="B47" s="346"/>
      <c r="C47" s="346"/>
      <c r="D47" s="346"/>
      <c r="E47" s="346"/>
      <c r="F47" s="346"/>
      <c r="G47" s="357"/>
      <c r="H47" s="357"/>
      <c r="I47" s="357"/>
      <c r="J47" s="357"/>
      <c r="K47" s="346"/>
      <c r="L47" s="346"/>
      <c r="M47" s="346"/>
    </row>
    <row r="48" customFormat="false" ht="15" hidden="false" customHeight="false" outlineLevel="0" collapsed="false">
      <c r="A48" s="346"/>
      <c r="B48" s="346"/>
      <c r="C48" s="346"/>
      <c r="D48" s="346"/>
      <c r="E48" s="346"/>
      <c r="F48" s="346"/>
      <c r="G48" s="357"/>
      <c r="H48" s="357"/>
      <c r="I48" s="357"/>
      <c r="J48" s="357"/>
      <c r="K48" s="346"/>
      <c r="L48" s="346"/>
      <c r="M48" s="346"/>
    </row>
    <row r="49" customFormat="false" ht="15" hidden="false" customHeight="false" outlineLevel="0" collapsed="false">
      <c r="A49" s="346"/>
      <c r="B49" s="346"/>
      <c r="C49" s="346"/>
      <c r="D49" s="346"/>
      <c r="E49" s="346"/>
      <c r="F49" s="346"/>
      <c r="G49" s="357"/>
      <c r="H49" s="357"/>
      <c r="I49" s="346"/>
      <c r="J49" s="357"/>
      <c r="K49" s="346"/>
      <c r="L49" s="346"/>
      <c r="M49" s="346"/>
    </row>
    <row r="50" customFormat="false" ht="15" hidden="false" customHeight="false" outlineLevel="0" collapsed="false">
      <c r="A50" s="346"/>
      <c r="B50" s="346"/>
      <c r="C50" s="346"/>
      <c r="D50" s="346"/>
      <c r="E50" s="346"/>
      <c r="F50" s="346"/>
      <c r="G50" s="357"/>
      <c r="H50" s="357"/>
      <c r="I50" s="346"/>
      <c r="J50" s="357"/>
      <c r="K50" s="346"/>
      <c r="L50" s="346"/>
      <c r="M50" s="346"/>
    </row>
    <row r="51" customFormat="false" ht="15" hidden="false" customHeight="false" outlineLevel="0" collapsed="false">
      <c r="A51" s="346"/>
      <c r="B51" s="346"/>
      <c r="C51" s="346"/>
      <c r="D51" s="346"/>
      <c r="E51" s="346"/>
      <c r="F51" s="346"/>
      <c r="G51" s="357"/>
      <c r="H51" s="357"/>
      <c r="I51" s="346"/>
      <c r="J51" s="357"/>
      <c r="K51" s="346"/>
      <c r="L51" s="346"/>
      <c r="M51" s="346"/>
    </row>
    <row r="52" customFormat="false" ht="15" hidden="false" customHeight="false" outlineLevel="0" collapsed="false">
      <c r="A52" s="346"/>
      <c r="B52" s="346"/>
      <c r="C52" s="346"/>
      <c r="D52" s="346"/>
      <c r="E52" s="346"/>
      <c r="F52" s="346"/>
      <c r="G52" s="357"/>
      <c r="H52" s="357"/>
      <c r="I52" s="346"/>
      <c r="J52" s="357"/>
      <c r="K52" s="346"/>
      <c r="L52" s="346"/>
      <c r="M52" s="346"/>
    </row>
    <row r="53" customFormat="false" ht="15.8" hidden="false" customHeight="false" outlineLevel="0" collapsed="false">
      <c r="A53" s="346"/>
      <c r="B53" s="346"/>
      <c r="C53" s="346"/>
      <c r="D53" s="346"/>
      <c r="E53" s="346"/>
      <c r="F53" s="346"/>
      <c r="G53" s="384"/>
      <c r="H53" s="346"/>
      <c r="I53" s="346"/>
      <c r="J53" s="346"/>
      <c r="K53" s="346"/>
      <c r="L53" s="346"/>
      <c r="M53" s="346"/>
    </row>
    <row r="54" customFormat="false" ht="13.8" hidden="false" customHeight="false" outlineLevel="0" collapsed="false">
      <c r="A54" s="346"/>
      <c r="B54" s="346"/>
      <c r="C54" s="346"/>
      <c r="D54" s="346"/>
      <c r="E54" s="346"/>
      <c r="F54" s="346"/>
      <c r="G54" s="384"/>
      <c r="H54" s="346"/>
      <c r="I54" s="346"/>
      <c r="J54" s="346"/>
      <c r="K54" s="346"/>
      <c r="L54" s="346"/>
      <c r="M54" s="346"/>
    </row>
    <row r="55" customFormat="false" ht="13.8" hidden="false" customHeight="false" outlineLevel="0" collapsed="false">
      <c r="A55" s="346"/>
      <c r="B55" s="346"/>
      <c r="C55" s="346"/>
      <c r="D55" s="346"/>
      <c r="E55" s="346"/>
      <c r="F55" s="346"/>
      <c r="G55" s="384"/>
      <c r="H55" s="346"/>
      <c r="I55" s="346"/>
      <c r="J55" s="346"/>
      <c r="K55" s="346"/>
      <c r="L55" s="346"/>
      <c r="M55" s="346"/>
    </row>
    <row r="56" customFormat="false" ht="13.8" hidden="false" customHeight="false" outlineLevel="0" collapsed="false">
      <c r="A56" s="346"/>
      <c r="B56" s="346"/>
      <c r="C56" s="346"/>
      <c r="D56" s="346"/>
      <c r="E56" s="346"/>
      <c r="F56" s="346"/>
      <c r="G56" s="384"/>
      <c r="H56" s="346"/>
      <c r="I56" s="346"/>
      <c r="J56" s="346"/>
      <c r="K56" s="346"/>
      <c r="L56" s="346"/>
      <c r="M56" s="346"/>
    </row>
    <row r="57" customFormat="false" ht="13.8" hidden="false" customHeight="false" outlineLevel="0" collapsed="false">
      <c r="A57" s="346"/>
      <c r="B57" s="346"/>
      <c r="C57" s="346"/>
      <c r="D57" s="346"/>
      <c r="E57" s="346"/>
      <c r="F57" s="346"/>
      <c r="G57" s="384"/>
      <c r="H57" s="346"/>
      <c r="I57" s="346"/>
      <c r="J57" s="346"/>
      <c r="K57" s="346"/>
      <c r="L57" s="346"/>
      <c r="M57" s="346"/>
    </row>
    <row r="58" customFormat="false" ht="13.8" hidden="false" customHeight="false" outlineLevel="0" collapsed="false">
      <c r="A58" s="346"/>
      <c r="B58" s="346"/>
      <c r="C58" s="346"/>
      <c r="D58" s="346"/>
      <c r="E58" s="346"/>
      <c r="F58" s="346"/>
      <c r="G58" s="384"/>
      <c r="H58" s="357"/>
      <c r="I58" s="357"/>
      <c r="J58" s="357"/>
      <c r="K58" s="357"/>
      <c r="L58" s="357"/>
      <c r="M58" s="357"/>
    </row>
    <row r="59" customFormat="false" ht="13.8" hidden="false" customHeight="false" outlineLevel="0" collapsed="false">
      <c r="A59" s="346"/>
      <c r="B59" s="346"/>
      <c r="C59" s="346"/>
      <c r="D59" s="346"/>
      <c r="E59" s="346"/>
      <c r="F59" s="346"/>
      <c r="G59" s="384"/>
      <c r="H59" s="357"/>
      <c r="I59" s="357"/>
      <c r="J59" s="357"/>
      <c r="K59" s="357"/>
      <c r="L59" s="357"/>
      <c r="M59" s="357"/>
    </row>
    <row r="60" customFormat="false" ht="13.8" hidden="false" customHeight="false" outlineLevel="0" collapsed="false">
      <c r="A60" s="346"/>
      <c r="B60" s="346"/>
      <c r="C60" s="346"/>
      <c r="D60" s="346"/>
      <c r="E60" s="346"/>
      <c r="F60" s="346"/>
      <c r="G60" s="384"/>
      <c r="H60" s="357"/>
      <c r="I60" s="357"/>
      <c r="J60" s="357"/>
      <c r="K60" s="357"/>
      <c r="L60" s="357"/>
      <c r="M60" s="357"/>
    </row>
    <row r="61" customFormat="false" ht="13.8" hidden="false" customHeight="false" outlineLevel="0" collapsed="false">
      <c r="A61" s="346"/>
      <c r="B61" s="346"/>
      <c r="C61" s="346"/>
      <c r="D61" s="346"/>
      <c r="E61" s="346"/>
      <c r="F61" s="346"/>
      <c r="G61" s="384"/>
      <c r="H61" s="357"/>
      <c r="I61" s="357"/>
      <c r="J61" s="357"/>
      <c r="K61" s="357"/>
      <c r="L61" s="357"/>
      <c r="M61" s="357"/>
    </row>
    <row r="62" customFormat="false" ht="13.8" hidden="false" customHeight="false" outlineLevel="0" collapsed="false">
      <c r="A62" s="346"/>
      <c r="B62" s="346"/>
      <c r="C62" s="346"/>
      <c r="D62" s="346"/>
      <c r="E62" s="346"/>
      <c r="F62" s="346"/>
      <c r="G62" s="384"/>
      <c r="H62" s="357"/>
      <c r="I62" s="357"/>
      <c r="J62" s="357"/>
      <c r="K62" s="357"/>
      <c r="L62" s="357"/>
      <c r="M62" s="357"/>
    </row>
    <row r="63" customFormat="false" ht="13.8" hidden="false" customHeight="false" outlineLevel="0" collapsed="false">
      <c r="A63" s="346"/>
      <c r="B63" s="346"/>
      <c r="C63" s="346"/>
      <c r="D63" s="346"/>
      <c r="E63" s="346"/>
      <c r="F63" s="346"/>
      <c r="G63" s="384"/>
      <c r="H63" s="357"/>
      <c r="I63" s="357"/>
      <c r="J63" s="357"/>
      <c r="K63" s="357"/>
      <c r="L63" s="357"/>
      <c r="M63" s="357"/>
    </row>
    <row r="64" customFormat="false" ht="13.8" hidden="false" customHeight="false" outlineLevel="0" collapsed="false">
      <c r="A64" s="346"/>
      <c r="B64" s="346"/>
      <c r="C64" s="346"/>
      <c r="D64" s="346"/>
      <c r="E64" s="346"/>
      <c r="F64" s="346"/>
      <c r="G64" s="384"/>
      <c r="H64" s="357"/>
      <c r="I64" s="357"/>
      <c r="J64" s="357"/>
      <c r="K64" s="357"/>
      <c r="L64" s="357"/>
      <c r="M64" s="357"/>
    </row>
    <row r="65" customFormat="false" ht="13.8" hidden="false" customHeight="false" outlineLevel="0" collapsed="false">
      <c r="A65" s="346"/>
      <c r="B65" s="346"/>
      <c r="C65" s="346"/>
      <c r="D65" s="346"/>
      <c r="E65" s="346"/>
      <c r="F65" s="346"/>
      <c r="G65" s="384"/>
      <c r="H65" s="357"/>
      <c r="I65" s="357"/>
      <c r="J65" s="357"/>
      <c r="K65" s="357"/>
      <c r="L65" s="357"/>
      <c r="M65" s="357"/>
    </row>
    <row r="66" customFormat="false" ht="13.8" hidden="false" customHeight="false" outlineLevel="0" collapsed="false">
      <c r="A66" s="346"/>
      <c r="B66" s="346"/>
      <c r="C66" s="346"/>
      <c r="D66" s="346"/>
      <c r="E66" s="346"/>
      <c r="F66" s="346"/>
      <c r="G66" s="384"/>
      <c r="H66" s="357"/>
      <c r="I66" s="357"/>
      <c r="J66" s="357"/>
      <c r="K66" s="357"/>
      <c r="L66" s="357"/>
      <c r="M66" s="357"/>
    </row>
    <row r="67" customFormat="false" ht="13.8" hidden="false" customHeight="false" outlineLevel="0" collapsed="false">
      <c r="A67" s="346"/>
      <c r="B67" s="346"/>
      <c r="C67" s="346"/>
      <c r="D67" s="346"/>
      <c r="E67" s="346"/>
      <c r="F67" s="346"/>
      <c r="G67" s="384"/>
      <c r="H67" s="357"/>
      <c r="I67" s="357"/>
      <c r="J67" s="357"/>
      <c r="K67" s="357"/>
      <c r="L67" s="357"/>
      <c r="M67" s="357"/>
    </row>
    <row r="68" customFormat="false" ht="13.8" hidden="false" customHeight="false" outlineLevel="0" collapsed="false">
      <c r="A68" s="346"/>
      <c r="B68" s="346"/>
      <c r="C68" s="346"/>
      <c r="D68" s="346"/>
      <c r="E68" s="346"/>
      <c r="F68" s="346"/>
      <c r="G68" s="384"/>
      <c r="H68" s="357"/>
      <c r="I68" s="357"/>
      <c r="J68" s="357"/>
      <c r="K68" s="357"/>
      <c r="L68" s="357"/>
      <c r="M68" s="357"/>
    </row>
    <row r="69" customFormat="false" ht="13.8" hidden="false" customHeight="false" outlineLevel="0" collapsed="false">
      <c r="A69" s="346"/>
      <c r="B69" s="346"/>
      <c r="C69" s="346"/>
      <c r="D69" s="346"/>
      <c r="E69" s="346"/>
      <c r="F69" s="346"/>
      <c r="G69" s="384"/>
      <c r="H69" s="357"/>
      <c r="I69" s="357"/>
      <c r="J69" s="357"/>
      <c r="K69" s="357"/>
      <c r="L69" s="357"/>
      <c r="M69" s="357"/>
    </row>
    <row r="70" customFormat="false" ht="13.8" hidden="false" customHeight="false" outlineLevel="0" collapsed="false">
      <c r="A70" s="346"/>
      <c r="B70" s="346"/>
      <c r="C70" s="346"/>
      <c r="D70" s="346"/>
      <c r="E70" s="346"/>
      <c r="F70" s="346"/>
      <c r="G70" s="384"/>
      <c r="H70" s="357"/>
      <c r="I70" s="357"/>
      <c r="J70" s="357"/>
      <c r="K70" s="357"/>
      <c r="L70" s="357"/>
      <c r="M70" s="357"/>
    </row>
    <row r="71" customFormat="false" ht="13.8" hidden="false" customHeight="false" outlineLevel="0" collapsed="false">
      <c r="A71" s="346"/>
      <c r="B71" s="346"/>
      <c r="C71" s="346"/>
      <c r="D71" s="346"/>
      <c r="E71" s="346"/>
      <c r="F71" s="346"/>
      <c r="G71" s="384"/>
      <c r="H71" s="357"/>
      <c r="I71" s="357"/>
      <c r="J71" s="357"/>
      <c r="K71" s="357"/>
      <c r="L71" s="357"/>
      <c r="M71" s="357"/>
    </row>
    <row r="72" customFormat="false" ht="13.8" hidden="false" customHeight="false" outlineLevel="0" collapsed="false">
      <c r="A72" s="346"/>
      <c r="B72" s="346"/>
      <c r="C72" s="346"/>
      <c r="D72" s="346"/>
      <c r="E72" s="346"/>
      <c r="F72" s="346"/>
      <c r="G72" s="384"/>
      <c r="H72" s="357"/>
      <c r="I72" s="357"/>
      <c r="J72" s="357"/>
      <c r="K72" s="357"/>
      <c r="L72" s="357"/>
      <c r="M72" s="357"/>
    </row>
    <row r="73" customFormat="false" ht="13.8" hidden="false" customHeight="false" outlineLevel="0" collapsed="false">
      <c r="A73" s="346"/>
      <c r="B73" s="346"/>
      <c r="C73" s="346"/>
      <c r="D73" s="346"/>
      <c r="E73" s="346"/>
      <c r="F73" s="346"/>
      <c r="G73" s="384"/>
      <c r="H73" s="357"/>
      <c r="I73" s="357"/>
      <c r="J73" s="357"/>
      <c r="K73" s="357"/>
      <c r="L73" s="357"/>
      <c r="M73" s="357"/>
    </row>
    <row r="74" customFormat="false" ht="13.8" hidden="false" customHeight="false" outlineLevel="0" collapsed="false">
      <c r="A74" s="346"/>
      <c r="B74" s="346"/>
      <c r="C74" s="346"/>
      <c r="D74" s="346"/>
      <c r="E74" s="346"/>
      <c r="F74" s="346"/>
      <c r="G74" s="384"/>
      <c r="H74" s="357"/>
      <c r="I74" s="357"/>
      <c r="J74" s="357"/>
      <c r="K74" s="357"/>
      <c r="L74" s="357"/>
      <c r="M74" s="357"/>
    </row>
    <row r="75" customFormat="false" ht="13.8" hidden="false" customHeight="false" outlineLevel="0" collapsed="false">
      <c r="A75" s="346"/>
      <c r="B75" s="346"/>
      <c r="C75" s="346"/>
      <c r="D75" s="346"/>
      <c r="E75" s="346"/>
      <c r="F75" s="346"/>
      <c r="G75" s="384"/>
      <c r="H75" s="357"/>
      <c r="I75" s="357"/>
      <c r="J75" s="357"/>
      <c r="K75" s="357"/>
      <c r="L75" s="357"/>
      <c r="M75" s="357"/>
    </row>
    <row r="76" customFormat="false" ht="13.8" hidden="false" customHeight="false" outlineLevel="0" collapsed="false">
      <c r="A76" s="346"/>
      <c r="B76" s="346"/>
      <c r="C76" s="346"/>
      <c r="D76" s="346"/>
      <c r="E76" s="346"/>
      <c r="F76" s="346"/>
      <c r="G76" s="384"/>
      <c r="H76" s="357"/>
      <c r="I76" s="357"/>
      <c r="J76" s="357"/>
      <c r="K76" s="357"/>
      <c r="L76" s="357"/>
      <c r="M76" s="357"/>
    </row>
    <row r="77" customFormat="false" ht="13.8" hidden="false" customHeight="false" outlineLevel="0" collapsed="false">
      <c r="A77" s="346"/>
      <c r="B77" s="346"/>
      <c r="C77" s="346"/>
      <c r="D77" s="346"/>
      <c r="E77" s="346"/>
      <c r="F77" s="346"/>
      <c r="G77" s="384"/>
      <c r="H77" s="357"/>
      <c r="I77" s="357"/>
      <c r="J77" s="357"/>
      <c r="K77" s="357"/>
      <c r="L77" s="357"/>
      <c r="M77" s="357"/>
    </row>
    <row r="78" customFormat="false" ht="13.8" hidden="false" customHeight="false" outlineLevel="0" collapsed="false">
      <c r="A78" s="346"/>
      <c r="B78" s="346"/>
      <c r="C78" s="346"/>
      <c r="D78" s="346"/>
      <c r="E78" s="346"/>
      <c r="F78" s="346"/>
      <c r="G78" s="384"/>
      <c r="H78" s="357"/>
      <c r="I78" s="357"/>
      <c r="J78" s="357"/>
      <c r="K78" s="357"/>
      <c r="L78" s="357"/>
      <c r="M78" s="357"/>
    </row>
    <row r="79" customFormat="false" ht="13.8" hidden="false" customHeight="false" outlineLevel="0" collapsed="false">
      <c r="A79" s="346"/>
      <c r="B79" s="346"/>
      <c r="C79" s="346"/>
      <c r="D79" s="346"/>
      <c r="E79" s="346"/>
      <c r="F79" s="346"/>
      <c r="G79" s="384"/>
      <c r="H79" s="357"/>
      <c r="I79" s="357"/>
      <c r="J79" s="357"/>
      <c r="K79" s="357"/>
      <c r="L79" s="357"/>
      <c r="M79" s="357"/>
    </row>
    <row r="80" customFormat="false" ht="13.8" hidden="false" customHeight="false" outlineLevel="0" collapsed="false">
      <c r="A80" s="346"/>
      <c r="B80" s="346"/>
      <c r="C80" s="346"/>
      <c r="D80" s="346"/>
      <c r="E80" s="346"/>
      <c r="F80" s="346"/>
      <c r="G80" s="384"/>
      <c r="H80" s="357"/>
      <c r="I80" s="357"/>
      <c r="J80" s="357"/>
      <c r="K80" s="357"/>
      <c r="L80" s="357"/>
      <c r="M80" s="357"/>
    </row>
    <row r="81" customFormat="false" ht="13.8" hidden="false" customHeight="false" outlineLevel="0" collapsed="false">
      <c r="A81" s="346"/>
      <c r="B81" s="346"/>
      <c r="C81" s="346"/>
      <c r="D81" s="346"/>
      <c r="E81" s="346"/>
      <c r="F81" s="346"/>
      <c r="G81" s="384"/>
      <c r="H81" s="357"/>
      <c r="I81" s="357"/>
      <c r="J81" s="357"/>
      <c r="K81" s="357"/>
      <c r="L81" s="357"/>
      <c r="M81" s="357"/>
    </row>
    <row r="82" customFormat="false" ht="13.8" hidden="false" customHeight="false" outlineLevel="0" collapsed="false">
      <c r="A82" s="346"/>
      <c r="B82" s="346"/>
      <c r="C82" s="346"/>
      <c r="D82" s="346"/>
      <c r="E82" s="346"/>
      <c r="F82" s="346"/>
      <c r="G82" s="384"/>
      <c r="H82" s="357"/>
      <c r="I82" s="357"/>
      <c r="J82" s="357"/>
      <c r="K82" s="357"/>
      <c r="L82" s="357"/>
      <c r="M82" s="357"/>
    </row>
    <row r="83" customFormat="false" ht="13.8" hidden="false" customHeight="false" outlineLevel="0" collapsed="false">
      <c r="A83" s="346"/>
      <c r="B83" s="346"/>
      <c r="C83" s="346"/>
      <c r="D83" s="346"/>
      <c r="E83" s="346"/>
      <c r="F83" s="346"/>
      <c r="G83" s="384"/>
      <c r="H83" s="357"/>
      <c r="I83" s="357"/>
      <c r="J83" s="357"/>
      <c r="K83" s="357"/>
      <c r="L83" s="357"/>
      <c r="M83" s="357"/>
    </row>
    <row r="84" customFormat="false" ht="13.8" hidden="false" customHeight="false" outlineLevel="0" collapsed="false">
      <c r="A84" s="346"/>
      <c r="B84" s="346"/>
      <c r="C84" s="346"/>
      <c r="D84" s="346"/>
      <c r="E84" s="346"/>
      <c r="F84" s="346"/>
      <c r="G84" s="384"/>
      <c r="H84" s="357"/>
      <c r="I84" s="357"/>
      <c r="J84" s="357"/>
      <c r="K84" s="357"/>
      <c r="L84" s="357"/>
      <c r="M84" s="357"/>
    </row>
    <row r="85" customFormat="false" ht="13.8" hidden="false" customHeight="false" outlineLevel="0" collapsed="false">
      <c r="A85" s="346"/>
      <c r="B85" s="346"/>
      <c r="C85" s="346"/>
      <c r="D85" s="346"/>
      <c r="E85" s="346"/>
      <c r="F85" s="346"/>
      <c r="G85" s="384"/>
      <c r="H85" s="357"/>
      <c r="I85" s="357"/>
      <c r="J85" s="357"/>
      <c r="K85" s="357"/>
      <c r="L85" s="357"/>
      <c r="M85" s="357"/>
    </row>
    <row r="86" customFormat="false" ht="13.8" hidden="false" customHeight="false" outlineLevel="0" collapsed="false">
      <c r="A86" s="346"/>
      <c r="B86" s="346"/>
      <c r="C86" s="346"/>
      <c r="D86" s="346"/>
      <c r="E86" s="346"/>
      <c r="F86" s="346"/>
      <c r="G86" s="384"/>
      <c r="H86" s="357"/>
      <c r="I86" s="357"/>
      <c r="J86" s="357"/>
      <c r="K86" s="357"/>
      <c r="L86" s="357"/>
      <c r="M86" s="357"/>
    </row>
    <row r="87" customFormat="false" ht="13.8" hidden="false" customHeight="false" outlineLevel="0" collapsed="false">
      <c r="A87" s="346"/>
      <c r="B87" s="346"/>
      <c r="C87" s="346"/>
      <c r="D87" s="346"/>
      <c r="E87" s="346"/>
      <c r="F87" s="346"/>
      <c r="G87" s="384"/>
      <c r="H87" s="357"/>
      <c r="I87" s="357"/>
      <c r="J87" s="357"/>
      <c r="K87" s="357"/>
      <c r="L87" s="357"/>
      <c r="M87" s="357"/>
    </row>
    <row r="88" customFormat="false" ht="13.8" hidden="false" customHeight="false" outlineLevel="0" collapsed="false">
      <c r="A88" s="346"/>
      <c r="B88" s="346"/>
      <c r="C88" s="346"/>
      <c r="D88" s="346"/>
      <c r="E88" s="346"/>
      <c r="F88" s="346"/>
      <c r="G88" s="384"/>
      <c r="H88" s="357"/>
      <c r="I88" s="357"/>
      <c r="J88" s="357"/>
      <c r="K88" s="357"/>
      <c r="L88" s="357"/>
      <c r="M88" s="357"/>
    </row>
    <row r="89" customFormat="false" ht="13.8" hidden="false" customHeight="false" outlineLevel="0" collapsed="false">
      <c r="A89" s="346"/>
      <c r="B89" s="346"/>
      <c r="C89" s="346"/>
      <c r="D89" s="346"/>
      <c r="E89" s="346"/>
      <c r="F89" s="346"/>
      <c r="G89" s="384"/>
      <c r="H89" s="357"/>
      <c r="I89" s="357"/>
      <c r="J89" s="357"/>
      <c r="K89" s="357"/>
      <c r="L89" s="357"/>
      <c r="M89" s="357"/>
    </row>
    <row r="90" customFormat="false" ht="13.8" hidden="false" customHeight="false" outlineLevel="0" collapsed="false">
      <c r="A90" s="346"/>
      <c r="B90" s="346"/>
      <c r="C90" s="346"/>
      <c r="D90" s="346"/>
      <c r="E90" s="346"/>
      <c r="F90" s="346"/>
      <c r="G90" s="384"/>
      <c r="H90" s="357"/>
      <c r="I90" s="357"/>
      <c r="J90" s="357"/>
      <c r="K90" s="357"/>
      <c r="L90" s="357"/>
      <c r="M90" s="357"/>
    </row>
    <row r="91" customFormat="false" ht="13.8" hidden="false" customHeight="false" outlineLevel="0" collapsed="false">
      <c r="A91" s="346"/>
      <c r="B91" s="346"/>
      <c r="C91" s="346"/>
      <c r="D91" s="346"/>
      <c r="E91" s="346"/>
      <c r="F91" s="346"/>
      <c r="G91" s="384"/>
      <c r="H91" s="357"/>
      <c r="I91" s="357"/>
      <c r="J91" s="357"/>
      <c r="K91" s="357"/>
      <c r="L91" s="357"/>
      <c r="M91" s="357"/>
    </row>
    <row r="92" customFormat="false" ht="13.8" hidden="false" customHeight="false" outlineLevel="0" collapsed="false">
      <c r="A92" s="346"/>
      <c r="B92" s="346"/>
      <c r="C92" s="346"/>
      <c r="D92" s="346"/>
      <c r="E92" s="346"/>
      <c r="F92" s="346"/>
      <c r="G92" s="384"/>
      <c r="H92" s="357"/>
      <c r="I92" s="357"/>
      <c r="J92" s="357"/>
      <c r="K92" s="357"/>
      <c r="L92" s="357"/>
      <c r="M92" s="357"/>
    </row>
    <row r="93" customFormat="false" ht="13.8" hidden="false" customHeight="false" outlineLevel="0" collapsed="false">
      <c r="A93" s="346"/>
      <c r="B93" s="346"/>
      <c r="C93" s="346"/>
      <c r="D93" s="346"/>
      <c r="E93" s="346"/>
      <c r="F93" s="346"/>
      <c r="G93" s="384"/>
      <c r="H93" s="357"/>
      <c r="I93" s="357"/>
      <c r="J93" s="357"/>
      <c r="K93" s="357"/>
      <c r="L93" s="357"/>
      <c r="M93" s="357"/>
    </row>
    <row r="94" customFormat="false" ht="13.8" hidden="false" customHeight="false" outlineLevel="0" collapsed="false">
      <c r="A94" s="346"/>
      <c r="B94" s="346"/>
      <c r="C94" s="346"/>
      <c r="D94" s="346"/>
      <c r="E94" s="346"/>
      <c r="F94" s="346"/>
      <c r="G94" s="384"/>
      <c r="H94" s="357"/>
      <c r="I94" s="357"/>
      <c r="J94" s="357"/>
      <c r="K94" s="357"/>
      <c r="L94" s="357"/>
      <c r="M94" s="357"/>
    </row>
    <row r="95" customFormat="false" ht="13.8" hidden="false" customHeight="false" outlineLevel="0" collapsed="false">
      <c r="A95" s="346"/>
      <c r="B95" s="346"/>
      <c r="C95" s="346"/>
      <c r="D95" s="346"/>
      <c r="E95" s="346"/>
      <c r="F95" s="346"/>
      <c r="G95" s="384"/>
      <c r="H95" s="357"/>
      <c r="I95" s="357"/>
      <c r="J95" s="357"/>
      <c r="K95" s="357"/>
      <c r="L95" s="357"/>
      <c r="M95" s="357"/>
    </row>
    <row r="96" customFormat="false" ht="13.8" hidden="false" customHeight="false" outlineLevel="0" collapsed="false">
      <c r="A96" s="346"/>
      <c r="B96" s="346"/>
      <c r="C96" s="346"/>
      <c r="D96" s="346"/>
      <c r="E96" s="346"/>
      <c r="F96" s="346"/>
      <c r="G96" s="384"/>
      <c r="H96" s="357"/>
      <c r="I96" s="357"/>
      <c r="J96" s="357"/>
      <c r="K96" s="357"/>
      <c r="L96" s="357"/>
      <c r="M96" s="357"/>
    </row>
    <row r="97" customFormat="false" ht="13.8" hidden="false" customHeight="false" outlineLevel="0" collapsed="false">
      <c r="A97" s="346"/>
      <c r="B97" s="346"/>
      <c r="C97" s="346"/>
      <c r="D97" s="346"/>
      <c r="E97" s="346"/>
      <c r="F97" s="346"/>
      <c r="G97" s="384"/>
      <c r="H97" s="357"/>
      <c r="I97" s="357"/>
      <c r="J97" s="357"/>
      <c r="K97" s="357"/>
      <c r="L97" s="357"/>
      <c r="M97" s="357"/>
    </row>
    <row r="98" customFormat="false" ht="13.8" hidden="false" customHeight="false" outlineLevel="0" collapsed="false">
      <c r="A98" s="346"/>
      <c r="B98" s="346"/>
      <c r="C98" s="346"/>
      <c r="D98" s="346"/>
      <c r="E98" s="346"/>
      <c r="F98" s="346"/>
      <c r="G98" s="384"/>
      <c r="H98" s="357"/>
      <c r="I98" s="357"/>
      <c r="J98" s="357"/>
      <c r="K98" s="357"/>
      <c r="L98" s="357"/>
      <c r="M98" s="357"/>
    </row>
    <row r="99" customFormat="false" ht="13.8" hidden="false" customHeight="false" outlineLevel="0" collapsed="false">
      <c r="A99" s="346"/>
      <c r="B99" s="346"/>
      <c r="C99" s="346"/>
      <c r="D99" s="346"/>
      <c r="E99" s="346"/>
      <c r="F99" s="346"/>
      <c r="G99" s="384"/>
      <c r="H99" s="357"/>
      <c r="I99" s="357"/>
      <c r="J99" s="357"/>
      <c r="K99" s="357"/>
      <c r="L99" s="357"/>
      <c r="M99" s="357"/>
    </row>
    <row r="100" customFormat="false" ht="13.8" hidden="false" customHeight="false" outlineLevel="0" collapsed="false">
      <c r="A100" s="346"/>
      <c r="B100" s="346"/>
      <c r="C100" s="346"/>
      <c r="D100" s="346"/>
      <c r="E100" s="346"/>
      <c r="F100" s="346"/>
      <c r="G100" s="384"/>
      <c r="H100" s="357"/>
      <c r="I100" s="357"/>
      <c r="J100" s="357"/>
      <c r="K100" s="357"/>
      <c r="L100" s="357"/>
      <c r="M100" s="357"/>
    </row>
    <row r="101" customFormat="false" ht="13.8" hidden="false" customHeight="false" outlineLevel="0" collapsed="false">
      <c r="A101" s="346"/>
      <c r="B101" s="346"/>
      <c r="C101" s="346"/>
      <c r="D101" s="346"/>
      <c r="E101" s="346"/>
      <c r="F101" s="346"/>
      <c r="G101" s="384"/>
      <c r="H101" s="357"/>
      <c r="I101" s="357"/>
      <c r="J101" s="357"/>
      <c r="K101" s="357"/>
      <c r="L101" s="357"/>
      <c r="M101" s="357"/>
    </row>
    <row r="102" customFormat="false" ht="13.8" hidden="false" customHeight="false" outlineLevel="0" collapsed="false">
      <c r="A102" s="346"/>
      <c r="B102" s="346"/>
      <c r="C102" s="346"/>
      <c r="D102" s="346"/>
      <c r="E102" s="346"/>
      <c r="F102" s="346"/>
      <c r="G102" s="384"/>
      <c r="H102" s="357"/>
      <c r="I102" s="357"/>
      <c r="J102" s="357"/>
      <c r="K102" s="357"/>
      <c r="L102" s="357"/>
      <c r="M102" s="357"/>
    </row>
    <row r="103" customFormat="false" ht="13.8" hidden="false" customHeight="false" outlineLevel="0" collapsed="false">
      <c r="A103" s="346"/>
      <c r="B103" s="346"/>
      <c r="C103" s="346"/>
      <c r="D103" s="346"/>
      <c r="E103" s="346"/>
      <c r="F103" s="346"/>
      <c r="G103" s="384"/>
      <c r="H103" s="357"/>
      <c r="I103" s="357"/>
      <c r="J103" s="357"/>
      <c r="K103" s="357"/>
      <c r="L103" s="357"/>
      <c r="M103" s="357"/>
    </row>
    <row r="104" customFormat="false" ht="13.8" hidden="false" customHeight="false" outlineLevel="0" collapsed="false">
      <c r="A104" s="346"/>
      <c r="B104" s="346"/>
      <c r="C104" s="346"/>
      <c r="D104" s="346"/>
      <c r="E104" s="346"/>
      <c r="F104" s="346"/>
      <c r="G104" s="384"/>
      <c r="H104" s="357"/>
      <c r="I104" s="357"/>
      <c r="J104" s="357"/>
      <c r="K104" s="357"/>
      <c r="L104" s="357"/>
      <c r="M104" s="357"/>
    </row>
    <row r="105" customFormat="false" ht="13.8" hidden="false" customHeight="false" outlineLevel="0" collapsed="false">
      <c r="A105" s="346"/>
      <c r="B105" s="346"/>
      <c r="C105" s="346"/>
      <c r="D105" s="346"/>
      <c r="E105" s="346"/>
      <c r="F105" s="346"/>
      <c r="G105" s="384"/>
      <c r="H105" s="357"/>
      <c r="I105" s="357"/>
      <c r="J105" s="357"/>
      <c r="K105" s="357"/>
      <c r="L105" s="357"/>
      <c r="M105" s="357"/>
    </row>
    <row r="106" customFormat="false" ht="13.8" hidden="false" customHeight="false" outlineLevel="0" collapsed="false">
      <c r="A106" s="346"/>
      <c r="B106" s="346"/>
      <c r="C106" s="346"/>
      <c r="D106" s="346"/>
      <c r="E106" s="346"/>
      <c r="F106" s="346"/>
      <c r="G106" s="384"/>
      <c r="H106" s="357"/>
      <c r="I106" s="357"/>
      <c r="J106" s="357"/>
      <c r="K106" s="357"/>
      <c r="L106" s="357"/>
      <c r="M106" s="357"/>
    </row>
    <row r="107" customFormat="false" ht="13.8" hidden="false" customHeight="false" outlineLevel="0" collapsed="false">
      <c r="A107" s="346"/>
      <c r="B107" s="346"/>
      <c r="C107" s="346"/>
      <c r="D107" s="346"/>
      <c r="E107" s="346"/>
      <c r="F107" s="346"/>
      <c r="G107" s="384"/>
      <c r="H107" s="357"/>
      <c r="I107" s="357"/>
      <c r="J107" s="357"/>
      <c r="K107" s="357"/>
      <c r="L107" s="357"/>
      <c r="M107" s="357"/>
    </row>
    <row r="108" customFormat="false" ht="13.8" hidden="false" customHeight="false" outlineLevel="0" collapsed="false">
      <c r="A108" s="346"/>
      <c r="B108" s="346"/>
      <c r="C108" s="346"/>
      <c r="D108" s="346"/>
      <c r="E108" s="346"/>
      <c r="F108" s="346"/>
      <c r="G108" s="384"/>
      <c r="H108" s="357"/>
      <c r="I108" s="357"/>
      <c r="J108" s="357"/>
      <c r="K108" s="357"/>
      <c r="L108" s="357"/>
      <c r="M108" s="357"/>
    </row>
    <row r="109" customFormat="false" ht="13.8" hidden="false" customHeight="false" outlineLevel="0" collapsed="false">
      <c r="A109" s="346"/>
      <c r="B109" s="346"/>
      <c r="C109" s="346"/>
      <c r="D109" s="346"/>
      <c r="E109" s="346"/>
      <c r="F109" s="346"/>
      <c r="G109" s="384"/>
      <c r="H109" s="357"/>
      <c r="I109" s="357"/>
      <c r="J109" s="357"/>
      <c r="K109" s="357"/>
      <c r="L109" s="357"/>
      <c r="M109" s="357"/>
    </row>
    <row r="110" customFormat="false" ht="13.8" hidden="false" customHeight="false" outlineLevel="0" collapsed="false">
      <c r="A110" s="346"/>
      <c r="B110" s="346"/>
      <c r="C110" s="346"/>
      <c r="D110" s="346"/>
      <c r="E110" s="346"/>
      <c r="F110" s="346"/>
      <c r="G110" s="384"/>
      <c r="H110" s="357"/>
      <c r="I110" s="357"/>
      <c r="J110" s="357"/>
      <c r="K110" s="357"/>
      <c r="L110" s="357"/>
      <c r="M110" s="357"/>
    </row>
    <row r="111" customFormat="false" ht="13.8" hidden="false" customHeight="false" outlineLevel="0" collapsed="false">
      <c r="A111" s="346"/>
      <c r="B111" s="346"/>
      <c r="C111" s="346"/>
      <c r="D111" s="346"/>
      <c r="E111" s="346"/>
      <c r="F111" s="346"/>
      <c r="G111" s="384"/>
      <c r="H111" s="357"/>
      <c r="I111" s="357"/>
      <c r="J111" s="357"/>
      <c r="K111" s="357"/>
      <c r="L111" s="357"/>
      <c r="M111" s="357"/>
    </row>
    <row r="112" customFormat="false" ht="13.8" hidden="false" customHeight="false" outlineLevel="0" collapsed="false">
      <c r="A112" s="346"/>
      <c r="B112" s="346"/>
      <c r="C112" s="346"/>
      <c r="D112" s="346"/>
      <c r="E112" s="346"/>
      <c r="F112" s="346"/>
      <c r="G112" s="384"/>
      <c r="H112" s="357"/>
      <c r="I112" s="357"/>
      <c r="J112" s="357"/>
      <c r="K112" s="357"/>
      <c r="L112" s="357"/>
      <c r="M112" s="357"/>
    </row>
    <row r="113" customFormat="false" ht="13.8" hidden="false" customHeight="false" outlineLevel="0" collapsed="false">
      <c r="A113" s="346"/>
      <c r="B113" s="346"/>
      <c r="C113" s="346"/>
      <c r="D113" s="346"/>
      <c r="E113" s="346"/>
      <c r="F113" s="346"/>
      <c r="G113" s="384"/>
      <c r="H113" s="357"/>
      <c r="I113" s="357"/>
      <c r="J113" s="357"/>
      <c r="K113" s="357"/>
      <c r="L113" s="357"/>
      <c r="M113" s="357"/>
    </row>
    <row r="114" customFormat="false" ht="13.8" hidden="false" customHeight="false" outlineLevel="0" collapsed="false">
      <c r="A114" s="346"/>
      <c r="B114" s="346"/>
      <c r="C114" s="346"/>
      <c r="D114" s="346"/>
      <c r="E114" s="346"/>
      <c r="F114" s="346"/>
      <c r="G114" s="384"/>
      <c r="H114" s="357"/>
      <c r="I114" s="357"/>
      <c r="J114" s="357"/>
      <c r="K114" s="357"/>
      <c r="L114" s="357"/>
      <c r="M114" s="357"/>
    </row>
    <row r="115" customFormat="false" ht="13.8" hidden="false" customHeight="false" outlineLevel="0" collapsed="false">
      <c r="A115" s="346"/>
      <c r="B115" s="346"/>
      <c r="C115" s="346"/>
      <c r="D115" s="346"/>
      <c r="E115" s="346"/>
      <c r="F115" s="346"/>
      <c r="G115" s="384"/>
      <c r="H115" s="357"/>
      <c r="I115" s="357"/>
      <c r="J115" s="357"/>
      <c r="K115" s="357"/>
      <c r="L115" s="357"/>
      <c r="M115" s="357"/>
    </row>
    <row r="116" customFormat="false" ht="13.8" hidden="false" customHeight="false" outlineLevel="0" collapsed="false">
      <c r="A116" s="346"/>
      <c r="B116" s="346"/>
      <c r="C116" s="346"/>
      <c r="D116" s="346"/>
      <c r="E116" s="346"/>
      <c r="F116" s="346"/>
      <c r="G116" s="384"/>
      <c r="H116" s="357"/>
      <c r="I116" s="357"/>
      <c r="J116" s="357"/>
      <c r="K116" s="357"/>
      <c r="L116" s="357"/>
      <c r="M116" s="357"/>
    </row>
    <row r="117" customFormat="false" ht="13.8" hidden="false" customHeight="false" outlineLevel="0" collapsed="false">
      <c r="A117" s="346"/>
      <c r="B117" s="346"/>
      <c r="C117" s="346"/>
      <c r="D117" s="346"/>
      <c r="E117" s="346"/>
      <c r="F117" s="346"/>
      <c r="G117" s="384"/>
      <c r="H117" s="357"/>
      <c r="I117" s="357"/>
      <c r="J117" s="357"/>
      <c r="K117" s="357"/>
      <c r="L117" s="357"/>
      <c r="M117" s="357"/>
    </row>
    <row r="118" customFormat="false" ht="13.8" hidden="false" customHeight="false" outlineLevel="0" collapsed="false">
      <c r="A118" s="346"/>
      <c r="B118" s="346"/>
      <c r="C118" s="346"/>
      <c r="D118" s="346"/>
      <c r="E118" s="346"/>
      <c r="F118" s="346"/>
      <c r="G118" s="384"/>
      <c r="H118" s="357"/>
      <c r="I118" s="357"/>
      <c r="J118" s="357"/>
      <c r="K118" s="357"/>
      <c r="L118" s="357"/>
      <c r="M118" s="357"/>
    </row>
    <row r="119" customFormat="false" ht="13.8" hidden="false" customHeight="false" outlineLevel="0" collapsed="false">
      <c r="A119" s="346"/>
      <c r="B119" s="346"/>
      <c r="C119" s="346"/>
      <c r="D119" s="346"/>
      <c r="E119" s="346"/>
      <c r="F119" s="346"/>
      <c r="G119" s="384"/>
      <c r="H119" s="357"/>
      <c r="I119" s="357"/>
      <c r="J119" s="357"/>
      <c r="K119" s="357"/>
      <c r="L119" s="357"/>
      <c r="M119" s="357"/>
    </row>
    <row r="120" customFormat="false" ht="13.8" hidden="false" customHeight="false" outlineLevel="0" collapsed="false">
      <c r="A120" s="346"/>
      <c r="B120" s="346"/>
      <c r="C120" s="346"/>
      <c r="D120" s="346"/>
      <c r="E120" s="346"/>
      <c r="F120" s="346"/>
      <c r="G120" s="384"/>
      <c r="H120" s="357"/>
      <c r="I120" s="357"/>
      <c r="J120" s="357"/>
      <c r="K120" s="357"/>
      <c r="L120" s="357"/>
      <c r="M120" s="357"/>
    </row>
    <row r="121" customFormat="false" ht="13.8" hidden="false" customHeight="false" outlineLevel="0" collapsed="false">
      <c r="A121" s="346"/>
      <c r="B121" s="346"/>
      <c r="C121" s="346"/>
      <c r="D121" s="346"/>
      <c r="E121" s="346"/>
      <c r="F121" s="346"/>
      <c r="G121" s="384"/>
      <c r="H121" s="357"/>
      <c r="I121" s="357"/>
      <c r="J121" s="357"/>
      <c r="K121" s="357"/>
      <c r="L121" s="357"/>
      <c r="M121" s="357"/>
    </row>
    <row r="122" customFormat="false" ht="13.8" hidden="false" customHeight="false" outlineLevel="0" collapsed="false">
      <c r="A122" s="346"/>
      <c r="B122" s="346"/>
      <c r="C122" s="346"/>
      <c r="D122" s="346"/>
      <c r="E122" s="346"/>
      <c r="F122" s="346"/>
      <c r="G122" s="384"/>
      <c r="H122" s="357"/>
      <c r="I122" s="357"/>
      <c r="J122" s="357"/>
      <c r="K122" s="357"/>
      <c r="L122" s="357"/>
      <c r="M122" s="357"/>
    </row>
    <row r="123" customFormat="false" ht="13.8" hidden="false" customHeight="false" outlineLevel="0" collapsed="false">
      <c r="A123" s="346"/>
      <c r="B123" s="346"/>
      <c r="C123" s="346"/>
      <c r="D123" s="346"/>
      <c r="E123" s="346"/>
      <c r="F123" s="346"/>
      <c r="G123" s="384"/>
      <c r="H123" s="357"/>
      <c r="I123" s="357"/>
      <c r="J123" s="357"/>
      <c r="K123" s="357"/>
      <c r="L123" s="357"/>
      <c r="M123" s="357"/>
    </row>
    <row r="124" customFormat="false" ht="13.8" hidden="false" customHeight="false" outlineLevel="0" collapsed="false">
      <c r="A124" s="346"/>
      <c r="B124" s="346"/>
      <c r="C124" s="346"/>
      <c r="D124" s="346"/>
      <c r="E124" s="346"/>
      <c r="F124" s="346"/>
      <c r="G124" s="384"/>
      <c r="H124" s="357"/>
      <c r="I124" s="357"/>
      <c r="J124" s="357"/>
      <c r="K124" s="357"/>
      <c r="L124" s="357"/>
      <c r="M124" s="357"/>
    </row>
    <row r="125" customFormat="false" ht="13.8" hidden="false" customHeight="false" outlineLevel="0" collapsed="false">
      <c r="A125" s="346"/>
      <c r="B125" s="346"/>
      <c r="C125" s="346"/>
      <c r="D125" s="346"/>
      <c r="E125" s="346"/>
      <c r="F125" s="346"/>
      <c r="G125" s="384"/>
      <c r="H125" s="357"/>
      <c r="I125" s="357"/>
      <c r="J125" s="357"/>
      <c r="K125" s="357"/>
      <c r="L125" s="357"/>
      <c r="M125" s="357"/>
    </row>
    <row r="126" customFormat="false" ht="13.8" hidden="false" customHeight="false" outlineLevel="0" collapsed="false">
      <c r="A126" s="346"/>
      <c r="B126" s="346"/>
      <c r="C126" s="346"/>
      <c r="D126" s="346"/>
      <c r="E126" s="346"/>
      <c r="F126" s="346"/>
      <c r="G126" s="384"/>
      <c r="H126" s="357"/>
      <c r="I126" s="357"/>
      <c r="J126" s="357"/>
      <c r="K126" s="357"/>
      <c r="L126" s="357"/>
      <c r="M126" s="357"/>
    </row>
    <row r="127" customFormat="false" ht="13.8" hidden="false" customHeight="false" outlineLevel="0" collapsed="false">
      <c r="A127" s="346"/>
      <c r="B127" s="346"/>
      <c r="C127" s="346"/>
      <c r="D127" s="346"/>
      <c r="E127" s="346"/>
      <c r="F127" s="346"/>
      <c r="G127" s="384"/>
      <c r="H127" s="357"/>
      <c r="I127" s="357"/>
      <c r="J127" s="357"/>
      <c r="K127" s="357"/>
      <c r="L127" s="357"/>
      <c r="M127" s="357"/>
    </row>
    <row r="128" customFormat="false" ht="13.8" hidden="false" customHeight="false" outlineLevel="0" collapsed="false">
      <c r="A128" s="346"/>
      <c r="B128" s="346"/>
      <c r="C128" s="346"/>
      <c r="D128" s="346"/>
      <c r="E128" s="346"/>
      <c r="F128" s="346"/>
      <c r="G128" s="384"/>
      <c r="H128" s="357"/>
      <c r="I128" s="357"/>
      <c r="J128" s="357"/>
      <c r="K128" s="357"/>
      <c r="L128" s="357"/>
      <c r="M128" s="357"/>
    </row>
    <row r="129" customFormat="false" ht="13.8" hidden="false" customHeight="false" outlineLevel="0" collapsed="false">
      <c r="A129" s="346"/>
      <c r="B129" s="346"/>
      <c r="C129" s="346"/>
      <c r="D129" s="346"/>
      <c r="E129" s="346"/>
      <c r="F129" s="346"/>
      <c r="G129" s="384"/>
      <c r="H129" s="357"/>
      <c r="I129" s="357"/>
      <c r="J129" s="357"/>
      <c r="K129" s="357"/>
      <c r="L129" s="357"/>
      <c r="M129" s="357"/>
    </row>
    <row r="130" customFormat="false" ht="13.8" hidden="false" customHeight="false" outlineLevel="0" collapsed="false">
      <c r="A130" s="346"/>
      <c r="B130" s="346"/>
      <c r="C130" s="346"/>
      <c r="D130" s="346"/>
      <c r="E130" s="346"/>
      <c r="F130" s="346"/>
      <c r="G130" s="384"/>
      <c r="H130" s="357"/>
      <c r="I130" s="357"/>
      <c r="J130" s="357"/>
      <c r="K130" s="357"/>
      <c r="L130" s="357"/>
      <c r="M130" s="357"/>
    </row>
    <row r="131" customFormat="false" ht="13.8" hidden="false" customHeight="false" outlineLevel="0" collapsed="false">
      <c r="A131" s="346"/>
      <c r="B131" s="346"/>
      <c r="C131" s="346"/>
      <c r="D131" s="346"/>
      <c r="E131" s="346"/>
      <c r="F131" s="346"/>
      <c r="G131" s="384"/>
      <c r="H131" s="357"/>
      <c r="I131" s="357"/>
      <c r="J131" s="357"/>
      <c r="K131" s="357"/>
      <c r="L131" s="357"/>
      <c r="M131" s="357"/>
    </row>
    <row r="132" customFormat="false" ht="13.8" hidden="false" customHeight="false" outlineLevel="0" collapsed="false">
      <c r="A132" s="346"/>
      <c r="B132" s="346"/>
      <c r="C132" s="346"/>
      <c r="D132" s="346"/>
      <c r="E132" s="346"/>
      <c r="F132" s="346"/>
      <c r="G132" s="384"/>
      <c r="H132" s="357"/>
      <c r="I132" s="357"/>
      <c r="J132" s="357"/>
      <c r="K132" s="357"/>
      <c r="L132" s="357"/>
      <c r="M132" s="357"/>
    </row>
    <row r="133" customFormat="false" ht="13.8" hidden="false" customHeight="false" outlineLevel="0" collapsed="false">
      <c r="A133" s="346"/>
      <c r="B133" s="346"/>
      <c r="C133" s="346"/>
      <c r="D133" s="346"/>
      <c r="E133" s="346"/>
      <c r="F133" s="346"/>
      <c r="G133" s="384"/>
      <c r="H133" s="357"/>
      <c r="I133" s="357"/>
      <c r="J133" s="357"/>
      <c r="K133" s="357"/>
      <c r="L133" s="357"/>
      <c r="M133" s="357"/>
    </row>
    <row r="134" customFormat="false" ht="13.8" hidden="false" customHeight="false" outlineLevel="0" collapsed="false">
      <c r="A134" s="346"/>
      <c r="B134" s="346"/>
      <c r="C134" s="346"/>
      <c r="D134" s="346"/>
      <c r="E134" s="346"/>
      <c r="F134" s="346"/>
      <c r="G134" s="384"/>
      <c r="H134" s="357"/>
      <c r="I134" s="357"/>
      <c r="J134" s="357"/>
      <c r="K134" s="357"/>
      <c r="L134" s="357"/>
      <c r="M134" s="357"/>
    </row>
    <row r="135" customFormat="false" ht="13.8" hidden="false" customHeight="false" outlineLevel="0" collapsed="false">
      <c r="A135" s="346"/>
      <c r="B135" s="346"/>
      <c r="C135" s="346"/>
      <c r="D135" s="346"/>
      <c r="E135" s="346"/>
      <c r="F135" s="346"/>
      <c r="G135" s="384"/>
      <c r="H135" s="357"/>
      <c r="I135" s="357"/>
      <c r="J135" s="357"/>
      <c r="K135" s="357"/>
      <c r="L135" s="357"/>
      <c r="M135" s="357"/>
    </row>
    <row r="136" customFormat="false" ht="13.8" hidden="false" customHeight="false" outlineLevel="0" collapsed="false">
      <c r="A136" s="346"/>
      <c r="B136" s="346"/>
      <c r="C136" s="346"/>
      <c r="D136" s="346"/>
      <c r="E136" s="346"/>
      <c r="F136" s="346"/>
      <c r="G136" s="384"/>
      <c r="H136" s="357"/>
      <c r="I136" s="357"/>
      <c r="J136" s="357"/>
      <c r="K136" s="357"/>
      <c r="L136" s="357"/>
      <c r="M136" s="357"/>
    </row>
    <row r="137" customFormat="false" ht="13.8" hidden="false" customHeight="false" outlineLevel="0" collapsed="false">
      <c r="A137" s="346"/>
      <c r="B137" s="346"/>
      <c r="C137" s="346"/>
      <c r="D137" s="346"/>
      <c r="E137" s="346"/>
      <c r="F137" s="346"/>
      <c r="G137" s="384"/>
      <c r="H137" s="357"/>
      <c r="I137" s="357"/>
      <c r="J137" s="357"/>
      <c r="K137" s="357"/>
      <c r="L137" s="357"/>
      <c r="M137" s="357"/>
    </row>
    <row r="138" customFormat="false" ht="13.8" hidden="false" customHeight="false" outlineLevel="0" collapsed="false">
      <c r="A138" s="346"/>
      <c r="B138" s="346"/>
      <c r="C138" s="346"/>
      <c r="D138" s="346"/>
      <c r="E138" s="346"/>
      <c r="F138" s="346"/>
      <c r="G138" s="384"/>
      <c r="H138" s="357"/>
      <c r="I138" s="357"/>
      <c r="J138" s="357"/>
      <c r="K138" s="357"/>
      <c r="L138" s="357"/>
      <c r="M138" s="357"/>
    </row>
    <row r="139" customFormat="false" ht="13.8" hidden="false" customHeight="false" outlineLevel="0" collapsed="false">
      <c r="A139" s="346"/>
      <c r="B139" s="346"/>
      <c r="C139" s="346"/>
      <c r="D139" s="346"/>
      <c r="E139" s="346"/>
      <c r="F139" s="346"/>
      <c r="G139" s="384"/>
      <c r="H139" s="357"/>
      <c r="I139" s="357"/>
      <c r="J139" s="357"/>
      <c r="K139" s="357"/>
      <c r="L139" s="357"/>
      <c r="M139" s="357"/>
    </row>
    <row r="140" customFormat="false" ht="13.8" hidden="false" customHeight="false" outlineLevel="0" collapsed="false">
      <c r="A140" s="346"/>
      <c r="B140" s="346"/>
      <c r="C140" s="346"/>
      <c r="D140" s="346"/>
      <c r="E140" s="346"/>
      <c r="F140" s="346"/>
      <c r="G140" s="384"/>
      <c r="H140" s="357"/>
      <c r="I140" s="357"/>
      <c r="J140" s="357"/>
      <c r="K140" s="357"/>
      <c r="L140" s="357"/>
      <c r="M140" s="357"/>
    </row>
    <row r="141" customFormat="false" ht="13.8" hidden="false" customHeight="false" outlineLevel="0" collapsed="false">
      <c r="A141" s="346"/>
      <c r="B141" s="346"/>
      <c r="C141" s="346"/>
      <c r="D141" s="346"/>
      <c r="E141" s="346"/>
      <c r="F141" s="346"/>
      <c r="G141" s="384"/>
      <c r="H141" s="357"/>
      <c r="I141" s="357"/>
      <c r="J141" s="357"/>
      <c r="K141" s="357"/>
      <c r="L141" s="357"/>
      <c r="M141" s="357"/>
    </row>
    <row r="142" customFormat="false" ht="13.8" hidden="false" customHeight="false" outlineLevel="0" collapsed="false">
      <c r="A142" s="346"/>
      <c r="B142" s="346"/>
      <c r="C142" s="346"/>
      <c r="D142" s="346"/>
      <c r="E142" s="346"/>
      <c r="F142" s="346"/>
      <c r="G142" s="384"/>
      <c r="H142" s="357"/>
      <c r="I142" s="357"/>
      <c r="J142" s="357"/>
      <c r="K142" s="357"/>
      <c r="L142" s="357"/>
      <c r="M142" s="357"/>
    </row>
    <row r="143" customFormat="false" ht="13.8" hidden="false" customHeight="false" outlineLevel="0" collapsed="false">
      <c r="A143" s="346"/>
      <c r="B143" s="346"/>
      <c r="C143" s="346"/>
      <c r="D143" s="346"/>
      <c r="E143" s="346"/>
      <c r="F143" s="346"/>
      <c r="G143" s="384"/>
      <c r="H143" s="357"/>
      <c r="I143" s="357"/>
      <c r="J143" s="357"/>
      <c r="K143" s="357"/>
      <c r="L143" s="357"/>
      <c r="M143" s="357"/>
    </row>
    <row r="144" customFormat="false" ht="13.8" hidden="false" customHeight="false" outlineLevel="0" collapsed="false">
      <c r="A144" s="346"/>
      <c r="B144" s="346"/>
      <c r="C144" s="346"/>
      <c r="D144" s="346"/>
      <c r="E144" s="346"/>
      <c r="F144" s="346"/>
      <c r="G144" s="384"/>
      <c r="H144" s="357"/>
      <c r="I144" s="357"/>
      <c r="J144" s="357"/>
      <c r="K144" s="357"/>
      <c r="L144" s="357"/>
      <c r="M144" s="357"/>
    </row>
    <row r="145" customFormat="false" ht="13.8" hidden="false" customHeight="false" outlineLevel="0" collapsed="false">
      <c r="A145" s="346"/>
      <c r="B145" s="346"/>
      <c r="C145" s="346"/>
      <c r="D145" s="346"/>
      <c r="E145" s="346"/>
      <c r="F145" s="346"/>
      <c r="G145" s="384"/>
      <c r="H145" s="357"/>
      <c r="I145" s="357"/>
      <c r="J145" s="357"/>
      <c r="K145" s="357"/>
      <c r="L145" s="357"/>
      <c r="M145" s="357"/>
    </row>
    <row r="146" customFormat="false" ht="13.8" hidden="false" customHeight="false" outlineLevel="0" collapsed="false">
      <c r="A146" s="346"/>
      <c r="B146" s="346"/>
      <c r="C146" s="346"/>
      <c r="D146" s="346"/>
      <c r="E146" s="346"/>
      <c r="F146" s="346"/>
      <c r="G146" s="384"/>
      <c r="H146" s="357"/>
      <c r="I146" s="357"/>
      <c r="J146" s="357"/>
      <c r="K146" s="357"/>
      <c r="L146" s="357"/>
      <c r="M146" s="357"/>
    </row>
    <row r="1048576" customFormat="false" ht="12.8" hidden="false" customHeight="false" outlineLevel="0" collapsed="false"/>
  </sheetData>
  <autoFilter ref="A1:M44"/>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40"/>
  <sheetViews>
    <sheetView showFormulas="false" showGridLines="true" showRowColHeaders="true" showZeros="true" rightToLeft="false" tabSelected="false" showOutlineSymbols="true" defaultGridColor="true" view="normal" topLeftCell="D4" colorId="64" zoomScale="75" zoomScaleNormal="75" zoomScalePageLayoutView="100" workbookViewId="0">
      <selection pane="topLeft" activeCell="M20" activeCellId="0" sqref="M20"/>
    </sheetView>
  </sheetViews>
  <sheetFormatPr defaultColWidth="9.1484375" defaultRowHeight="18.75" customHeight="false" zeroHeight="false" outlineLevelRow="0" outlineLevelCol="0"/>
  <cols>
    <col collapsed="false" customWidth="true" hidden="false" outlineLevel="0" max="1" min="1" style="110" width="25.71"/>
    <col collapsed="false" customWidth="true" hidden="false" outlineLevel="0" max="8" min="2" style="110" width="20.14"/>
    <col collapsed="false" customWidth="true" hidden="false" outlineLevel="0" max="9" min="9" style="110" width="21.14"/>
    <col collapsed="false" customWidth="true" hidden="false" outlineLevel="0" max="10" min="10" style="110" width="20.14"/>
    <col collapsed="false" customWidth="true" hidden="false" outlineLevel="0" max="11" min="11" style="110" width="21.14"/>
    <col collapsed="false" customWidth="true" hidden="false" outlineLevel="0" max="13" min="12" style="110" width="15.71"/>
    <col collapsed="false" customWidth="true" hidden="false" outlineLevel="0" max="14" min="14" style="110" width="23.14"/>
    <col collapsed="false" customWidth="true" hidden="false" outlineLevel="0" max="15" min="15" style="110" width="22.15"/>
    <col collapsed="false" customWidth="true" hidden="false" outlineLevel="0" max="16" min="16" style="110" width="18.29"/>
    <col collapsed="false" customWidth="true" hidden="false" outlineLevel="0" max="17" min="17" style="110" width="22.71"/>
    <col collapsed="false" customWidth="false" hidden="false" outlineLevel="0" max="16384" min="18" style="110" width="9.14"/>
  </cols>
  <sheetData>
    <row r="1" customFormat="false" ht="18.75" hidden="false" customHeight="false" outlineLevel="0" collapsed="false">
      <c r="A1" s="111"/>
    </row>
    <row r="3" customFormat="false" ht="18.75" hidden="false" customHeight="false" outlineLevel="0" collapsed="false">
      <c r="A3" s="385" t="s">
        <v>994</v>
      </c>
      <c r="B3" s="386"/>
      <c r="C3" s="386"/>
      <c r="D3" s="386"/>
      <c r="E3" s="386"/>
      <c r="F3" s="386"/>
      <c r="G3" s="386"/>
      <c r="H3" s="386"/>
      <c r="I3" s="386"/>
      <c r="J3" s="386"/>
      <c r="K3" s="386"/>
      <c r="L3" s="386"/>
      <c r="M3" s="386"/>
    </row>
    <row r="5" customFormat="false" ht="18.75" hidden="false" customHeight="true" outlineLevel="0" collapsed="false">
      <c r="A5" s="162" t="s">
        <v>161</v>
      </c>
      <c r="B5" s="387" t="s">
        <v>995</v>
      </c>
      <c r="C5" s="387"/>
      <c r="D5" s="387"/>
      <c r="E5" s="387"/>
      <c r="F5" s="387"/>
      <c r="G5" s="388" t="s">
        <v>996</v>
      </c>
      <c r="H5" s="388"/>
      <c r="I5" s="388"/>
      <c r="J5" s="388"/>
      <c r="K5" s="388"/>
      <c r="N5" s="113"/>
      <c r="O5" s="113"/>
      <c r="P5" s="113"/>
    </row>
    <row r="6" customFormat="false" ht="32.8" hidden="false" customHeight="false" outlineLevel="0" collapsed="false">
      <c r="A6" s="162"/>
      <c r="B6" s="389" t="s">
        <v>90</v>
      </c>
      <c r="C6" s="389" t="s">
        <v>997</v>
      </c>
      <c r="D6" s="389" t="s">
        <v>9</v>
      </c>
      <c r="E6" s="389" t="s">
        <v>998</v>
      </c>
      <c r="F6" s="389" t="s">
        <v>999</v>
      </c>
      <c r="G6" s="390" t="s">
        <v>90</v>
      </c>
      <c r="H6" s="390" t="s">
        <v>997</v>
      </c>
      <c r="I6" s="390" t="s">
        <v>9</v>
      </c>
      <c r="J6" s="390" t="s">
        <v>998</v>
      </c>
      <c r="K6" s="390" t="s">
        <v>1000</v>
      </c>
      <c r="N6" s="113"/>
      <c r="O6" s="113"/>
      <c r="P6" s="113"/>
    </row>
    <row r="7" customFormat="false" ht="18.75" hidden="false" customHeight="false" outlineLevel="0" collapsed="false">
      <c r="A7" s="391" t="s">
        <v>2</v>
      </c>
      <c r="B7" s="392" t="n">
        <f aca="false">TH_2026!C17</f>
        <v>11400000000</v>
      </c>
      <c r="C7" s="393" t="n">
        <f aca="false">SUM(TH_2026!C5:C7)</f>
        <v>2850000000</v>
      </c>
      <c r="D7" s="153" t="n">
        <f aca="false">SUM(TH_2026!E5:E7)</f>
        <v>2987392135</v>
      </c>
      <c r="E7" s="154" t="n">
        <f aca="false">D7/C7</f>
        <v>1.04820776666667</v>
      </c>
      <c r="F7" s="154" t="n">
        <f aca="false">D7/B7</f>
        <v>0.262051941666667</v>
      </c>
      <c r="G7" s="393" t="n">
        <f aca="false">TH_2026!C35</f>
        <v>11400000000</v>
      </c>
      <c r="H7" s="153" t="n">
        <f aca="false">SUM(TH_2026!C23:C25)</f>
        <v>2850000000</v>
      </c>
      <c r="I7" s="153" t="n">
        <f aca="false">SUM(TH_2026!E23:E25)</f>
        <v>2987392135</v>
      </c>
      <c r="J7" s="154" t="n">
        <f aca="false">I7/H7</f>
        <v>1.04820776666667</v>
      </c>
      <c r="K7" s="154" t="n">
        <f aca="false">I7/G7</f>
        <v>0.262051941666667</v>
      </c>
    </row>
    <row r="8" customFormat="false" ht="18.75" hidden="false" customHeight="false" outlineLevel="0" collapsed="false">
      <c r="A8" s="391" t="s">
        <v>3</v>
      </c>
      <c r="B8" s="392" t="n">
        <f aca="false">TH_2026!F17</f>
        <v>10100000000</v>
      </c>
      <c r="C8" s="393" t="n">
        <f aca="false">SUM(TH_2026!F5:F7)</f>
        <v>1242200000</v>
      </c>
      <c r="D8" s="153" t="n">
        <f aca="false">SUM(TH_2026!H5:H7)</f>
        <v>310740000</v>
      </c>
      <c r="E8" s="154" t="n">
        <f aca="false">D8/C8</f>
        <v>0.250152954435679</v>
      </c>
      <c r="F8" s="154" t="n">
        <f aca="false">D8/B8</f>
        <v>0.0307663366336634</v>
      </c>
      <c r="G8" s="393" t="n">
        <f aca="false">TH_2026!F35</f>
        <v>9300000000</v>
      </c>
      <c r="H8" s="153" t="n">
        <f aca="false">SUM(TH_2026!F23:F25)</f>
        <v>1651000000</v>
      </c>
      <c r="I8" s="153" t="n">
        <f aca="false">SUM(TH_2026!I23:I25)</f>
        <v>1045092000</v>
      </c>
      <c r="J8" s="154" t="n">
        <f aca="false">I8/H8</f>
        <v>0.633005451241672</v>
      </c>
      <c r="K8" s="154" t="n">
        <f aca="false">I8/G8</f>
        <v>0.112375483870968</v>
      </c>
    </row>
    <row r="9" customFormat="false" ht="18.75" hidden="false" customHeight="false" outlineLevel="0" collapsed="false">
      <c r="A9" s="391" t="s">
        <v>5</v>
      </c>
      <c r="B9" s="392" t="n">
        <f aca="false">TH_2026!I17</f>
        <v>10000000000</v>
      </c>
      <c r="C9" s="393" t="n">
        <f aca="false">SUM(TH_2026!I5:I7)</f>
        <v>2066000000</v>
      </c>
      <c r="D9" s="153" t="n">
        <f aca="false">SUM(TH_2026!K5:K7)</f>
        <v>1843791000</v>
      </c>
      <c r="E9" s="154" t="n">
        <f aca="false">D9/C9</f>
        <v>0.892444820909971</v>
      </c>
      <c r="F9" s="154" t="n">
        <f aca="false">D9/B9</f>
        <v>0.1843791</v>
      </c>
      <c r="G9" s="393" t="n">
        <f aca="false">TH_2026!J35</f>
        <v>9300000000</v>
      </c>
      <c r="H9" s="153" t="n">
        <f aca="false">SUM(TH_2026!J23:J25)</f>
        <v>2175000000</v>
      </c>
      <c r="I9" s="153" t="n">
        <f aca="false">SUM(TH_2026!M23:M25)</f>
        <v>262532400</v>
      </c>
      <c r="J9" s="154" t="n">
        <f aca="false">I9/H9</f>
        <v>0.120704551724138</v>
      </c>
      <c r="K9" s="154" t="n">
        <f aca="false">I9/G9</f>
        <v>0.0282292903225806</v>
      </c>
    </row>
    <row r="10" customFormat="false" ht="18.75" hidden="false" customHeight="false" outlineLevel="0" collapsed="false">
      <c r="A10" s="142" t="s">
        <v>1001</v>
      </c>
      <c r="B10" s="394" t="n">
        <f aca="false">SUM(B7:B9)</f>
        <v>31500000000</v>
      </c>
      <c r="C10" s="394" t="n">
        <f aca="false">SUM(C7:C9)</f>
        <v>6158200000</v>
      </c>
      <c r="D10" s="394" t="n">
        <f aca="false">SUM(D7:D9)</f>
        <v>5141923135</v>
      </c>
      <c r="E10" s="395" t="n">
        <f aca="false">D10/C10</f>
        <v>0.83497176691241</v>
      </c>
      <c r="F10" s="395" t="n">
        <f aca="false">D10/B10</f>
        <v>0.163235655079365</v>
      </c>
      <c r="G10" s="396" t="n">
        <f aca="false">SUM(G7:G9)</f>
        <v>30000000000</v>
      </c>
      <c r="H10" s="397" t="n">
        <f aca="false">SUM(H7:H9)</f>
        <v>6676000000</v>
      </c>
      <c r="I10" s="397" t="n">
        <f aca="false">SUM(I7:I9)</f>
        <v>4295016535</v>
      </c>
      <c r="J10" s="398" t="n">
        <f aca="false">I10/H10</f>
        <v>0.643351787747154</v>
      </c>
      <c r="K10" s="398" t="n">
        <f aca="false">I10/G10</f>
        <v>0.143167217833333</v>
      </c>
      <c r="N10" s="133"/>
      <c r="O10" s="113"/>
    </row>
    <row r="13" customFormat="false" ht="18.75" hidden="false" customHeight="false" outlineLevel="0" collapsed="false">
      <c r="A13" s="385" t="s">
        <v>1002</v>
      </c>
      <c r="B13" s="386"/>
      <c r="C13" s="386"/>
      <c r="D13" s="386"/>
      <c r="E13" s="386"/>
      <c r="F13" s="386"/>
      <c r="G13" s="386"/>
      <c r="H13" s="386"/>
      <c r="I13" s="386"/>
      <c r="J13" s="386"/>
      <c r="K13" s="386"/>
      <c r="L13" s="386"/>
      <c r="M13" s="386"/>
    </row>
    <row r="15" customFormat="false" ht="18.75" hidden="false" customHeight="true" outlineLevel="0" collapsed="false">
      <c r="A15" s="162" t="s">
        <v>161</v>
      </c>
      <c r="B15" s="387" t="s">
        <v>995</v>
      </c>
      <c r="C15" s="387"/>
      <c r="D15" s="387"/>
      <c r="E15" s="387"/>
      <c r="F15" s="387"/>
      <c r="G15" s="387"/>
      <c r="H15" s="388" t="s">
        <v>996</v>
      </c>
      <c r="I15" s="388"/>
      <c r="J15" s="388"/>
      <c r="K15" s="388"/>
      <c r="L15" s="388"/>
      <c r="M15" s="388"/>
    </row>
    <row r="16" customFormat="false" ht="32.8" hidden="false" customHeight="false" outlineLevel="0" collapsed="false">
      <c r="A16" s="162"/>
      <c r="B16" s="389" t="s">
        <v>90</v>
      </c>
      <c r="C16" s="389" t="s">
        <v>997</v>
      </c>
      <c r="D16" s="389" t="s">
        <v>9</v>
      </c>
      <c r="E16" s="389" t="s">
        <v>1003</v>
      </c>
      <c r="F16" s="389" t="s">
        <v>998</v>
      </c>
      <c r="G16" s="389" t="s">
        <v>1000</v>
      </c>
      <c r="H16" s="390" t="s">
        <v>90</v>
      </c>
      <c r="I16" s="390" t="s">
        <v>997</v>
      </c>
      <c r="J16" s="390" t="s">
        <v>9</v>
      </c>
      <c r="K16" s="390" t="s">
        <v>1003</v>
      </c>
      <c r="L16" s="390" t="s">
        <v>998</v>
      </c>
      <c r="M16" s="390" t="s">
        <v>1000</v>
      </c>
    </row>
    <row r="17" customFormat="false" ht="18.75" hidden="false" customHeight="false" outlineLevel="0" collapsed="false">
      <c r="A17" s="391" t="s">
        <v>2</v>
      </c>
      <c r="B17" s="392" t="n">
        <f aca="false">B7</f>
        <v>11400000000</v>
      </c>
      <c r="C17" s="393" t="n">
        <f aca="false">SUM(TH_2026!C8:C10)</f>
        <v>2850000000</v>
      </c>
      <c r="D17" s="153" t="n">
        <f aca="false">SUM(TH_2026!$E$8:$E$10)</f>
        <v>2745934755</v>
      </c>
      <c r="E17" s="153" t="n">
        <f aca="false">$D7+$D17</f>
        <v>5733326890</v>
      </c>
      <c r="F17" s="154" t="n">
        <f aca="false">D17/C17</f>
        <v>0.963485878947368</v>
      </c>
      <c r="G17" s="154" t="n">
        <f aca="false">E17/B17</f>
        <v>0.502923411403509</v>
      </c>
      <c r="H17" s="393" t="n">
        <f aca="false">G7</f>
        <v>11400000000</v>
      </c>
      <c r="I17" s="153" t="n">
        <f aca="false">SUM('Tong hop (TH)'!C40:C42)</f>
        <v>2700000000</v>
      </c>
      <c r="J17" s="153" t="n">
        <f aca="false">SUM(TH_2026!E26:E28)</f>
        <v>2745934755</v>
      </c>
      <c r="K17" s="153" t="n">
        <f aca="false">I7+J17</f>
        <v>5733326890</v>
      </c>
      <c r="L17" s="154" t="n">
        <f aca="false">J17/I17</f>
        <v>1.01701287222222</v>
      </c>
      <c r="M17" s="154" t="n">
        <f aca="false">K17/H17</f>
        <v>0.502923411403509</v>
      </c>
    </row>
    <row r="18" customFormat="false" ht="18.75" hidden="false" customHeight="false" outlineLevel="0" collapsed="false">
      <c r="A18" s="391" t="s">
        <v>3</v>
      </c>
      <c r="B18" s="392" t="n">
        <f aca="false">B8</f>
        <v>10100000000</v>
      </c>
      <c r="C18" s="393" t="n">
        <f aca="false">SUM(TH_2026!F8:F10)</f>
        <v>3357800000</v>
      </c>
      <c r="D18" s="153" t="n">
        <f aca="false">SUM(TH_2026!$H$8:$H$10)</f>
        <v>3136825000</v>
      </c>
      <c r="E18" s="153" t="n">
        <f aca="false">D8+D18</f>
        <v>3447565000</v>
      </c>
      <c r="F18" s="154" t="n">
        <f aca="false">D18/C18</f>
        <v>0.934190541425934</v>
      </c>
      <c r="G18" s="154" t="n">
        <f aca="false">E18/B18</f>
        <v>0.341343069306931</v>
      </c>
      <c r="H18" s="393" t="n">
        <f aca="false">G8</f>
        <v>9300000000</v>
      </c>
      <c r="I18" s="153" t="n">
        <f aca="false">SUM('Tong hop (TH)'!F40:F42)</f>
        <v>2337756500</v>
      </c>
      <c r="J18" s="153" t="n">
        <f aca="false">SUM(TH_2026!I26:I28)</f>
        <v>1538759100</v>
      </c>
      <c r="K18" s="153" t="n">
        <f aca="false">I8+J18</f>
        <v>2583851100</v>
      </c>
      <c r="L18" s="154" t="n">
        <f aca="false">J18/I18</f>
        <v>0.65822043484854</v>
      </c>
      <c r="M18" s="154" t="n">
        <f aca="false">K18/H18</f>
        <v>0.277833451612903</v>
      </c>
    </row>
    <row r="19" customFormat="false" ht="18.75" hidden="false" customHeight="false" outlineLevel="0" collapsed="false">
      <c r="A19" s="391" t="s">
        <v>5</v>
      </c>
      <c r="B19" s="392" t="n">
        <f aca="false">B9</f>
        <v>10000000000</v>
      </c>
      <c r="C19" s="393" t="n">
        <f aca="false">SUM(TH_2026!I8:I10)</f>
        <v>2100000000</v>
      </c>
      <c r="D19" s="153" t="n">
        <f aca="false">SUM(TH_2026!K8:K10)</f>
        <v>230500000</v>
      </c>
      <c r="E19" s="153" t="n">
        <f aca="false">D9+D19</f>
        <v>2074291000</v>
      </c>
      <c r="F19" s="154" t="n">
        <f aca="false">D19/C19</f>
        <v>0.109761904761905</v>
      </c>
      <c r="G19" s="154" t="n">
        <f aca="false">E19/B19</f>
        <v>0.2074291</v>
      </c>
      <c r="H19" s="393" t="n">
        <f aca="false">G9</f>
        <v>9300000000</v>
      </c>
      <c r="I19" s="153" t="n">
        <f aca="false">SUM('Tong hop (TH)'!I40:I42)</f>
        <v>1087590800</v>
      </c>
      <c r="J19" s="153" t="n">
        <f aca="false">SUM(TH_2026!M26:M28)</f>
        <v>2300935911</v>
      </c>
      <c r="K19" s="153" t="n">
        <f aca="false">I9+J19</f>
        <v>2563468311</v>
      </c>
      <c r="L19" s="154" t="n">
        <f aca="false">J19/I19</f>
        <v>2.11562649389826</v>
      </c>
      <c r="M19" s="154" t="n">
        <f aca="false">K19/H19</f>
        <v>0.275641753870968</v>
      </c>
    </row>
    <row r="20" customFormat="false" ht="18.75" hidden="false" customHeight="false" outlineLevel="0" collapsed="false">
      <c r="A20" s="142" t="s">
        <v>494</v>
      </c>
      <c r="B20" s="394" t="n">
        <f aca="false">SUM(B17:B19)</f>
        <v>31500000000</v>
      </c>
      <c r="C20" s="394" t="n">
        <f aca="false">SUM(C17:C19)</f>
        <v>8307800000</v>
      </c>
      <c r="D20" s="394" t="n">
        <f aca="false">SUM(D17:D19)</f>
        <v>6113259755</v>
      </c>
      <c r="E20" s="394" t="n">
        <f aca="false">SUM(E17:E19)</f>
        <v>11255182890</v>
      </c>
      <c r="F20" s="395" t="n">
        <f aca="false">D20/C20</f>
        <v>0.73584580213775</v>
      </c>
      <c r="G20" s="395" t="n">
        <f aca="false">E20/B20</f>
        <v>0.357307393333333</v>
      </c>
      <c r="H20" s="396" t="n">
        <f aca="false">SUM(H17:H19)</f>
        <v>30000000000</v>
      </c>
      <c r="I20" s="397" t="n">
        <f aca="false">SUM(I17:I19)</f>
        <v>6125347300</v>
      </c>
      <c r="J20" s="397" t="n">
        <f aca="false">SUM(J17:J19)</f>
        <v>6585629766</v>
      </c>
      <c r="K20" s="397" t="n">
        <f aca="false">SUM(K17:K19)</f>
        <v>10880646301</v>
      </c>
      <c r="L20" s="398" t="n">
        <f aca="false">J20/I20</f>
        <v>1.07514389690198</v>
      </c>
      <c r="M20" s="398" t="n">
        <f aca="false">K20/H20</f>
        <v>0.362688210033333</v>
      </c>
    </row>
    <row r="21" customFormat="false" ht="18.75" hidden="false" customHeight="false" outlineLevel="0" collapsed="false">
      <c r="J21" s="118"/>
    </row>
    <row r="22" customFormat="false" ht="18.75" hidden="false" customHeight="false" outlineLevel="0" collapsed="false">
      <c r="J22" s="113"/>
    </row>
    <row r="23" customFormat="false" ht="18.75" hidden="false" customHeight="false" outlineLevel="0" collapsed="false">
      <c r="A23" s="385" t="s">
        <v>1004</v>
      </c>
      <c r="B23" s="386"/>
      <c r="C23" s="386"/>
      <c r="D23" s="386"/>
      <c r="E23" s="386"/>
      <c r="F23" s="386"/>
      <c r="G23" s="386"/>
      <c r="H23" s="386"/>
      <c r="I23" s="386"/>
      <c r="J23" s="386"/>
      <c r="K23" s="386"/>
      <c r="L23" s="386"/>
      <c r="M23" s="386"/>
    </row>
    <row r="25" customFormat="false" ht="18.75" hidden="false" customHeight="true" outlineLevel="0" collapsed="false">
      <c r="A25" s="162" t="s">
        <v>161</v>
      </c>
      <c r="B25" s="387" t="s">
        <v>995</v>
      </c>
      <c r="C25" s="387"/>
      <c r="D25" s="387"/>
      <c r="E25" s="387"/>
      <c r="F25" s="387"/>
      <c r="G25" s="387"/>
      <c r="H25" s="388" t="s">
        <v>996</v>
      </c>
      <c r="I25" s="388"/>
      <c r="J25" s="388"/>
      <c r="K25" s="388"/>
      <c r="L25" s="388"/>
      <c r="M25" s="388"/>
    </row>
    <row r="26" customFormat="false" ht="32.8" hidden="false" customHeight="false" outlineLevel="0" collapsed="false">
      <c r="A26" s="162"/>
      <c r="B26" s="389" t="s">
        <v>90</v>
      </c>
      <c r="C26" s="389" t="s">
        <v>997</v>
      </c>
      <c r="D26" s="389" t="s">
        <v>9</v>
      </c>
      <c r="E26" s="389" t="s">
        <v>1003</v>
      </c>
      <c r="F26" s="389" t="s">
        <v>998</v>
      </c>
      <c r="G26" s="389" t="s">
        <v>1000</v>
      </c>
      <c r="H26" s="390" t="s">
        <v>90</v>
      </c>
      <c r="I26" s="390" t="s">
        <v>997</v>
      </c>
      <c r="J26" s="390" t="s">
        <v>9</v>
      </c>
      <c r="K26" s="390" t="s">
        <v>1003</v>
      </c>
      <c r="L26" s="390" t="s">
        <v>998</v>
      </c>
      <c r="M26" s="390" t="s">
        <v>1000</v>
      </c>
    </row>
    <row r="27" customFormat="false" ht="18.75" hidden="false" customHeight="false" outlineLevel="0" collapsed="false">
      <c r="A27" s="391" t="s">
        <v>2</v>
      </c>
      <c r="B27" s="392" t="n">
        <f aca="false">B7</f>
        <v>11400000000</v>
      </c>
      <c r="C27" s="393" t="n">
        <f aca="false">SUM('Tong hop (TH)'!C11:C13)</f>
        <v>2700000000</v>
      </c>
      <c r="D27" s="153" t="n">
        <f aca="false">SUM('Tong hop (TH)'!E11:E13)</f>
        <v>0</v>
      </c>
      <c r="E27" s="153" t="n">
        <f aca="false">SUM('Tong hop (TH)'!E5:E13)</f>
        <v>0</v>
      </c>
      <c r="F27" s="154" t="n">
        <f aca="false">D27/C27</f>
        <v>0</v>
      </c>
      <c r="G27" s="154" t="n">
        <f aca="false">E27/B27</f>
        <v>0</v>
      </c>
      <c r="H27" s="393" t="n">
        <f aca="false">G7</f>
        <v>11400000000</v>
      </c>
      <c r="I27" s="153" t="n">
        <f aca="false">SUM('Tong hop (TH)'!C43:C45)</f>
        <v>2700000000</v>
      </c>
      <c r="J27" s="153" t="n">
        <f aca="false">SUM('Tong hop (TH)'!E43:E45)</f>
        <v>0</v>
      </c>
      <c r="K27" s="153" t="n">
        <f aca="false">SUM('Tong hop (TH)'!E37:E45)</f>
        <v>0</v>
      </c>
      <c r="L27" s="154" t="n">
        <f aca="false">J27/I27</f>
        <v>0</v>
      </c>
      <c r="M27" s="154" t="n">
        <f aca="false">K27/H27</f>
        <v>0</v>
      </c>
    </row>
    <row r="28" customFormat="false" ht="18.75" hidden="false" customHeight="false" outlineLevel="0" collapsed="false">
      <c r="A28" s="391" t="s">
        <v>3</v>
      </c>
      <c r="B28" s="392" t="n">
        <f aca="false">B8</f>
        <v>10100000000</v>
      </c>
      <c r="C28" s="393" t="n">
        <f aca="false">SUM('Tong hop (TH)'!F11:F13)</f>
        <v>0</v>
      </c>
      <c r="D28" s="153" t="n">
        <f aca="false">SUM('Tong hop (TH)'!H11:H13)</f>
        <v>0</v>
      </c>
      <c r="E28" s="153" t="n">
        <f aca="false">SUM('Tong hop (TH)'!H5:H13)</f>
        <v>0</v>
      </c>
      <c r="F28" s="154" t="e">
        <f aca="false">D28/C28</f>
        <v>#DIV/0!</v>
      </c>
      <c r="G28" s="154" t="n">
        <f aca="false">E28/B28</f>
        <v>0</v>
      </c>
      <c r="H28" s="393" t="n">
        <f aca="false">G8</f>
        <v>9300000000</v>
      </c>
      <c r="I28" s="153" t="n">
        <f aca="false">SUM('Tong hop (TH)'!F43:F45)</f>
        <v>2243824400</v>
      </c>
      <c r="J28" s="153" t="n">
        <f aca="false">SUM('Tong hop (TH)'!H43:H45)</f>
        <v>0</v>
      </c>
      <c r="K28" s="153" t="n">
        <f aca="false">SUM('Tong hop (TH)'!H37:H45)</f>
        <v>0</v>
      </c>
      <c r="L28" s="154" t="n">
        <f aca="false">J28/I28</f>
        <v>0</v>
      </c>
      <c r="M28" s="154" t="n">
        <f aca="false">K28/H28</f>
        <v>0</v>
      </c>
    </row>
    <row r="29" customFormat="false" ht="18.75" hidden="false" customHeight="false" outlineLevel="0" collapsed="false">
      <c r="A29" s="391" t="s">
        <v>5</v>
      </c>
      <c r="B29" s="392" t="n">
        <f aca="false">B9</f>
        <v>10000000000</v>
      </c>
      <c r="C29" s="393" t="n">
        <f aca="false">SUM('Tong hop (TH)'!I11:I13)</f>
        <v>0</v>
      </c>
      <c r="D29" s="153" t="n">
        <f aca="false">SUM('Tong hop (TH)'!K11:K13)</f>
        <v>0</v>
      </c>
      <c r="E29" s="153" t="n">
        <f aca="false">SUM('Tong hop (TH)'!K5:K13)</f>
        <v>0</v>
      </c>
      <c r="F29" s="154" t="e">
        <f aca="false">D29/C29</f>
        <v>#DIV/0!</v>
      </c>
      <c r="G29" s="154" t="n">
        <f aca="false">E29/B29</f>
        <v>0</v>
      </c>
      <c r="H29" s="393" t="n">
        <f aca="false">G9</f>
        <v>9300000000</v>
      </c>
      <c r="I29" s="153" t="n">
        <f aca="false">SUM('Tong hop (TH)'!I43:I45)</f>
        <v>3043373030</v>
      </c>
      <c r="J29" s="153" t="n">
        <f aca="false">SUM('Tong hop (TH)'!K43:K45)</f>
        <v>0</v>
      </c>
      <c r="K29" s="153" t="n">
        <f aca="false">SUM('Tong hop (TH)'!K37:K45)</f>
        <v>0</v>
      </c>
      <c r="L29" s="154" t="n">
        <f aca="false">J29/I29</f>
        <v>0</v>
      </c>
      <c r="M29" s="154" t="n">
        <f aca="false">K29/H29</f>
        <v>0</v>
      </c>
    </row>
    <row r="30" customFormat="false" ht="18.75" hidden="false" customHeight="false" outlineLevel="0" collapsed="false">
      <c r="A30" s="142" t="s">
        <v>494</v>
      </c>
      <c r="B30" s="394" t="n">
        <f aca="false">SUM(B27:B29)</f>
        <v>31500000000</v>
      </c>
      <c r="C30" s="394" t="n">
        <f aca="false">SUM(C27:C29)</f>
        <v>2700000000</v>
      </c>
      <c r="D30" s="394" t="n">
        <f aca="false">SUM(D27:D29)</f>
        <v>0</v>
      </c>
      <c r="E30" s="394" t="n">
        <f aca="false">SUM(E27:E29)</f>
        <v>0</v>
      </c>
      <c r="F30" s="395" t="n">
        <f aca="false">D30/C30</f>
        <v>0</v>
      </c>
      <c r="G30" s="395" t="n">
        <f aca="false">E30/B30</f>
        <v>0</v>
      </c>
      <c r="H30" s="396" t="n">
        <f aca="false">SUM(H27:H29)</f>
        <v>30000000000</v>
      </c>
      <c r="I30" s="397" t="n">
        <f aca="false">SUM(I27:I29)</f>
        <v>7987197430</v>
      </c>
      <c r="J30" s="397" t="n">
        <f aca="false">SUM(J27:J29)</f>
        <v>0</v>
      </c>
      <c r="K30" s="397" t="n">
        <f aca="false">SUM(K27:K29)</f>
        <v>0</v>
      </c>
      <c r="L30" s="398" t="n">
        <f aca="false">J30/I30</f>
        <v>0</v>
      </c>
      <c r="M30" s="398" t="n">
        <f aca="false">K30/H30</f>
        <v>0</v>
      </c>
    </row>
    <row r="33" customFormat="false" ht="18.75" hidden="false" customHeight="false" outlineLevel="0" collapsed="false">
      <c r="A33" s="385" t="s">
        <v>1005</v>
      </c>
      <c r="B33" s="386"/>
      <c r="C33" s="386"/>
      <c r="D33" s="386"/>
      <c r="E33" s="386"/>
      <c r="F33" s="386"/>
      <c r="G33" s="386"/>
      <c r="H33" s="386"/>
      <c r="I33" s="386"/>
      <c r="J33" s="386"/>
      <c r="K33" s="386"/>
      <c r="L33" s="386"/>
      <c r="M33" s="386"/>
    </row>
    <row r="35" customFormat="false" ht="18.75" hidden="false" customHeight="true" outlineLevel="0" collapsed="false">
      <c r="A35" s="162" t="s">
        <v>161</v>
      </c>
      <c r="B35" s="387" t="s">
        <v>995</v>
      </c>
      <c r="C35" s="387"/>
      <c r="D35" s="387"/>
      <c r="E35" s="387"/>
      <c r="F35" s="387"/>
      <c r="G35" s="387"/>
      <c r="H35" s="388" t="s">
        <v>996</v>
      </c>
      <c r="I35" s="388"/>
      <c r="J35" s="388"/>
      <c r="K35" s="388"/>
      <c r="L35" s="388"/>
      <c r="M35" s="388"/>
    </row>
    <row r="36" customFormat="false" ht="32.8" hidden="false" customHeight="false" outlineLevel="0" collapsed="false">
      <c r="A36" s="162"/>
      <c r="B36" s="389" t="s">
        <v>90</v>
      </c>
      <c r="C36" s="389" t="s">
        <v>997</v>
      </c>
      <c r="D36" s="389" t="s">
        <v>9</v>
      </c>
      <c r="E36" s="389" t="s">
        <v>1003</v>
      </c>
      <c r="F36" s="389" t="s">
        <v>998</v>
      </c>
      <c r="G36" s="389" t="s">
        <v>1000</v>
      </c>
      <c r="H36" s="390" t="s">
        <v>90</v>
      </c>
      <c r="I36" s="390" t="s">
        <v>997</v>
      </c>
      <c r="J36" s="390" t="s">
        <v>9</v>
      </c>
      <c r="K36" s="390" t="s">
        <v>1003</v>
      </c>
      <c r="L36" s="390" t="s">
        <v>998</v>
      </c>
      <c r="M36" s="390" t="s">
        <v>1000</v>
      </c>
    </row>
    <row r="37" customFormat="false" ht="18.75" hidden="false" customHeight="false" outlineLevel="0" collapsed="false">
      <c r="A37" s="391" t="s">
        <v>2</v>
      </c>
      <c r="B37" s="392" t="n">
        <f aca="false">B7</f>
        <v>11400000000</v>
      </c>
      <c r="C37" s="393" t="n">
        <f aca="false">SUM('Tong hop (TH)'!C14:C16)</f>
        <v>2700000000</v>
      </c>
      <c r="D37" s="153" t="n">
        <f aca="false">SUM('Tong hop (TH)'!E14:E16)</f>
        <v>0</v>
      </c>
      <c r="E37" s="153" t="n">
        <f aca="false">E27+D37</f>
        <v>0</v>
      </c>
      <c r="F37" s="154" t="n">
        <f aca="false">D37/C37</f>
        <v>0</v>
      </c>
      <c r="G37" s="154" t="n">
        <f aca="false">E37/B37</f>
        <v>0</v>
      </c>
      <c r="H37" s="393" t="n">
        <f aca="false">G7</f>
        <v>11400000000</v>
      </c>
      <c r="I37" s="153" t="n">
        <f aca="false">SUM('Tong hop (TH)'!C46:C48)</f>
        <v>2700000000</v>
      </c>
      <c r="J37" s="153" t="n">
        <f aca="false">SUM('Tong hop (TH)'!E46:E48)</f>
        <v>0</v>
      </c>
      <c r="K37" s="153" t="n">
        <f aca="false">K27+J37</f>
        <v>0</v>
      </c>
      <c r="L37" s="154" t="n">
        <f aca="false">J37/I37</f>
        <v>0</v>
      </c>
      <c r="M37" s="154" t="n">
        <f aca="false">K37/H37</f>
        <v>0</v>
      </c>
    </row>
    <row r="38" customFormat="false" ht="18.75" hidden="false" customHeight="false" outlineLevel="0" collapsed="false">
      <c r="A38" s="391" t="s">
        <v>3</v>
      </c>
      <c r="B38" s="392" t="n">
        <f aca="false">B8</f>
        <v>10100000000</v>
      </c>
      <c r="C38" s="393" t="n">
        <f aca="false">SUM('Tong hop (TH)'!F14:F16)</f>
        <v>0</v>
      </c>
      <c r="D38" s="153" t="n">
        <f aca="false">SUM('Tong hop (TH)'!H14:H16)</f>
        <v>0</v>
      </c>
      <c r="E38" s="153" t="n">
        <f aca="false">E28+D38</f>
        <v>0</v>
      </c>
      <c r="F38" s="154" t="e">
        <f aca="false">D38/C38</f>
        <v>#DIV/0!</v>
      </c>
      <c r="G38" s="154" t="n">
        <f aca="false">E38/B38</f>
        <v>0</v>
      </c>
      <c r="H38" s="393" t="n">
        <f aca="false">G8</f>
        <v>9300000000</v>
      </c>
      <c r="I38" s="153" t="n">
        <f aca="false">SUM('Tong hop (TH)'!F46:F48)</f>
        <v>4595846600</v>
      </c>
      <c r="J38" s="153" t="n">
        <f aca="false">SUM('Tong hop (TH)'!H46:H48)</f>
        <v>0</v>
      </c>
      <c r="K38" s="153" t="n">
        <f aca="false">K28+J38</f>
        <v>0</v>
      </c>
      <c r="L38" s="154" t="n">
        <f aca="false">J38/I38</f>
        <v>0</v>
      </c>
      <c r="M38" s="154" t="n">
        <f aca="false">K38/H38</f>
        <v>0</v>
      </c>
    </row>
    <row r="39" customFormat="false" ht="18.75" hidden="false" customHeight="false" outlineLevel="0" collapsed="false">
      <c r="A39" s="391" t="s">
        <v>5</v>
      </c>
      <c r="B39" s="392" t="n">
        <f aca="false">B9</f>
        <v>10000000000</v>
      </c>
      <c r="C39" s="393" t="n">
        <f aca="false">SUM('Tong hop (TH)'!I14:I16)</f>
        <v>0</v>
      </c>
      <c r="D39" s="153" t="n">
        <f aca="false">SUM('Tong hop (TH)'!K14:K16)</f>
        <v>0</v>
      </c>
      <c r="E39" s="153" t="n">
        <f aca="false">E29+D39</f>
        <v>0</v>
      </c>
      <c r="F39" s="154" t="e">
        <f aca="false">D39/C39</f>
        <v>#DIV/0!</v>
      </c>
      <c r="G39" s="154" t="n">
        <f aca="false">E39/B39</f>
        <v>0</v>
      </c>
      <c r="H39" s="393" t="n">
        <f aca="false">G9</f>
        <v>9300000000</v>
      </c>
      <c r="I39" s="153" t="n">
        <f aca="false">SUM('Tong hop (TH)'!I46:I48)</f>
        <v>4820750000</v>
      </c>
      <c r="J39" s="153" t="n">
        <f aca="false">SUM('Tong hop (TH)'!K46:K48)</f>
        <v>0</v>
      </c>
      <c r="K39" s="153" t="n">
        <f aca="false">K29+J39</f>
        <v>0</v>
      </c>
      <c r="L39" s="154" t="n">
        <f aca="false">J39/I39</f>
        <v>0</v>
      </c>
      <c r="M39" s="154" t="n">
        <f aca="false">K39/H39</f>
        <v>0</v>
      </c>
    </row>
    <row r="40" customFormat="false" ht="18.75" hidden="false" customHeight="false" outlineLevel="0" collapsed="false">
      <c r="A40" s="142" t="s">
        <v>494</v>
      </c>
      <c r="B40" s="394" t="n">
        <f aca="false">SUM(B37:B39)</f>
        <v>31500000000</v>
      </c>
      <c r="C40" s="394" t="n">
        <f aca="false">SUM(C37:C39)</f>
        <v>2700000000</v>
      </c>
      <c r="D40" s="394" t="n">
        <f aca="false">SUM(D37:D39)</f>
        <v>0</v>
      </c>
      <c r="E40" s="394" t="n">
        <f aca="false">SUM(E37:E39)</f>
        <v>0</v>
      </c>
      <c r="F40" s="395" t="n">
        <f aca="false">D40/B40</f>
        <v>0</v>
      </c>
      <c r="G40" s="395" t="n">
        <f aca="false">E40/B40</f>
        <v>0</v>
      </c>
      <c r="H40" s="396" t="n">
        <f aca="false">SUM(H37:H39)</f>
        <v>30000000000</v>
      </c>
      <c r="I40" s="397" t="n">
        <f aca="false">SUM(I37:I39)</f>
        <v>12116596600</v>
      </c>
      <c r="J40" s="397" t="n">
        <f aca="false">SUM(J37:J39)</f>
        <v>0</v>
      </c>
      <c r="K40" s="397" t="n">
        <f aca="false">SUM(K37:K39)</f>
        <v>0</v>
      </c>
      <c r="L40" s="398" t="n">
        <f aca="false">J40/I40</f>
        <v>0</v>
      </c>
      <c r="M40" s="398" t="n">
        <f aca="false">K40/H40</f>
        <v>0</v>
      </c>
    </row>
  </sheetData>
  <mergeCells count="11">
    <mergeCell ref="A5:A6"/>
    <mergeCell ref="B5:F5"/>
    <mergeCell ref="G5:K5"/>
    <mergeCell ref="B15:G15"/>
    <mergeCell ref="H15:M15"/>
    <mergeCell ref="A25:A26"/>
    <mergeCell ref="B25:G25"/>
    <mergeCell ref="H25:M25"/>
    <mergeCell ref="A35:A36"/>
    <mergeCell ref="B35:G35"/>
    <mergeCell ref="H35:M35"/>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441</TotalTime>
  <Application>LibreOffice/26.2.4.2$Windows_X86_64 LibreOffice_project/0229ac93fcf0d7cbc6376066c6f35021cef002dc</Application>
  <AppVersion>15.0000</AppVersion>
  <Company>CUSC</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2011-08-11T07:04:13Z</dcterms:created>
  <dc:creator>dnloan</dc:creator>
  <dc:description/>
  <dc:language>en-GB</dc:language>
  <cp:lastModifiedBy/>
  <cp:lastPrinted>2025-07-01T01:29:00Z</cp:lastPrinted>
  <dcterms:modified xsi:type="dcterms:W3CDTF">2026-09-22T11:05:02Z</dcterms:modified>
  <cp:revision>90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VS Team System Data DO NOT EDIT_GUID">
    <vt:lpwstr>ca12feaa-3361-4529-a22f-86051cdac1dc</vt:lpwstr>
  </property>
</Properties>
</file>