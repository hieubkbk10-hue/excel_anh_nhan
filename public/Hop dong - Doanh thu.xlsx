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filterPrivacy="1"/>
  <xr:revisionPtr revIDLastSave="0" documentId="13_ncr:1_{B128E01D-7251-4763-BA5F-C31F3859B4F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4" i="2" l="1"/>
  <c r="Q25" i="2"/>
  <c r="Q26" i="2"/>
  <c r="Q27" i="2"/>
  <c r="Q28" i="2"/>
  <c r="Q29" i="2"/>
  <c r="Q30" i="2"/>
  <c r="Q31" i="2"/>
  <c r="Q32" i="2"/>
  <c r="Q33" i="2"/>
  <c r="Q34" i="2"/>
  <c r="Q23" i="2"/>
  <c r="N17" i="2"/>
  <c r="N6" i="2"/>
  <c r="N7" i="2"/>
  <c r="N8" i="2"/>
  <c r="N9" i="2"/>
  <c r="N10" i="2"/>
  <c r="N11" i="2"/>
  <c r="N12" i="2"/>
  <c r="N13" i="2"/>
  <c r="N14" i="2"/>
  <c r="N15" i="2"/>
  <c r="N16" i="2"/>
  <c r="N5" i="2"/>
  <c r="M35" i="2"/>
  <c r="L35" i="2"/>
  <c r="K35" i="2"/>
  <c r="J35" i="2"/>
  <c r="H35" i="2"/>
  <c r="G35" i="2"/>
  <c r="O35" i="2" s="1"/>
  <c r="F35" i="2"/>
  <c r="E35" i="2"/>
  <c r="D35" i="2"/>
  <c r="K17" i="2"/>
  <c r="J17" i="2"/>
  <c r="I17" i="2"/>
  <c r="H17" i="2"/>
  <c r="G17" i="2"/>
  <c r="F17" i="2"/>
  <c r="E17" i="2"/>
  <c r="C17" i="2"/>
  <c r="I35" i="2" l="1"/>
  <c r="E18" i="2"/>
  <c r="P35" i="2"/>
  <c r="H18" i="2"/>
  <c r="L17" i="2"/>
  <c r="K18" i="2"/>
  <c r="M36" i="2"/>
  <c r="D17" i="2"/>
  <c r="M17" i="2" s="1"/>
  <c r="C35" i="2"/>
  <c r="N35" i="2" s="1"/>
  <c r="I36" i="2" l="1"/>
  <c r="Q35" i="2"/>
  <c r="Q36" i="2" s="1"/>
  <c r="E36" i="2"/>
  <c r="N18" i="2"/>
</calcChain>
</file>

<file path=xl/sharedStrings.xml><?xml version="1.0" encoding="utf-8"?>
<sst xmlns="http://schemas.openxmlformats.org/spreadsheetml/2006/main" count="70" uniqueCount="28">
  <si>
    <t>TỔNG HỢP THEO THÁNG</t>
  </si>
  <si>
    <t>HỢP ĐỒNG</t>
  </si>
  <si>
    <t>STT</t>
  </si>
  <si>
    <t>Tháng</t>
  </si>
  <si>
    <t>Nhóm ITO</t>
  </si>
  <si>
    <t>Nhóm UNI</t>
  </si>
  <si>
    <t>Nhóm G2B</t>
  </si>
  <si>
    <t>Thực tế</t>
  </si>
  <si>
    <t>Tháng 01</t>
  </si>
  <si>
    <t>Tháng 02</t>
  </si>
  <si>
    <t>Tháng 03</t>
  </si>
  <si>
    <t>Tháng 04</t>
  </si>
  <si>
    <t>Tháng 05</t>
  </si>
  <si>
    <t>Tháng 06</t>
  </si>
  <si>
    <t>Tháng 07</t>
  </si>
  <si>
    <t>Tháng 08</t>
  </si>
  <si>
    <t>Tháng 09</t>
  </si>
  <si>
    <t>Tháng 10</t>
  </si>
  <si>
    <t>Tháng 11</t>
  </si>
  <si>
    <t>Tháng 12</t>
  </si>
  <si>
    <t>Năm</t>
  </si>
  <si>
    <t>Tỷ lệ</t>
  </si>
  <si>
    <t>DOANH THU</t>
  </si>
  <si>
    <t>Đến hiện tại</t>
  </si>
  <si>
    <t>Kế hoạch</t>
  </si>
  <si>
    <t>BPPM (NĂM)</t>
  </si>
  <si>
    <t>Từ HĐ đã ký</t>
  </si>
  <si>
    <t>Từ HĐ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</si>
</sst>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1"/>
      <color indexed="8"/>
      <name val="Calibri"/>
      <family val="2"/>
    </font>
    <font>
      <sz val="10"/>
      <name val="Arial"/>
      <family val="2"/>
    </font>
    <font>
      <b/>
      <sz val="14"/>
      <color indexed="30"/>
      <name val="Times New Roman"/>
      <family val="1"/>
    </font>
    <font>
      <sz val="14"/>
      <name val="Times New Roman"/>
      <family val="1"/>
    </font>
    <font>
      <sz val="14"/>
      <color theme="0"/>
      <name val="Times New Roman"/>
      <family val="1"/>
    </font>
    <font>
      <sz val="14"/>
      <name val="Times New Roman"/>
      <family val="1"/>
      <charset val="163"/>
    </font>
    <font>
      <b/>
      <sz val="14"/>
      <name val="Times New Roman"/>
      <family val="1"/>
    </font>
    <font>
      <b/>
      <sz val="14"/>
      <color rgb="FF0070C0"/>
      <name val="Times New Roman"/>
      <family val="1"/>
    </font>
    <font>
      <sz val="14"/>
      <color rgb="FF0070C0"/>
      <name val="Times New Roman"/>
      <family val="1"/>
      <charset val="163"/>
    </font>
    <font>
      <b/>
      <sz val="14"/>
      <name val="Times New Roman"/>
      <family val="1"/>
      <charset val="163"/>
    </font>
    <font>
      <sz val="14"/>
      <color rgb="FF0070C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0" borderId="0"/>
    <xf numFmtId="43" fontId="4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9" fontId="3" fillId="0" borderId="0" xfId="1" applyFont="1" applyAlignment="1">
      <alignment vertical="top"/>
    </xf>
    <xf numFmtId="164" fontId="3" fillId="0" borderId="0" xfId="0" applyNumberFormat="1" applyFont="1" applyAlignment="1">
      <alignment vertical="top"/>
    </xf>
    <xf numFmtId="0" fontId="6" fillId="0" borderId="0" xfId="2" applyFont="1" applyAlignment="1">
      <alignment vertical="top"/>
    </xf>
    <xf numFmtId="0" fontId="7" fillId="0" borderId="0" xfId="2" applyFont="1" applyAlignment="1">
      <alignment vertical="top"/>
    </xf>
    <xf numFmtId="0" fontId="8" fillId="2" borderId="0" xfId="0" applyFont="1" applyFill="1" applyAlignment="1">
      <alignment vertical="top"/>
    </xf>
    <xf numFmtId="165" fontId="9" fillId="0" borderId="0" xfId="1" applyNumberFormat="1" applyFont="1" applyFill="1" applyBorder="1" applyAlignment="1">
      <alignment vertical="top"/>
    </xf>
    <xf numFmtId="9" fontId="7" fillId="0" borderId="0" xfId="1" applyFont="1" applyFill="1" applyAlignment="1">
      <alignment vertical="top"/>
    </xf>
    <xf numFmtId="164" fontId="7" fillId="0" borderId="0" xfId="2" applyNumberFormat="1" applyFont="1" applyAlignment="1">
      <alignment vertical="top"/>
    </xf>
    <xf numFmtId="165" fontId="7" fillId="0" borderId="0" xfId="1" applyNumberFormat="1" applyFont="1" applyFill="1" applyAlignment="1">
      <alignment vertical="top"/>
    </xf>
    <xf numFmtId="0" fontId="7" fillId="0" borderId="0" xfId="0" applyFont="1" applyAlignment="1">
      <alignment vertical="top"/>
    </xf>
    <xf numFmtId="0" fontId="10" fillId="3" borderId="6" xfId="2" applyFont="1" applyFill="1" applyBorder="1" applyAlignment="1">
      <alignment horizontal="center" vertical="top"/>
    </xf>
    <xf numFmtId="0" fontId="7" fillId="4" borderId="6" xfId="2" applyFont="1" applyFill="1" applyBorder="1" applyAlignment="1">
      <alignment horizontal="center" vertical="top"/>
    </xf>
    <xf numFmtId="0" fontId="7" fillId="4" borderId="6" xfId="2" applyFont="1" applyFill="1" applyBorder="1" applyAlignment="1">
      <alignment vertical="top"/>
    </xf>
    <xf numFmtId="164" fontId="7" fillId="5" borderId="6" xfId="3" applyNumberFormat="1" applyFont="1" applyFill="1" applyBorder="1" applyAlignment="1">
      <alignment vertical="top"/>
    </xf>
    <xf numFmtId="164" fontId="7" fillId="6" borderId="6" xfId="3" applyNumberFormat="1" applyFont="1" applyFill="1" applyBorder="1" applyAlignment="1">
      <alignment vertical="top"/>
    </xf>
    <xf numFmtId="164" fontId="7" fillId="7" borderId="6" xfId="3" applyNumberFormat="1" applyFont="1" applyFill="1" applyBorder="1" applyAlignment="1">
      <alignment vertical="top"/>
    </xf>
    <xf numFmtId="164" fontId="7" fillId="0" borderId="0" xfId="0" applyNumberFormat="1" applyFont="1" applyAlignment="1">
      <alignment vertical="top"/>
    </xf>
    <xf numFmtId="165" fontId="3" fillId="0" borderId="0" xfId="1" applyNumberFormat="1" applyFont="1" applyAlignment="1">
      <alignment vertical="top"/>
    </xf>
    <xf numFmtId="0" fontId="7" fillId="3" borderId="6" xfId="2" applyFont="1" applyFill="1" applyBorder="1" applyAlignment="1">
      <alignment horizontal="center" vertical="top"/>
    </xf>
    <xf numFmtId="0" fontId="10" fillId="3" borderId="6" xfId="2" applyFont="1" applyFill="1" applyBorder="1" applyAlignment="1">
      <alignment vertical="top"/>
    </xf>
    <xf numFmtId="164" fontId="10" fillId="3" borderId="6" xfId="3" applyNumberFormat="1" applyFont="1" applyFill="1" applyBorder="1" applyAlignment="1">
      <alignment vertical="top"/>
    </xf>
    <xf numFmtId="164" fontId="10" fillId="6" borderId="6" xfId="3" applyNumberFormat="1" applyFont="1" applyFill="1" applyBorder="1" applyAlignment="1">
      <alignment vertical="top"/>
    </xf>
    <xf numFmtId="164" fontId="2" fillId="6" borderId="6" xfId="3" applyNumberFormat="1" applyFont="1" applyFill="1" applyBorder="1" applyAlignment="1">
      <alignment vertical="top"/>
    </xf>
    <xf numFmtId="0" fontId="10" fillId="0" borderId="0" xfId="2" applyFont="1" applyAlignment="1">
      <alignment vertical="top"/>
    </xf>
    <xf numFmtId="164" fontId="11" fillId="0" borderId="0" xfId="2" applyNumberFormat="1" applyFont="1" applyAlignment="1">
      <alignment vertical="top"/>
    </xf>
    <xf numFmtId="165" fontId="12" fillId="0" borderId="0" xfId="1" applyNumberFormat="1" applyFont="1" applyFill="1" applyBorder="1" applyAlignment="1">
      <alignment vertical="top"/>
    </xf>
    <xf numFmtId="165" fontId="13" fillId="0" borderId="0" xfId="1" applyNumberFormat="1" applyFont="1" applyFill="1" applyBorder="1" applyAlignment="1">
      <alignment vertical="top"/>
    </xf>
    <xf numFmtId="0" fontId="14" fillId="0" borderId="0" xfId="0" applyFont="1" applyAlignment="1">
      <alignment vertical="top"/>
    </xf>
    <xf numFmtId="0" fontId="7" fillId="0" borderId="0" xfId="0" applyFont="1" applyAlignment="1">
      <alignment horizontal="right" vertical="top"/>
    </xf>
    <xf numFmtId="164" fontId="14" fillId="0" borderId="0" xfId="0" applyNumberFormat="1" applyFont="1" applyAlignment="1">
      <alignment vertical="top"/>
    </xf>
    <xf numFmtId="10" fontId="7" fillId="0" borderId="0" xfId="1" applyNumberFormat="1" applyFont="1" applyFill="1" applyAlignment="1">
      <alignment vertical="top"/>
    </xf>
    <xf numFmtId="164" fontId="7" fillId="8" borderId="6" xfId="3" applyNumberFormat="1" applyFont="1" applyFill="1" applyBorder="1" applyAlignment="1">
      <alignment vertical="top"/>
    </xf>
    <xf numFmtId="164" fontId="10" fillId="8" borderId="6" xfId="3" applyNumberFormat="1" applyFont="1" applyFill="1" applyBorder="1" applyAlignment="1">
      <alignment vertical="top"/>
    </xf>
    <xf numFmtId="16" fontId="7" fillId="0" borderId="0" xfId="0" quotePrefix="1" applyNumberFormat="1" applyFont="1" applyAlignment="1">
      <alignment vertical="top"/>
    </xf>
    <xf numFmtId="0" fontId="7" fillId="0" borderId="0" xfId="2" applyFont="1" applyAlignment="1">
      <alignment horizontal="center" vertical="top"/>
    </xf>
    <xf numFmtId="164" fontId="9" fillId="0" borderId="0" xfId="1" applyNumberFormat="1" applyFont="1" applyFill="1" applyBorder="1" applyAlignment="1">
      <alignment vertical="top"/>
    </xf>
    <xf numFmtId="165" fontId="14" fillId="0" borderId="0" xfId="1" applyNumberFormat="1" applyFont="1" applyFill="1" applyBorder="1" applyAlignment="1">
      <alignment horizontal="right" vertical="top"/>
    </xf>
    <xf numFmtId="165" fontId="14" fillId="0" borderId="0" xfId="1" applyNumberFormat="1" applyFont="1" applyFill="1" applyAlignment="1">
      <alignment vertical="top"/>
    </xf>
    <xf numFmtId="164" fontId="7" fillId="0" borderId="0" xfId="3" applyNumberFormat="1" applyFont="1" applyFill="1" applyAlignment="1">
      <alignment vertical="top"/>
    </xf>
    <xf numFmtId="164" fontId="9" fillId="0" borderId="0" xfId="3" applyNumberFormat="1" applyFont="1" applyFill="1" applyBorder="1" applyAlignment="1">
      <alignment vertical="top"/>
    </xf>
    <xf numFmtId="166" fontId="7" fillId="0" borderId="0" xfId="3" applyNumberFormat="1" applyFont="1" applyFill="1" applyBorder="1" applyAlignment="1">
      <alignment horizontal="center" vertical="top"/>
    </xf>
    <xf numFmtId="0" fontId="10" fillId="3" borderId="1" xfId="2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10" fillId="3" borderId="2" xfId="2" applyFont="1" applyFill="1" applyBorder="1" applyAlignment="1">
      <alignment horizontal="center" vertical="top"/>
    </xf>
    <xf numFmtId="0" fontId="10" fillId="3" borderId="3" xfId="2" applyFont="1" applyFill="1" applyBorder="1" applyAlignment="1">
      <alignment horizontal="center" vertical="top"/>
    </xf>
    <xf numFmtId="0" fontId="10" fillId="3" borderId="4" xfId="2" applyFont="1" applyFill="1" applyBorder="1" applyAlignment="1">
      <alignment horizontal="center" vertical="top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topLeftCell="A10" zoomScale="55" zoomScaleNormal="55" workbookViewId="0">
      <selection activeCell="H39" sqref="H39"/>
    </sheetView>
  </sheetViews>
  <sheetFormatPr defaultColWidth="9" defaultRowHeight="18" x14ac:dyDescent="0.35"/>
  <cols>
    <col min="1" max="1" width="8.7265625" style="12" customWidth="1"/>
    <col min="2" max="2" width="13.453125" style="12" customWidth="1"/>
    <col min="3" max="3" width="21.1796875" style="12" customWidth="1"/>
    <col min="4" max="7" width="21.1796875" style="12" bestFit="1" customWidth="1"/>
    <col min="8" max="8" width="21.1796875" style="12" customWidth="1"/>
    <col min="9" max="9" width="21.1796875" style="12" bestFit="1" customWidth="1"/>
    <col min="10" max="10" width="20.7265625" style="12" customWidth="1"/>
    <col min="11" max="11" width="19.7265625" style="12" bestFit="1" customWidth="1"/>
    <col min="12" max="13" width="21.1796875" style="12" bestFit="1" customWidth="1"/>
    <col min="14" max="14" width="21" style="12" customWidth="1"/>
    <col min="15" max="15" width="20.7265625" style="12" customWidth="1"/>
    <col min="16" max="16" width="22.7265625" style="12" customWidth="1"/>
    <col min="17" max="17" width="23.453125" style="12" customWidth="1"/>
    <col min="18" max="18" width="23" style="12" customWidth="1"/>
    <col min="19" max="19" width="20.7265625" style="12" customWidth="1"/>
    <col min="20" max="20" width="22.7265625" style="12" customWidth="1"/>
    <col min="21" max="27" width="19.26953125" style="12" customWidth="1"/>
    <col min="28" max="16384" width="9" style="12"/>
  </cols>
  <sheetData>
    <row r="1" spans="1:27" s="2" customFormat="1" x14ac:dyDescent="0.35">
      <c r="A1" s="1" t="s">
        <v>0</v>
      </c>
      <c r="E1" s="3"/>
      <c r="F1" s="4"/>
      <c r="I1" s="4"/>
      <c r="L1" s="4"/>
      <c r="N1" s="4"/>
      <c r="Q1" s="4"/>
    </row>
    <row r="2" spans="1:27" x14ac:dyDescent="0.35">
      <c r="A2" s="5" t="s">
        <v>1</v>
      </c>
      <c r="B2" s="6"/>
      <c r="C2" s="7">
        <v>2026</v>
      </c>
      <c r="D2" s="8"/>
      <c r="E2" s="9"/>
      <c r="F2" s="10"/>
      <c r="G2" s="6"/>
      <c r="H2" s="11"/>
      <c r="I2" s="10"/>
      <c r="J2" s="6"/>
      <c r="K2" s="11"/>
      <c r="L2" s="10"/>
      <c r="M2" s="6"/>
      <c r="N2" s="11"/>
      <c r="P2" s="41"/>
    </row>
    <row r="3" spans="1:27" x14ac:dyDescent="0.35">
      <c r="A3" s="44" t="s">
        <v>2</v>
      </c>
      <c r="B3" s="46" t="s">
        <v>3</v>
      </c>
      <c r="C3" s="48" t="s">
        <v>4</v>
      </c>
      <c r="D3" s="49"/>
      <c r="E3" s="50"/>
      <c r="F3" s="48" t="s">
        <v>5</v>
      </c>
      <c r="G3" s="49"/>
      <c r="H3" s="50"/>
      <c r="I3" s="48" t="s">
        <v>6</v>
      </c>
      <c r="J3" s="49"/>
      <c r="K3" s="50"/>
      <c r="L3" s="48" t="s">
        <v>25</v>
      </c>
      <c r="M3" s="49"/>
      <c r="N3" s="50"/>
      <c r="Q3" s="2"/>
      <c r="Y3" s="2"/>
      <c r="Z3" s="2"/>
      <c r="AA3" s="2"/>
    </row>
    <row r="4" spans="1:27" x14ac:dyDescent="0.35">
      <c r="A4" s="45"/>
      <c r="B4" s="47"/>
      <c r="C4" s="13" t="s">
        <v>24</v>
      </c>
      <c r="D4" s="13" t="s">
        <v>27</v>
      </c>
      <c r="E4" s="13" t="s">
        <v>7</v>
      </c>
      <c r="F4" s="13" t="s">
        <v>24</v>
      </c>
      <c r="G4" s="13" t="s">
        <v>27</v>
      </c>
      <c r="H4" s="13" t="s">
        <v>7</v>
      </c>
      <c r="I4" s="13" t="s">
        <v>24</v>
      </c>
      <c r="J4" s="13" t="s">
        <v>27</v>
      </c>
      <c r="K4" s="13" t="s">
        <v>7</v>
      </c>
      <c r="L4" s="13" t="s">
        <v>24</v>
      </c>
      <c r="M4" s="13" t="s">
        <v>27</v>
      </c>
      <c r="N4" s="13" t="s">
        <v>7</v>
      </c>
      <c r="Q4" s="2"/>
      <c r="Y4" s="2"/>
      <c r="Z4" s="2"/>
      <c r="AA4" s="2"/>
    </row>
    <row r="5" spans="1:27" x14ac:dyDescent="0.35">
      <c r="A5" s="14">
        <v>1</v>
      </c>
      <c r="B5" s="15" t="s">
        <v>8</v>
      </c>
      <c r="C5" s="16">
        <v>910000000</v>
      </c>
      <c r="D5" s="18">
        <v>910000000</v>
      </c>
      <c r="E5" s="17">
        <v>910000000</v>
      </c>
      <c r="F5" s="16">
        <v>42200000</v>
      </c>
      <c r="G5" s="18">
        <v>42200000</v>
      </c>
      <c r="H5" s="17">
        <v>130800000</v>
      </c>
      <c r="I5" s="16">
        <v>66000000</v>
      </c>
      <c r="J5" s="18">
        <v>66000000</v>
      </c>
      <c r="K5" s="17">
        <v>66000000</v>
      </c>
      <c r="L5" s="16">
        <v>1018200000</v>
      </c>
      <c r="M5" s="18">
        <v>1018200000</v>
      </c>
      <c r="N5" s="17">
        <f>E5+H5+K5</f>
        <v>1106800000</v>
      </c>
      <c r="Q5" s="2"/>
      <c r="Y5" s="2"/>
      <c r="Z5" s="2"/>
      <c r="AA5" s="2"/>
    </row>
    <row r="6" spans="1:27" x14ac:dyDescent="0.35">
      <c r="A6" s="14">
        <v>2</v>
      </c>
      <c r="B6" s="15" t="s">
        <v>9</v>
      </c>
      <c r="C6" s="16">
        <v>910000000</v>
      </c>
      <c r="D6" s="18">
        <v>910000000</v>
      </c>
      <c r="E6" s="17">
        <v>910000000</v>
      </c>
      <c r="F6" s="16">
        <v>200000000</v>
      </c>
      <c r="G6" s="18">
        <v>200000000</v>
      </c>
      <c r="H6" s="17">
        <v>200000000</v>
      </c>
      <c r="I6" s="16">
        <v>1500000000</v>
      </c>
      <c r="J6" s="18">
        <v>1500000000</v>
      </c>
      <c r="K6" s="17">
        <v>1500000000</v>
      </c>
      <c r="L6" s="16">
        <v>2610000000</v>
      </c>
      <c r="M6" s="18">
        <v>2610000000</v>
      </c>
      <c r="N6" s="17">
        <f t="shared" ref="N6:N16" si="0">E6+H6+K6</f>
        <v>2610000000</v>
      </c>
      <c r="Q6" s="2"/>
      <c r="Y6" s="2"/>
      <c r="Z6" s="2"/>
      <c r="AA6" s="2"/>
    </row>
    <row r="7" spans="1:27" x14ac:dyDescent="0.35">
      <c r="A7" s="14">
        <v>3</v>
      </c>
      <c r="B7" s="15" t="s">
        <v>10</v>
      </c>
      <c r="C7" s="16">
        <v>910000000</v>
      </c>
      <c r="D7" s="18">
        <v>910000000</v>
      </c>
      <c r="E7" s="17">
        <v>810000000</v>
      </c>
      <c r="F7" s="16">
        <v>1000000000</v>
      </c>
      <c r="G7" s="18">
        <v>3115740000</v>
      </c>
      <c r="H7" s="17">
        <v>1115740000</v>
      </c>
      <c r="I7" s="16">
        <v>500000000</v>
      </c>
      <c r="J7" s="18">
        <v>0</v>
      </c>
      <c r="K7" s="17">
        <v>500000000</v>
      </c>
      <c r="L7" s="16">
        <v>2410000000</v>
      </c>
      <c r="M7" s="18">
        <v>4025740000</v>
      </c>
      <c r="N7" s="17">
        <f t="shared" si="0"/>
        <v>2425740000</v>
      </c>
      <c r="O7" s="19"/>
      <c r="Q7" s="20"/>
      <c r="S7" s="19"/>
      <c r="Y7" s="2"/>
      <c r="Z7" s="2"/>
      <c r="AA7" s="2"/>
    </row>
    <row r="8" spans="1:27" x14ac:dyDescent="0.35">
      <c r="A8" s="14">
        <v>4</v>
      </c>
      <c r="B8" s="15" t="s">
        <v>11</v>
      </c>
      <c r="C8" s="16">
        <v>910000000</v>
      </c>
      <c r="D8" s="18">
        <v>910000000</v>
      </c>
      <c r="E8" s="17">
        <v>910000000</v>
      </c>
      <c r="F8" s="16">
        <v>800800000</v>
      </c>
      <c r="G8" s="18">
        <v>2230600000</v>
      </c>
      <c r="H8" s="17">
        <v>2230600000</v>
      </c>
      <c r="I8" s="16">
        <v>1000000000</v>
      </c>
      <c r="J8" s="18">
        <v>2690500000</v>
      </c>
      <c r="K8" s="17">
        <v>100000000</v>
      </c>
      <c r="L8" s="16">
        <v>2710800000</v>
      </c>
      <c r="M8" s="18">
        <v>5831100000</v>
      </c>
      <c r="N8" s="17">
        <f t="shared" si="0"/>
        <v>3240600000</v>
      </c>
      <c r="Q8" s="4"/>
      <c r="Y8" s="2"/>
      <c r="Z8" s="2"/>
      <c r="AA8" s="2"/>
    </row>
    <row r="9" spans="1:27" x14ac:dyDescent="0.35">
      <c r="A9" s="14">
        <v>5</v>
      </c>
      <c r="B9" s="15" t="s">
        <v>12</v>
      </c>
      <c r="C9" s="16">
        <v>910000000</v>
      </c>
      <c r="D9" s="18">
        <v>910000000</v>
      </c>
      <c r="E9" s="17">
        <v>910000000</v>
      </c>
      <c r="F9" s="16">
        <v>1457000000</v>
      </c>
      <c r="G9" s="18">
        <v>6049200000</v>
      </c>
      <c r="H9" s="17">
        <v>1049200000</v>
      </c>
      <c r="I9" s="16">
        <v>300000000</v>
      </c>
      <c r="J9" s="18">
        <v>2800800000</v>
      </c>
      <c r="K9" s="17">
        <v>300000000</v>
      </c>
      <c r="L9" s="16">
        <v>2667000000</v>
      </c>
      <c r="M9" s="18">
        <v>9760000000</v>
      </c>
      <c r="N9" s="17">
        <f t="shared" si="0"/>
        <v>2259200000</v>
      </c>
      <c r="Q9" s="2"/>
      <c r="Y9" s="2"/>
      <c r="Z9" s="2"/>
      <c r="AA9" s="2"/>
    </row>
    <row r="10" spans="1:27" x14ac:dyDescent="0.35">
      <c r="A10" s="14">
        <v>6</v>
      </c>
      <c r="B10" s="15" t="s">
        <v>13</v>
      </c>
      <c r="C10" s="16">
        <v>910000000</v>
      </c>
      <c r="D10" s="18">
        <v>910000000</v>
      </c>
      <c r="E10" s="17">
        <v>910000000</v>
      </c>
      <c r="F10" s="16">
        <v>1500000000</v>
      </c>
      <c r="G10" s="18">
        <v>1900000000</v>
      </c>
      <c r="H10" s="17">
        <v>500000000</v>
      </c>
      <c r="I10" s="16">
        <v>500000000</v>
      </c>
      <c r="J10" s="18">
        <v>1891700000</v>
      </c>
      <c r="K10" s="17">
        <v>500000000</v>
      </c>
      <c r="L10" s="16">
        <v>2910000000</v>
      </c>
      <c r="M10" s="18">
        <v>4701700000</v>
      </c>
      <c r="N10" s="17">
        <f t="shared" si="0"/>
        <v>1910000000</v>
      </c>
      <c r="O10" s="19"/>
      <c r="Q10" s="2"/>
      <c r="Y10" s="2"/>
      <c r="Z10" s="2"/>
      <c r="AA10" s="2"/>
    </row>
    <row r="11" spans="1:27" x14ac:dyDescent="0.35">
      <c r="A11" s="14">
        <v>7</v>
      </c>
      <c r="B11" s="15" t="s">
        <v>14</v>
      </c>
      <c r="C11" s="16">
        <v>910000000</v>
      </c>
      <c r="D11" s="18">
        <v>910000000</v>
      </c>
      <c r="E11" s="17">
        <v>710000000</v>
      </c>
      <c r="F11" s="16">
        <v>900000000</v>
      </c>
      <c r="G11" s="18">
        <v>114240000</v>
      </c>
      <c r="H11" s="17">
        <v>114240000</v>
      </c>
      <c r="I11" s="16">
        <v>300000000</v>
      </c>
      <c r="J11" s="18">
        <v>0</v>
      </c>
      <c r="K11" s="17">
        <v>300000000</v>
      </c>
      <c r="L11" s="16">
        <v>2110000000</v>
      </c>
      <c r="M11" s="18">
        <v>1024240000</v>
      </c>
      <c r="N11" s="17">
        <f t="shared" si="0"/>
        <v>1124240000</v>
      </c>
      <c r="Q11" s="2"/>
      <c r="Y11" s="2"/>
      <c r="Z11" s="2"/>
      <c r="AA11" s="2"/>
    </row>
    <row r="12" spans="1:27" x14ac:dyDescent="0.35">
      <c r="A12" s="14">
        <v>8</v>
      </c>
      <c r="B12" s="15" t="s">
        <v>15</v>
      </c>
      <c r="C12" s="16">
        <v>910000000</v>
      </c>
      <c r="D12" s="18">
        <v>910000000</v>
      </c>
      <c r="E12" s="17">
        <v>910000000</v>
      </c>
      <c r="F12" s="16">
        <v>800000000</v>
      </c>
      <c r="G12" s="18">
        <v>57300000</v>
      </c>
      <c r="H12" s="17">
        <v>57300000</v>
      </c>
      <c r="I12" s="16">
        <v>1400000000</v>
      </c>
      <c r="J12" s="18">
        <v>0</v>
      </c>
      <c r="K12" s="17">
        <v>400000000</v>
      </c>
      <c r="L12" s="16">
        <v>3110000000</v>
      </c>
      <c r="M12" s="18">
        <v>967300000</v>
      </c>
      <c r="N12" s="17">
        <f t="shared" si="0"/>
        <v>1367300000</v>
      </c>
      <c r="Q12" s="2"/>
      <c r="Y12" s="2"/>
      <c r="Z12" s="2"/>
      <c r="AA12" s="2"/>
    </row>
    <row r="13" spans="1:27" x14ac:dyDescent="0.35">
      <c r="A13" s="14">
        <v>9</v>
      </c>
      <c r="B13" s="15" t="s">
        <v>16</v>
      </c>
      <c r="C13" s="16">
        <v>910000000</v>
      </c>
      <c r="D13" s="18">
        <v>910000000</v>
      </c>
      <c r="E13" s="17">
        <v>910000000</v>
      </c>
      <c r="F13" s="16">
        <v>1500000000</v>
      </c>
      <c r="G13" s="18">
        <v>367732000</v>
      </c>
      <c r="H13" s="17">
        <v>367732000</v>
      </c>
      <c r="I13" s="16">
        <v>1334000000</v>
      </c>
      <c r="J13" s="18">
        <v>0</v>
      </c>
      <c r="K13" s="17">
        <v>334000000</v>
      </c>
      <c r="L13" s="16">
        <v>3744000000</v>
      </c>
      <c r="M13" s="18">
        <v>1277732000</v>
      </c>
      <c r="N13" s="17">
        <f t="shared" si="0"/>
        <v>1611732000</v>
      </c>
      <c r="O13" s="19"/>
      <c r="Q13" s="4"/>
      <c r="R13" s="4"/>
      <c r="S13" s="4"/>
      <c r="T13" s="4"/>
      <c r="U13" s="4"/>
      <c r="V13" s="4"/>
      <c r="Y13" s="2"/>
      <c r="Z13" s="2"/>
      <c r="AA13" s="2"/>
    </row>
    <row r="14" spans="1:27" x14ac:dyDescent="0.35">
      <c r="A14" s="14">
        <v>10</v>
      </c>
      <c r="B14" s="15" t="s">
        <v>17</v>
      </c>
      <c r="C14" s="16">
        <v>910000000</v>
      </c>
      <c r="D14" s="18">
        <v>910000000</v>
      </c>
      <c r="E14" s="17">
        <v>710000000</v>
      </c>
      <c r="F14" s="16">
        <v>800000000</v>
      </c>
      <c r="G14" s="18">
        <v>12500000</v>
      </c>
      <c r="H14" s="17">
        <v>12500000</v>
      </c>
      <c r="I14" s="16">
        <v>800000000</v>
      </c>
      <c r="J14" s="18">
        <v>0</v>
      </c>
      <c r="K14" s="17">
        <v>800000000</v>
      </c>
      <c r="L14" s="16">
        <v>2510000000</v>
      </c>
      <c r="M14" s="18">
        <v>922500000</v>
      </c>
      <c r="N14" s="17">
        <f t="shared" si="0"/>
        <v>1522500000</v>
      </c>
      <c r="Q14" s="4"/>
      <c r="R14" s="4"/>
      <c r="S14" s="4"/>
      <c r="T14" s="4"/>
      <c r="U14" s="4"/>
      <c r="V14" s="4"/>
      <c r="Y14" s="2"/>
      <c r="Z14" s="2"/>
      <c r="AA14" s="2"/>
    </row>
    <row r="15" spans="1:27" x14ac:dyDescent="0.35">
      <c r="A15" s="14">
        <v>11</v>
      </c>
      <c r="B15" s="15" t="s">
        <v>18</v>
      </c>
      <c r="C15" s="16">
        <v>910000000</v>
      </c>
      <c r="D15" s="18">
        <v>910000000</v>
      </c>
      <c r="E15" s="17">
        <v>910000000</v>
      </c>
      <c r="F15" s="16">
        <v>1000000000</v>
      </c>
      <c r="G15" s="18">
        <v>60000000</v>
      </c>
      <c r="H15" s="17">
        <v>60000000</v>
      </c>
      <c r="I15" s="16">
        <v>800000000</v>
      </c>
      <c r="J15" s="18">
        <v>3300000</v>
      </c>
      <c r="K15" s="17">
        <v>800000000</v>
      </c>
      <c r="L15" s="16">
        <v>2710000000</v>
      </c>
      <c r="M15" s="18">
        <v>973300000</v>
      </c>
      <c r="N15" s="17">
        <f t="shared" si="0"/>
        <v>1770000000</v>
      </c>
      <c r="Q15" s="4"/>
      <c r="R15" s="4"/>
      <c r="S15" s="4"/>
      <c r="T15" s="4"/>
      <c r="U15" s="4"/>
      <c r="V15" s="4"/>
      <c r="Y15" s="2"/>
      <c r="Z15" s="2"/>
      <c r="AA15" s="2"/>
    </row>
    <row r="16" spans="1:27" x14ac:dyDescent="0.35">
      <c r="A16" s="14">
        <v>12</v>
      </c>
      <c r="B16" s="15" t="s">
        <v>19</v>
      </c>
      <c r="C16" s="16">
        <v>990000000</v>
      </c>
      <c r="D16" s="18">
        <v>990000000</v>
      </c>
      <c r="E16" s="17">
        <v>990000000</v>
      </c>
      <c r="F16" s="16">
        <v>1000000000</v>
      </c>
      <c r="G16" s="18">
        <v>35000000</v>
      </c>
      <c r="H16" s="17">
        <v>3115740000</v>
      </c>
      <c r="I16" s="16">
        <v>1000000000</v>
      </c>
      <c r="J16" s="18">
        <v>17500000</v>
      </c>
      <c r="K16" s="17">
        <v>500000000</v>
      </c>
      <c r="L16" s="16">
        <v>2990000000</v>
      </c>
      <c r="M16" s="18">
        <v>1042500000</v>
      </c>
      <c r="N16" s="17">
        <f t="shared" si="0"/>
        <v>4605740000</v>
      </c>
      <c r="O16" s="19"/>
      <c r="Q16" s="4"/>
      <c r="R16" s="4"/>
      <c r="S16" s="4"/>
      <c r="T16" s="4"/>
      <c r="U16" s="4"/>
      <c r="V16" s="4"/>
      <c r="Y16" s="2"/>
      <c r="Z16" s="2"/>
      <c r="AA16" s="2"/>
    </row>
    <row r="17" spans="1:27" x14ac:dyDescent="0.35">
      <c r="A17" s="21"/>
      <c r="B17" s="22" t="s">
        <v>20</v>
      </c>
      <c r="C17" s="23">
        <f t="shared" ref="C17:K17" si="1">SUM(C5:C16)</f>
        <v>11000000000</v>
      </c>
      <c r="D17" s="23">
        <f t="shared" si="1"/>
        <v>11000000000</v>
      </c>
      <c r="E17" s="24">
        <f t="shared" si="1"/>
        <v>10500000000</v>
      </c>
      <c r="F17" s="23">
        <f t="shared" si="1"/>
        <v>11000000000</v>
      </c>
      <c r="G17" s="23">
        <f t="shared" si="1"/>
        <v>14184512000</v>
      </c>
      <c r="H17" s="24">
        <f t="shared" si="1"/>
        <v>8953852000</v>
      </c>
      <c r="I17" s="23">
        <f t="shared" si="1"/>
        <v>9500000000</v>
      </c>
      <c r="J17" s="23">
        <f t="shared" si="1"/>
        <v>8969800000</v>
      </c>
      <c r="K17" s="24">
        <f t="shared" si="1"/>
        <v>6100000000</v>
      </c>
      <c r="L17" s="23">
        <f t="shared" ref="L17:N17" si="2">C17+F17+I17</f>
        <v>31500000000</v>
      </c>
      <c r="M17" s="23">
        <f t="shared" si="2"/>
        <v>34154312000</v>
      </c>
      <c r="N17" s="25">
        <f>E17+H17+K17</f>
        <v>25553852000</v>
      </c>
      <c r="Q17" s="4"/>
      <c r="R17" s="4"/>
      <c r="S17" s="4"/>
      <c r="T17" s="4"/>
      <c r="U17" s="4"/>
      <c r="V17" s="4"/>
      <c r="Y17" s="2"/>
      <c r="Z17" s="2"/>
      <c r="AA17" s="2"/>
    </row>
    <row r="18" spans="1:27" x14ac:dyDescent="0.35">
      <c r="A18" s="26"/>
      <c r="B18" s="26" t="s">
        <v>21</v>
      </c>
      <c r="C18" s="27"/>
      <c r="D18" s="28"/>
      <c r="E18" s="8">
        <f>E17/C17</f>
        <v>0.95454545454545459</v>
      </c>
      <c r="F18" s="27"/>
      <c r="G18" s="8"/>
      <c r="H18" s="8">
        <f>H17/F17</f>
        <v>0.81398654545454541</v>
      </c>
      <c r="I18" s="27"/>
      <c r="J18" s="8"/>
      <c r="K18" s="8">
        <f>K17/I17</f>
        <v>0.64210526315789473</v>
      </c>
      <c r="L18" s="27"/>
      <c r="M18" s="8"/>
      <c r="N18" s="29">
        <f>N17/L17</f>
        <v>0.81123339682539686</v>
      </c>
      <c r="O18" s="28"/>
      <c r="Q18" s="4"/>
      <c r="R18" s="4"/>
      <c r="S18" s="4"/>
      <c r="T18" s="4"/>
      <c r="U18" s="4"/>
      <c r="V18" s="4"/>
    </row>
    <row r="19" spans="1:27" s="30" customFormat="1" x14ac:dyDescent="0.35">
      <c r="A19" s="27"/>
      <c r="B19" s="27"/>
      <c r="D19" s="27"/>
      <c r="E19" s="27"/>
      <c r="F19" s="27"/>
      <c r="G19" s="27"/>
      <c r="H19" s="27"/>
      <c r="I19" s="27"/>
      <c r="J19" s="27"/>
      <c r="K19" s="27"/>
      <c r="L19" s="27"/>
      <c r="M19" s="31"/>
      <c r="N19" s="42"/>
      <c r="O19" s="32"/>
      <c r="Q19" s="4"/>
      <c r="R19" s="4"/>
      <c r="S19" s="4"/>
      <c r="T19" s="4"/>
      <c r="U19" s="4"/>
      <c r="V19" s="4"/>
      <c r="W19" s="12"/>
      <c r="X19" s="12"/>
    </row>
    <row r="20" spans="1:27" x14ac:dyDescent="0.35">
      <c r="A20" s="5" t="s">
        <v>22</v>
      </c>
      <c r="B20" s="6"/>
      <c r="C20" s="7">
        <v>2026</v>
      </c>
      <c r="D20" s="8"/>
      <c r="E20" s="9"/>
      <c r="F20" s="10"/>
      <c r="G20" s="6"/>
      <c r="H20" s="33"/>
      <c r="I20" s="10"/>
      <c r="J20" s="10"/>
      <c r="K20" s="33"/>
      <c r="L20" s="10"/>
      <c r="M20" s="6"/>
      <c r="N20" s="41"/>
      <c r="O20" s="9"/>
      <c r="P20" s="33"/>
      <c r="R20" s="2"/>
      <c r="S20" s="2"/>
    </row>
    <row r="21" spans="1:27" x14ac:dyDescent="0.35">
      <c r="A21" s="44" t="s">
        <v>2</v>
      </c>
      <c r="B21" s="46" t="s">
        <v>3</v>
      </c>
      <c r="C21" s="48" t="s">
        <v>4</v>
      </c>
      <c r="D21" s="49"/>
      <c r="E21" s="50"/>
      <c r="F21" s="48" t="s">
        <v>5</v>
      </c>
      <c r="G21" s="49"/>
      <c r="H21" s="49"/>
      <c r="I21" s="50"/>
      <c r="J21" s="48" t="s">
        <v>6</v>
      </c>
      <c r="K21" s="49"/>
      <c r="L21" s="49"/>
      <c r="M21" s="50"/>
      <c r="N21" s="48" t="s">
        <v>25</v>
      </c>
      <c r="O21" s="49"/>
      <c r="P21" s="49"/>
      <c r="Q21" s="50"/>
    </row>
    <row r="22" spans="1:27" x14ac:dyDescent="0.35">
      <c r="A22" s="45"/>
      <c r="B22" s="47"/>
      <c r="C22" s="13" t="s">
        <v>24</v>
      </c>
      <c r="D22" s="13" t="s">
        <v>27</v>
      </c>
      <c r="E22" s="13" t="s">
        <v>7</v>
      </c>
      <c r="F22" s="13" t="s">
        <v>24</v>
      </c>
      <c r="G22" s="13" t="s">
        <v>26</v>
      </c>
      <c r="H22" s="13" t="s">
        <v>27</v>
      </c>
      <c r="I22" s="13" t="s">
        <v>7</v>
      </c>
      <c r="J22" s="13" t="s">
        <v>24</v>
      </c>
      <c r="K22" s="13" t="s">
        <v>26</v>
      </c>
      <c r="L22" s="13" t="s">
        <v>27</v>
      </c>
      <c r="M22" s="13" t="s">
        <v>7</v>
      </c>
      <c r="N22" s="13" t="s">
        <v>24</v>
      </c>
      <c r="O22" s="13" t="s">
        <v>26</v>
      </c>
      <c r="P22" s="13" t="s">
        <v>27</v>
      </c>
      <c r="Q22" s="13" t="s">
        <v>7</v>
      </c>
    </row>
    <row r="23" spans="1:27" x14ac:dyDescent="0.35">
      <c r="A23" s="14">
        <v>1</v>
      </c>
      <c r="B23" s="15" t="s">
        <v>8</v>
      </c>
      <c r="C23" s="16">
        <v>910000000</v>
      </c>
      <c r="D23" s="18">
        <v>910000000</v>
      </c>
      <c r="E23" s="17">
        <v>910000000</v>
      </c>
      <c r="F23" s="16">
        <v>851000000</v>
      </c>
      <c r="G23" s="34">
        <v>770116000</v>
      </c>
      <c r="H23" s="18">
        <v>0</v>
      </c>
      <c r="I23" s="17">
        <v>851000000</v>
      </c>
      <c r="J23" s="16">
        <v>270000000</v>
      </c>
      <c r="K23" s="34">
        <v>87780000</v>
      </c>
      <c r="L23" s="18">
        <v>300000000</v>
      </c>
      <c r="M23" s="17">
        <v>270000000</v>
      </c>
      <c r="N23" s="16">
        <v>2031000000</v>
      </c>
      <c r="O23" s="34">
        <v>857896000</v>
      </c>
      <c r="P23" s="18">
        <v>910000000</v>
      </c>
      <c r="Q23" s="17">
        <f>E23+I23+M23</f>
        <v>2031000000</v>
      </c>
      <c r="R23" s="19"/>
    </row>
    <row r="24" spans="1:27" x14ac:dyDescent="0.35">
      <c r="A24" s="14">
        <v>2</v>
      </c>
      <c r="B24" s="15" t="s">
        <v>9</v>
      </c>
      <c r="C24" s="16">
        <v>910000000</v>
      </c>
      <c r="D24" s="18">
        <v>910000000</v>
      </c>
      <c r="E24" s="17">
        <v>910000000</v>
      </c>
      <c r="F24" s="16">
        <v>30000000</v>
      </c>
      <c r="G24" s="34">
        <v>30000000</v>
      </c>
      <c r="H24" s="18">
        <v>0</v>
      </c>
      <c r="I24" s="17">
        <v>30000000</v>
      </c>
      <c r="J24" s="16">
        <v>405000000</v>
      </c>
      <c r="K24" s="34">
        <v>253145500</v>
      </c>
      <c r="L24" s="18">
        <v>300000000</v>
      </c>
      <c r="M24" s="17">
        <v>405000000</v>
      </c>
      <c r="N24" s="16">
        <v>1345000000</v>
      </c>
      <c r="O24" s="34">
        <v>283145500</v>
      </c>
      <c r="P24" s="18">
        <v>910000000</v>
      </c>
      <c r="Q24" s="17">
        <f t="shared" ref="Q24:Q34" si="3">E24+I24+M24</f>
        <v>1345000000</v>
      </c>
      <c r="R24" s="19"/>
    </row>
    <row r="25" spans="1:27" x14ac:dyDescent="0.35">
      <c r="A25" s="14">
        <v>3</v>
      </c>
      <c r="B25" s="15" t="s">
        <v>10</v>
      </c>
      <c r="C25" s="16">
        <v>910000000</v>
      </c>
      <c r="D25" s="18">
        <v>910000000</v>
      </c>
      <c r="E25" s="17">
        <v>810000000</v>
      </c>
      <c r="F25" s="16">
        <v>770000000</v>
      </c>
      <c r="G25" s="34">
        <v>70000000</v>
      </c>
      <c r="H25" s="18">
        <v>904860000</v>
      </c>
      <c r="I25" s="17">
        <v>770000000</v>
      </c>
      <c r="J25" s="16">
        <v>500000000</v>
      </c>
      <c r="K25" s="34">
        <v>0</v>
      </c>
      <c r="L25" s="18">
        <v>300000000</v>
      </c>
      <c r="M25" s="17">
        <v>500000000</v>
      </c>
      <c r="N25" s="16">
        <v>2180000000</v>
      </c>
      <c r="O25" s="34">
        <v>70000000</v>
      </c>
      <c r="P25" s="18">
        <v>1814860000</v>
      </c>
      <c r="Q25" s="17">
        <f t="shared" si="3"/>
        <v>2080000000</v>
      </c>
      <c r="R25" s="19"/>
    </row>
    <row r="26" spans="1:27" x14ac:dyDescent="0.35">
      <c r="A26" s="14">
        <v>4</v>
      </c>
      <c r="B26" s="15" t="s">
        <v>11</v>
      </c>
      <c r="C26" s="16">
        <v>910000000</v>
      </c>
      <c r="D26" s="18">
        <v>910000000</v>
      </c>
      <c r="E26" s="17">
        <v>910000000</v>
      </c>
      <c r="F26" s="16">
        <v>660000000</v>
      </c>
      <c r="G26" s="34">
        <v>0</v>
      </c>
      <c r="H26" s="18">
        <v>660000000</v>
      </c>
      <c r="I26" s="17">
        <v>660000000</v>
      </c>
      <c r="J26" s="16">
        <v>890000000</v>
      </c>
      <c r="K26" s="34">
        <v>390000000</v>
      </c>
      <c r="L26" s="18">
        <v>300000000</v>
      </c>
      <c r="M26" s="17">
        <v>890000000</v>
      </c>
      <c r="N26" s="16">
        <v>2460000000</v>
      </c>
      <c r="O26" s="34">
        <v>390000000</v>
      </c>
      <c r="P26" s="18">
        <v>1570000000</v>
      </c>
      <c r="Q26" s="17">
        <f t="shared" si="3"/>
        <v>2460000000</v>
      </c>
      <c r="R26" s="19"/>
    </row>
    <row r="27" spans="1:27" x14ac:dyDescent="0.35">
      <c r="A27" s="14">
        <v>5</v>
      </c>
      <c r="B27" s="15" t="s">
        <v>12</v>
      </c>
      <c r="C27" s="16">
        <v>910000000</v>
      </c>
      <c r="D27" s="18">
        <v>910000000</v>
      </c>
      <c r="E27" s="17">
        <v>910000000</v>
      </c>
      <c r="F27" s="16">
        <v>865000000</v>
      </c>
      <c r="G27" s="34">
        <v>45000000</v>
      </c>
      <c r="H27" s="18">
        <v>2000000000</v>
      </c>
      <c r="I27" s="17">
        <v>865000000</v>
      </c>
      <c r="J27" s="16">
        <v>300000000</v>
      </c>
      <c r="K27" s="34">
        <v>0</v>
      </c>
      <c r="L27" s="18">
        <v>300000000</v>
      </c>
      <c r="M27" s="17"/>
      <c r="N27" s="16">
        <v>2075000000</v>
      </c>
      <c r="O27" s="34">
        <v>45000000</v>
      </c>
      <c r="P27" s="18">
        <v>2910000000</v>
      </c>
      <c r="Q27" s="17">
        <f t="shared" si="3"/>
        <v>1775000000</v>
      </c>
      <c r="S27" s="19"/>
    </row>
    <row r="28" spans="1:27" x14ac:dyDescent="0.35">
      <c r="A28" s="14">
        <v>6</v>
      </c>
      <c r="B28" s="15" t="s">
        <v>13</v>
      </c>
      <c r="C28" s="16">
        <v>910000000</v>
      </c>
      <c r="D28" s="18">
        <v>910000000</v>
      </c>
      <c r="E28" s="17">
        <v>910000000</v>
      </c>
      <c r="F28" s="16">
        <v>870000000</v>
      </c>
      <c r="G28" s="34">
        <v>484461600</v>
      </c>
      <c r="H28" s="18">
        <v>570000000</v>
      </c>
      <c r="I28" s="17"/>
      <c r="J28" s="16">
        <v>765000000</v>
      </c>
      <c r="K28" s="34">
        <v>215115068</v>
      </c>
      <c r="L28" s="18">
        <v>300000000</v>
      </c>
      <c r="M28" s="17">
        <v>765000000</v>
      </c>
      <c r="N28" s="16">
        <v>2545000000</v>
      </c>
      <c r="O28" s="34">
        <v>699576668</v>
      </c>
      <c r="P28" s="18">
        <v>1480000000</v>
      </c>
      <c r="Q28" s="17">
        <f t="shared" si="3"/>
        <v>1675000000</v>
      </c>
      <c r="R28" s="19"/>
    </row>
    <row r="29" spans="1:27" x14ac:dyDescent="0.35">
      <c r="A29" s="14">
        <v>7</v>
      </c>
      <c r="B29" s="15" t="s">
        <v>14</v>
      </c>
      <c r="C29" s="16">
        <v>910000000</v>
      </c>
      <c r="D29" s="18">
        <v>910000000</v>
      </c>
      <c r="E29" s="17">
        <v>710000000</v>
      </c>
      <c r="F29" s="16">
        <v>570000000</v>
      </c>
      <c r="G29" s="34">
        <v>0</v>
      </c>
      <c r="H29" s="18">
        <v>0</v>
      </c>
      <c r="I29" s="17">
        <v>570000000</v>
      </c>
      <c r="J29" s="16">
        <v>300000000</v>
      </c>
      <c r="K29" s="34">
        <v>0</v>
      </c>
      <c r="L29" s="18">
        <v>300000000</v>
      </c>
      <c r="M29" s="17">
        <v>300000000</v>
      </c>
      <c r="N29" s="16">
        <v>1780000000</v>
      </c>
      <c r="O29" s="34">
        <v>0</v>
      </c>
      <c r="P29" s="18">
        <v>910000000</v>
      </c>
      <c r="Q29" s="17">
        <f t="shared" si="3"/>
        <v>1580000000</v>
      </c>
    </row>
    <row r="30" spans="1:27" x14ac:dyDescent="0.35">
      <c r="A30" s="14">
        <v>8</v>
      </c>
      <c r="B30" s="15" t="s">
        <v>15</v>
      </c>
      <c r="C30" s="16">
        <v>910000000</v>
      </c>
      <c r="D30" s="18">
        <v>910000000</v>
      </c>
      <c r="E30" s="17">
        <v>910000000</v>
      </c>
      <c r="F30" s="16">
        <v>831000000</v>
      </c>
      <c r="G30" s="34">
        <v>0</v>
      </c>
      <c r="H30" s="18">
        <v>1540000000</v>
      </c>
      <c r="I30" s="17">
        <v>831000000</v>
      </c>
      <c r="J30" s="16">
        <v>900000000</v>
      </c>
      <c r="K30" s="34">
        <v>148145500</v>
      </c>
      <c r="L30" s="18">
        <v>300000000</v>
      </c>
      <c r="M30" s="17"/>
      <c r="N30" s="16">
        <v>2641000000</v>
      </c>
      <c r="O30" s="34">
        <v>148145500</v>
      </c>
      <c r="P30" s="18">
        <v>2450000000</v>
      </c>
      <c r="Q30" s="17">
        <f t="shared" si="3"/>
        <v>1741000000</v>
      </c>
    </row>
    <row r="31" spans="1:27" x14ac:dyDescent="0.35">
      <c r="A31" s="14">
        <v>9</v>
      </c>
      <c r="B31" s="15" t="s">
        <v>16</v>
      </c>
      <c r="C31" s="16">
        <v>910000000</v>
      </c>
      <c r="D31" s="18">
        <v>910000000</v>
      </c>
      <c r="E31" s="17">
        <v>910000000</v>
      </c>
      <c r="F31" s="16">
        <v>625500000</v>
      </c>
      <c r="G31" s="34">
        <v>25500000</v>
      </c>
      <c r="H31" s="18">
        <v>6311340000</v>
      </c>
      <c r="I31" s="17"/>
      <c r="J31" s="16">
        <v>850000000</v>
      </c>
      <c r="K31" s="34">
        <v>0</v>
      </c>
      <c r="L31" s="18">
        <v>300000000</v>
      </c>
      <c r="M31" s="17">
        <v>850000000</v>
      </c>
      <c r="N31" s="16">
        <v>2385500000</v>
      </c>
      <c r="O31" s="34">
        <v>25500000</v>
      </c>
      <c r="P31" s="18">
        <v>7221340000</v>
      </c>
      <c r="Q31" s="17">
        <f t="shared" si="3"/>
        <v>1760000000</v>
      </c>
      <c r="R31" s="19"/>
    </row>
    <row r="32" spans="1:27" x14ac:dyDescent="0.35">
      <c r="A32" s="14">
        <v>10</v>
      </c>
      <c r="B32" s="15" t="s">
        <v>17</v>
      </c>
      <c r="C32" s="16">
        <v>910000000</v>
      </c>
      <c r="D32" s="18">
        <v>910000000</v>
      </c>
      <c r="E32" s="17">
        <v>710000000</v>
      </c>
      <c r="F32" s="16">
        <v>582500000</v>
      </c>
      <c r="G32" s="34">
        <v>12500000</v>
      </c>
      <c r="H32" s="18">
        <v>0</v>
      </c>
      <c r="I32" s="17">
        <v>582500000</v>
      </c>
      <c r="J32" s="16">
        <v>800000000</v>
      </c>
      <c r="K32" s="34">
        <v>0</v>
      </c>
      <c r="L32" s="18">
        <v>300000000</v>
      </c>
      <c r="M32" s="17">
        <v>800000000</v>
      </c>
      <c r="N32" s="16">
        <v>2292500000</v>
      </c>
      <c r="O32" s="34">
        <v>12500000</v>
      </c>
      <c r="P32" s="18">
        <v>910000000</v>
      </c>
      <c r="Q32" s="17">
        <f t="shared" si="3"/>
        <v>2092500000</v>
      </c>
    </row>
    <row r="33" spans="1:24" x14ac:dyDescent="0.35">
      <c r="A33" s="14">
        <v>11</v>
      </c>
      <c r="B33" s="15" t="s">
        <v>18</v>
      </c>
      <c r="C33" s="16">
        <v>910000000</v>
      </c>
      <c r="D33" s="18">
        <v>910000000</v>
      </c>
      <c r="E33" s="17">
        <v>910000000</v>
      </c>
      <c r="F33" s="16">
        <v>500000000</v>
      </c>
      <c r="G33" s="34">
        <v>0</v>
      </c>
      <c r="H33" s="18">
        <v>1685232000</v>
      </c>
      <c r="I33" s="17">
        <v>500000000</v>
      </c>
      <c r="J33" s="16">
        <v>970000000</v>
      </c>
      <c r="K33" s="34">
        <v>168798600</v>
      </c>
      <c r="L33" s="18">
        <v>300000000</v>
      </c>
      <c r="M33" s="17">
        <v>970000000</v>
      </c>
      <c r="N33" s="16">
        <v>2380000000</v>
      </c>
      <c r="O33" s="34">
        <v>168798600</v>
      </c>
      <c r="P33" s="18">
        <v>2595232000</v>
      </c>
      <c r="Q33" s="17">
        <f t="shared" si="3"/>
        <v>2380000000</v>
      </c>
      <c r="R33" s="19"/>
    </row>
    <row r="34" spans="1:24" x14ac:dyDescent="0.35">
      <c r="A34" s="14">
        <v>12</v>
      </c>
      <c r="B34" s="15" t="s">
        <v>19</v>
      </c>
      <c r="C34" s="16">
        <v>990000000</v>
      </c>
      <c r="D34" s="18">
        <v>990000000</v>
      </c>
      <c r="E34" s="17">
        <v>990000000</v>
      </c>
      <c r="F34" s="16">
        <v>1645000000</v>
      </c>
      <c r="G34" s="34">
        <v>744290588</v>
      </c>
      <c r="H34" s="18">
        <v>0</v>
      </c>
      <c r="I34" s="17">
        <v>1645000000</v>
      </c>
      <c r="J34" s="16">
        <v>1600000000</v>
      </c>
      <c r="K34" s="34">
        <v>0</v>
      </c>
      <c r="L34" s="18">
        <v>300000000</v>
      </c>
      <c r="M34" s="17">
        <v>1600000000</v>
      </c>
      <c r="N34" s="16">
        <v>4235000000</v>
      </c>
      <c r="O34" s="34">
        <v>744290588</v>
      </c>
      <c r="P34" s="18">
        <v>990000000</v>
      </c>
      <c r="Q34" s="17">
        <f t="shared" si="3"/>
        <v>4235000000</v>
      </c>
      <c r="R34" s="19"/>
    </row>
    <row r="35" spans="1:24" x14ac:dyDescent="0.35">
      <c r="A35" s="21"/>
      <c r="B35" s="22" t="s">
        <v>23</v>
      </c>
      <c r="C35" s="23">
        <f t="shared" ref="C35:F35" si="4">SUM(C23:C34)</f>
        <v>11000000000</v>
      </c>
      <c r="D35" s="23">
        <f t="shared" si="4"/>
        <v>11000000000</v>
      </c>
      <c r="E35" s="24">
        <f t="shared" si="4"/>
        <v>10500000000</v>
      </c>
      <c r="F35" s="23">
        <f t="shared" si="4"/>
        <v>8800000000</v>
      </c>
      <c r="G35" s="35">
        <f>SUM(G23:G34)</f>
        <v>2181868188</v>
      </c>
      <c r="H35" s="23">
        <f t="shared" ref="H35:M35" si="5">SUM(H23:H34)</f>
        <v>13671432000</v>
      </c>
      <c r="I35" s="24">
        <f t="shared" si="5"/>
        <v>7304500000</v>
      </c>
      <c r="J35" s="23">
        <f t="shared" si="5"/>
        <v>8550000000</v>
      </c>
      <c r="K35" s="35">
        <f t="shared" si="5"/>
        <v>1262984668</v>
      </c>
      <c r="L35" s="23">
        <f t="shared" si="5"/>
        <v>3600000000</v>
      </c>
      <c r="M35" s="24">
        <f t="shared" si="5"/>
        <v>7350000000</v>
      </c>
      <c r="N35" s="23">
        <f t="shared" ref="N35" si="6">C35+F35+J35</f>
        <v>28350000000</v>
      </c>
      <c r="O35" s="35">
        <f>G35+K35</f>
        <v>3444852856</v>
      </c>
      <c r="P35" s="23">
        <f t="shared" ref="P35:Q35" si="7">D35+H35+L35</f>
        <v>28271432000</v>
      </c>
      <c r="Q35" s="25">
        <f t="shared" si="7"/>
        <v>25154500000</v>
      </c>
      <c r="R35" s="36"/>
    </row>
    <row r="36" spans="1:24" x14ac:dyDescent="0.35">
      <c r="A36" s="37"/>
      <c r="B36" s="26" t="s">
        <v>21</v>
      </c>
      <c r="D36" s="28"/>
      <c r="E36" s="8">
        <f>E35/C35</f>
        <v>0.95454545454545459</v>
      </c>
      <c r="F36" s="32"/>
      <c r="H36" s="38"/>
      <c r="I36" s="8">
        <f>I35/F35</f>
        <v>0.8300568181818182</v>
      </c>
      <c r="J36" s="32"/>
      <c r="L36" s="8"/>
      <c r="M36" s="8">
        <f>M35/J35</f>
        <v>0.85964912280701755</v>
      </c>
      <c r="N36" s="32"/>
      <c r="P36" s="8"/>
      <c r="Q36" s="29">
        <f>Q35/N35</f>
        <v>0.88728395061728393</v>
      </c>
      <c r="R36" s="28"/>
      <c r="S36" s="3"/>
    </row>
    <row r="37" spans="1:24" x14ac:dyDescent="0.35">
      <c r="A37" s="37"/>
      <c r="B37" s="43"/>
      <c r="E37" s="43"/>
      <c r="F37" s="30"/>
      <c r="H37" s="30"/>
      <c r="I37" s="39"/>
      <c r="J37" s="32"/>
      <c r="L37" s="30"/>
      <c r="M37" s="40"/>
      <c r="N37" s="30"/>
      <c r="P37" s="31"/>
      <c r="Q37" s="42"/>
    </row>
    <row r="38" spans="1:24" x14ac:dyDescent="0.35">
      <c r="Q38" s="37"/>
    </row>
    <row r="39" spans="1:24" x14ac:dyDescent="0.35">
      <c r="Q39" s="37"/>
    </row>
    <row r="41" spans="1:24" s="30" customFormat="1" x14ac:dyDescent="0.3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R41" s="2"/>
      <c r="S41" s="4"/>
      <c r="T41" s="12"/>
      <c r="U41" s="12"/>
      <c r="V41" s="12"/>
      <c r="W41" s="12"/>
      <c r="X41" s="12"/>
    </row>
  </sheetData>
  <mergeCells count="12">
    <mergeCell ref="N21:Q21"/>
    <mergeCell ref="A3:A4"/>
    <mergeCell ref="B3:B4"/>
    <mergeCell ref="C3:E3"/>
    <mergeCell ref="F3:H3"/>
    <mergeCell ref="I3:K3"/>
    <mergeCell ref="L3:N3"/>
    <mergeCell ref="A21:A22"/>
    <mergeCell ref="B21:B22"/>
    <mergeCell ref="C21:E21"/>
    <mergeCell ref="F21:I21"/>
    <mergeCell ref="J21:M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2026-02-09T14:17:24Z</dcterms:modified>
</cp:coreProperties>
</file>