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.xml" ContentType="application/vnd.openxmlformats-officedocument.drawing+xml"/>
  <Override PartName="/xl/charts/chart3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.xml" ContentType="application/vnd.openxmlformats-officedocument.drawing+xml"/>
  <Override PartName="/xl/charts/chart4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CUSC\QLBP_KeHoach\2026\Kinh Doanh\"/>
    </mc:Choice>
  </mc:AlternateContent>
  <bookViews>
    <workbookView xWindow="-120" yWindow="-120" windowWidth="20610" windowHeight="7740" tabRatio="892" firstSheet="6" activeTab="6"/>
  </bookViews>
  <sheets>
    <sheet name="Du lieu" sheetId="28" state="hidden" r:id="rId1"/>
    <sheet name="README" sheetId="31" state="hidden" r:id="rId2"/>
    <sheet name="BieuDo" sheetId="52" state="hidden" r:id="rId3"/>
    <sheet name="BieuDo_v2" sheetId="54" state="hidden" r:id="rId4"/>
    <sheet name="BC_Quy" sheetId="55" state="hidden" r:id="rId5"/>
    <sheet name="Tong hop (TH)" sheetId="56" state="hidden" r:id="rId6"/>
    <sheet name="TH_2026" sheetId="59" r:id="rId7"/>
    <sheet name="TH theo khach hang" sheetId="29" state="hidden" r:id="rId8"/>
    <sheet name="Thuc te theo thang" sheetId="45" state="hidden" r:id="rId9"/>
    <sheet name="KH hieu chinh" sheetId="53" state="hidden" r:id="rId10"/>
    <sheet name="Vtiger" sheetId="51" state="hidden" r:id="rId11"/>
    <sheet name="HD_Thucte" sheetId="58" r:id="rId12"/>
    <sheet name="DT_Thucte" sheetId="60" r:id="rId13"/>
    <sheet name="KH DT_HD da ky" sheetId="61" r:id="rId14"/>
    <sheet name="KH_Nam_Hieuchinh" sheetId="57" r:id="rId15"/>
    <sheet name="KH_CoHoi" sheetId="62" r:id="rId16"/>
    <sheet name="BaoCaoQuy" sheetId="50" r:id="rId17"/>
  </sheets>
  <definedNames>
    <definedName name="_xlnm._FilterDatabase" localSheetId="12" hidden="1">DT_Thucte!$A$1:$F$25</definedName>
    <definedName name="_xlnm._FilterDatabase" localSheetId="11" hidden="1">HD_Thucte!$A$1:$F$22</definedName>
    <definedName name="_xlnm._FilterDatabase" localSheetId="13" hidden="1">'KH DT_HD da ky'!$A$1:$F$22</definedName>
    <definedName name="_xlnm._FilterDatabase" localSheetId="7" hidden="1">'TH theo khach hang'!$A$1:$M$308</definedName>
    <definedName name="_xlnm._FilterDatabase" localSheetId="8" hidden="1">'Thuc te theo thang'!$H$3:$I$308</definedName>
    <definedName name="_xlnm._FilterDatabase" localSheetId="10" hidden="1">Vtiger!$A$1:$N$6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58" l="1"/>
  <c r="K1" i="58"/>
  <c r="I1" i="58" l="1"/>
  <c r="G1" i="58" s="1"/>
  <c r="K1" i="60" l="1"/>
  <c r="I1" i="60"/>
  <c r="K6" i="59"/>
  <c r="K7" i="59"/>
  <c r="K8" i="59"/>
  <c r="K9" i="59"/>
  <c r="K10" i="59"/>
  <c r="K11" i="59"/>
  <c r="K12" i="59"/>
  <c r="K13" i="59"/>
  <c r="K14" i="59"/>
  <c r="K15" i="59"/>
  <c r="K16" i="59"/>
  <c r="K5" i="59"/>
  <c r="H6" i="59"/>
  <c r="H7" i="59"/>
  <c r="H8" i="59"/>
  <c r="H9" i="59"/>
  <c r="H10" i="59"/>
  <c r="H11" i="59"/>
  <c r="H12" i="59"/>
  <c r="H13" i="59"/>
  <c r="H14" i="59"/>
  <c r="H15" i="59"/>
  <c r="H16" i="59"/>
  <c r="H5" i="59"/>
  <c r="E6" i="59"/>
  <c r="E7" i="59"/>
  <c r="E8" i="59"/>
  <c r="E9" i="59"/>
  <c r="E10" i="59"/>
  <c r="E11" i="59"/>
  <c r="E12" i="59"/>
  <c r="E13" i="59"/>
  <c r="E14" i="59"/>
  <c r="E15" i="59"/>
  <c r="E16" i="59"/>
  <c r="E5" i="59"/>
  <c r="G1" i="60" l="1"/>
  <c r="C5" i="59"/>
  <c r="C6" i="59"/>
  <c r="C7" i="59"/>
  <c r="C8" i="59"/>
  <c r="C9" i="59"/>
  <c r="C10" i="59"/>
  <c r="C11" i="59"/>
  <c r="C12" i="59"/>
  <c r="C13" i="59"/>
  <c r="C14" i="59"/>
  <c r="C15" i="59"/>
  <c r="C16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I5" i="59"/>
  <c r="I6" i="59"/>
  <c r="I7" i="59"/>
  <c r="I8" i="59"/>
  <c r="I9" i="59"/>
  <c r="I10" i="59"/>
  <c r="I11" i="59"/>
  <c r="I12" i="59"/>
  <c r="I13" i="59"/>
  <c r="I14" i="59"/>
  <c r="I15" i="59"/>
  <c r="I16" i="59"/>
  <c r="F5" i="59"/>
  <c r="F6" i="59"/>
  <c r="F7" i="59"/>
  <c r="F8" i="59"/>
  <c r="F9" i="59"/>
  <c r="F10" i="59"/>
  <c r="F11" i="59"/>
  <c r="F12" i="59"/>
  <c r="F13" i="59"/>
  <c r="F14" i="59"/>
  <c r="F15" i="59"/>
  <c r="F16" i="59"/>
  <c r="K24" i="59"/>
  <c r="K25" i="59"/>
  <c r="K26" i="59"/>
  <c r="K27" i="59"/>
  <c r="K28" i="59"/>
  <c r="K29" i="59"/>
  <c r="K30" i="59"/>
  <c r="K31" i="59"/>
  <c r="K32" i="59"/>
  <c r="K33" i="59"/>
  <c r="K34" i="59"/>
  <c r="K23" i="59"/>
  <c r="G24" i="59"/>
  <c r="G25" i="59"/>
  <c r="G26" i="59"/>
  <c r="O26" i="59" s="1"/>
  <c r="G27" i="59"/>
  <c r="G28" i="59"/>
  <c r="O28" i="59" s="1"/>
  <c r="G29" i="59"/>
  <c r="O29" i="59" s="1"/>
  <c r="G30" i="59"/>
  <c r="G31" i="59"/>
  <c r="G32" i="59"/>
  <c r="G33" i="59"/>
  <c r="G34" i="59"/>
  <c r="G23" i="59"/>
  <c r="K1" i="61"/>
  <c r="I1" i="61"/>
  <c r="K22" i="57"/>
  <c r="L22" i="57"/>
  <c r="O24" i="59" l="1"/>
  <c r="G1" i="61"/>
  <c r="O32" i="59"/>
  <c r="O30" i="59"/>
  <c r="O34" i="59"/>
  <c r="L9" i="59"/>
  <c r="L8" i="59"/>
  <c r="L7" i="59"/>
  <c r="L12" i="59"/>
  <c r="O33" i="59"/>
  <c r="O25" i="59"/>
  <c r="O27" i="59"/>
  <c r="O23" i="59"/>
  <c r="G35" i="59"/>
  <c r="O31" i="59"/>
  <c r="L6" i="59"/>
  <c r="L15" i="59"/>
  <c r="L16" i="59"/>
  <c r="L14" i="59"/>
  <c r="C17" i="59"/>
  <c r="L13" i="59"/>
  <c r="L11" i="59"/>
  <c r="F17" i="59"/>
  <c r="L10" i="59"/>
  <c r="L5" i="59"/>
  <c r="K35" i="59"/>
  <c r="O35" i="59" l="1"/>
  <c r="J24" i="59"/>
  <c r="J25" i="59"/>
  <c r="J26" i="59"/>
  <c r="J27" i="59"/>
  <c r="J28" i="59"/>
  <c r="N28" i="59" s="1"/>
  <c r="J29" i="59"/>
  <c r="N29" i="59" s="1"/>
  <c r="J30" i="59"/>
  <c r="J31" i="59"/>
  <c r="J32" i="59"/>
  <c r="J33" i="59"/>
  <c r="J34" i="59"/>
  <c r="J23" i="59"/>
  <c r="F24" i="59"/>
  <c r="F25" i="59"/>
  <c r="N25" i="59" s="1"/>
  <c r="F26" i="59"/>
  <c r="F27" i="59"/>
  <c r="F28" i="59"/>
  <c r="F29" i="59"/>
  <c r="F30" i="59"/>
  <c r="F31" i="59"/>
  <c r="F32" i="59"/>
  <c r="N32" i="59" s="1"/>
  <c r="F33" i="59"/>
  <c r="N33" i="59" s="1"/>
  <c r="F34" i="59"/>
  <c r="F23" i="59"/>
  <c r="D24" i="59"/>
  <c r="D25" i="59"/>
  <c r="D26" i="59"/>
  <c r="D27" i="59"/>
  <c r="D28" i="59"/>
  <c r="D29" i="59"/>
  <c r="D30" i="59"/>
  <c r="D31" i="59"/>
  <c r="D32" i="59"/>
  <c r="D33" i="59"/>
  <c r="D34" i="59"/>
  <c r="D23" i="59"/>
  <c r="D6" i="59"/>
  <c r="D7" i="59"/>
  <c r="D8" i="59"/>
  <c r="D9" i="59"/>
  <c r="D10" i="59"/>
  <c r="D11" i="59"/>
  <c r="D12" i="59"/>
  <c r="D13" i="59"/>
  <c r="D14" i="59"/>
  <c r="D15" i="59"/>
  <c r="D16" i="59"/>
  <c r="D5" i="59"/>
  <c r="P22" i="57"/>
  <c r="O22" i="57"/>
  <c r="R22" i="57" s="1"/>
  <c r="N22" i="57"/>
  <c r="Q22" i="57" s="1"/>
  <c r="N23" i="57"/>
  <c r="N24" i="57"/>
  <c r="N25" i="57"/>
  <c r="N26" i="57"/>
  <c r="N27" i="57"/>
  <c r="N28" i="57"/>
  <c r="N29" i="57"/>
  <c r="N30" i="57"/>
  <c r="N31" i="57"/>
  <c r="N32" i="57"/>
  <c r="N33" i="57"/>
  <c r="M22" i="57"/>
  <c r="M23" i="57"/>
  <c r="M24" i="57"/>
  <c r="M25" i="57"/>
  <c r="M26" i="57"/>
  <c r="M27" i="57"/>
  <c r="M28" i="57"/>
  <c r="M29" i="57"/>
  <c r="M30" i="57"/>
  <c r="M31" i="57"/>
  <c r="M32" i="57"/>
  <c r="M33" i="57"/>
  <c r="L23" i="57"/>
  <c r="L24" i="57"/>
  <c r="L25" i="57"/>
  <c r="L26" i="57"/>
  <c r="L27" i="57"/>
  <c r="L28" i="57"/>
  <c r="L29" i="57"/>
  <c r="L30" i="57"/>
  <c r="L31" i="57"/>
  <c r="L32" i="57"/>
  <c r="L33" i="57"/>
  <c r="K32" i="57"/>
  <c r="Q32" i="57" s="1"/>
  <c r="K33" i="57"/>
  <c r="K23" i="57"/>
  <c r="K24" i="57"/>
  <c r="K25" i="57"/>
  <c r="K26" i="57"/>
  <c r="K27" i="57"/>
  <c r="K28" i="57"/>
  <c r="K29" i="57"/>
  <c r="K30" i="57"/>
  <c r="Q30" i="57" s="1"/>
  <c r="K31" i="57"/>
  <c r="K5" i="57"/>
  <c r="P6" i="57"/>
  <c r="P7" i="57"/>
  <c r="P8" i="57"/>
  <c r="P9" i="57"/>
  <c r="P10" i="57"/>
  <c r="P11" i="57"/>
  <c r="P12" i="57"/>
  <c r="P13" i="57"/>
  <c r="P14" i="57"/>
  <c r="P15" i="57"/>
  <c r="P16" i="57"/>
  <c r="P5" i="57"/>
  <c r="O6" i="57"/>
  <c r="O7" i="57"/>
  <c r="O8" i="57"/>
  <c r="O9" i="57"/>
  <c r="O10" i="57"/>
  <c r="O11" i="57"/>
  <c r="O12" i="57"/>
  <c r="O13" i="57"/>
  <c r="O14" i="57"/>
  <c r="O15" i="57"/>
  <c r="O16" i="57"/>
  <c r="O5" i="57"/>
  <c r="N6" i="57"/>
  <c r="N7" i="57"/>
  <c r="N8" i="57"/>
  <c r="N9" i="57"/>
  <c r="N10" i="57"/>
  <c r="N11" i="57"/>
  <c r="N12" i="57"/>
  <c r="N13" i="57"/>
  <c r="N14" i="57"/>
  <c r="N15" i="57"/>
  <c r="N16" i="57"/>
  <c r="N5" i="57"/>
  <c r="M6" i="57"/>
  <c r="M7" i="57"/>
  <c r="M8" i="57"/>
  <c r="M9" i="57"/>
  <c r="M10" i="57"/>
  <c r="M11" i="57"/>
  <c r="M12" i="57"/>
  <c r="M13" i="57"/>
  <c r="M14" i="57"/>
  <c r="M15" i="57"/>
  <c r="M16" i="57"/>
  <c r="M5" i="57"/>
  <c r="L6" i="57"/>
  <c r="L7" i="57"/>
  <c r="L8" i="57"/>
  <c r="L9" i="57"/>
  <c r="L10" i="57"/>
  <c r="L11" i="57"/>
  <c r="L12" i="57"/>
  <c r="L13" i="57"/>
  <c r="L14" i="57"/>
  <c r="L15" i="57"/>
  <c r="L16" i="57"/>
  <c r="L5" i="57"/>
  <c r="K12" i="57"/>
  <c r="K6" i="57"/>
  <c r="K7" i="57"/>
  <c r="K8" i="57"/>
  <c r="K9" i="57"/>
  <c r="K10" i="57"/>
  <c r="K11" i="57"/>
  <c r="K13" i="57"/>
  <c r="K14" i="57"/>
  <c r="K15" i="57"/>
  <c r="K16" i="57"/>
  <c r="G34" i="57"/>
  <c r="G17" i="57"/>
  <c r="E34" i="57"/>
  <c r="D34" i="57"/>
  <c r="F32" i="57" s="1"/>
  <c r="C34" i="57"/>
  <c r="F33" i="57"/>
  <c r="F31" i="57"/>
  <c r="F30" i="57"/>
  <c r="F29" i="57"/>
  <c r="F28" i="57"/>
  <c r="F27" i="57"/>
  <c r="F26" i="57"/>
  <c r="F25" i="57"/>
  <c r="F24" i="57"/>
  <c r="F23" i="57"/>
  <c r="F22" i="57"/>
  <c r="E17" i="57"/>
  <c r="D17" i="57"/>
  <c r="C17" i="57"/>
  <c r="F6" i="57"/>
  <c r="F7" i="57"/>
  <c r="F8" i="57"/>
  <c r="F9" i="57"/>
  <c r="F10" i="57"/>
  <c r="F11" i="57"/>
  <c r="F12" i="57"/>
  <c r="F13" i="57"/>
  <c r="F14" i="57"/>
  <c r="F15" i="57"/>
  <c r="F16" i="57"/>
  <c r="F5" i="57"/>
  <c r="M24" i="59"/>
  <c r="M25" i="59"/>
  <c r="M26" i="59"/>
  <c r="M27" i="59"/>
  <c r="M28" i="59"/>
  <c r="M29" i="59"/>
  <c r="M30" i="59"/>
  <c r="M31" i="59"/>
  <c r="M32" i="59"/>
  <c r="M33" i="59"/>
  <c r="M34" i="59"/>
  <c r="M23" i="59"/>
  <c r="E24" i="59"/>
  <c r="E25" i="59"/>
  <c r="E26" i="59"/>
  <c r="E27" i="59"/>
  <c r="E28" i="59"/>
  <c r="E29" i="59"/>
  <c r="E30" i="59"/>
  <c r="E31" i="59"/>
  <c r="E32" i="59"/>
  <c r="E33" i="59"/>
  <c r="E34" i="59"/>
  <c r="E23" i="59"/>
  <c r="I24" i="59"/>
  <c r="I25" i="59"/>
  <c r="I26" i="59"/>
  <c r="I27" i="59"/>
  <c r="I28" i="59"/>
  <c r="I29" i="59"/>
  <c r="I30" i="59"/>
  <c r="I31" i="59"/>
  <c r="I32" i="59"/>
  <c r="I33" i="59"/>
  <c r="I34" i="59"/>
  <c r="I23" i="59"/>
  <c r="C20" i="56"/>
  <c r="F20" i="56"/>
  <c r="I20" i="56"/>
  <c r="N34" i="59"/>
  <c r="N26" i="59"/>
  <c r="M4" i="51"/>
  <c r="Q28" i="57" l="1"/>
  <c r="H10" i="57"/>
  <c r="F17" i="57"/>
  <c r="N24" i="59"/>
  <c r="S22" i="57"/>
  <c r="Q24" i="57"/>
  <c r="Q29" i="57"/>
  <c r="Q31" i="57"/>
  <c r="Q23" i="57"/>
  <c r="Q33" i="57"/>
  <c r="Q25" i="57"/>
  <c r="R9" i="57"/>
  <c r="R8" i="57"/>
  <c r="S12" i="57"/>
  <c r="Q27" i="57"/>
  <c r="Q26" i="57"/>
  <c r="N23" i="59"/>
  <c r="R7" i="57"/>
  <c r="S11" i="57"/>
  <c r="N27" i="59"/>
  <c r="J35" i="59"/>
  <c r="H31" i="57"/>
  <c r="H23" i="57"/>
  <c r="H24" i="57"/>
  <c r="I22" i="57"/>
  <c r="H29" i="57"/>
  <c r="H26" i="57"/>
  <c r="H22" i="57"/>
  <c r="H27" i="57"/>
  <c r="S9" i="57"/>
  <c r="H30" i="57"/>
  <c r="H25" i="57"/>
  <c r="H5" i="57"/>
  <c r="I5" i="57"/>
  <c r="H32" i="57"/>
  <c r="H28" i="57"/>
  <c r="F35" i="59"/>
  <c r="I17" i="59"/>
  <c r="R12" i="57"/>
  <c r="H33" i="57"/>
  <c r="N30" i="59"/>
  <c r="N31" i="59"/>
  <c r="C35" i="59"/>
  <c r="R6" i="57"/>
  <c r="S10" i="57"/>
  <c r="S6" i="57"/>
  <c r="R10" i="57"/>
  <c r="R13" i="57"/>
  <c r="S8" i="57"/>
  <c r="S16" i="57"/>
  <c r="S15" i="57"/>
  <c r="S7" i="57"/>
  <c r="S14" i="57"/>
  <c r="S13" i="57"/>
  <c r="R14" i="57"/>
  <c r="R15" i="57"/>
  <c r="R16" i="57"/>
  <c r="R11" i="57"/>
  <c r="R5" i="57"/>
  <c r="S5" i="57"/>
  <c r="Q5" i="57"/>
  <c r="Q7" i="57"/>
  <c r="Q6" i="57"/>
  <c r="F34" i="57"/>
  <c r="Q34" i="59"/>
  <c r="Q28" i="59"/>
  <c r="Q26" i="59"/>
  <c r="Q27" i="59"/>
  <c r="Q33" i="59"/>
  <c r="Q31" i="59"/>
  <c r="Q32" i="59"/>
  <c r="M35" i="59"/>
  <c r="Q29" i="59"/>
  <c r="Q25" i="59"/>
  <c r="E35" i="59"/>
  <c r="Q24" i="59"/>
  <c r="Q30" i="59"/>
  <c r="D17" i="59"/>
  <c r="N11" i="59"/>
  <c r="N9" i="59"/>
  <c r="N8" i="59"/>
  <c r="E17" i="59"/>
  <c r="N14" i="59"/>
  <c r="N15" i="59"/>
  <c r="K17" i="59"/>
  <c r="H17" i="59"/>
  <c r="N5" i="59"/>
  <c r="N7" i="59"/>
  <c r="N6" i="59"/>
  <c r="N10" i="59"/>
  <c r="N12" i="59"/>
  <c r="N13" i="59"/>
  <c r="N16" i="59"/>
  <c r="I35" i="59"/>
  <c r="Q23" i="59"/>
  <c r="B221" i="45"/>
  <c r="B15" i="45"/>
  <c r="B21" i="45"/>
  <c r="I36" i="59" l="1"/>
  <c r="M36" i="59"/>
  <c r="H18" i="59"/>
  <c r="N19" i="59"/>
  <c r="Q35" i="59"/>
  <c r="H29" i="59"/>
  <c r="J5" i="59"/>
  <c r="H30" i="59"/>
  <c r="H27" i="59"/>
  <c r="G5" i="59"/>
  <c r="L23" i="59"/>
  <c r="H33" i="59"/>
  <c r="H26" i="59"/>
  <c r="H25" i="59"/>
  <c r="H31" i="59"/>
  <c r="H24" i="59"/>
  <c r="H32" i="59"/>
  <c r="H28" i="59"/>
  <c r="N35" i="59"/>
  <c r="J22" i="57"/>
  <c r="H23" i="59"/>
  <c r="H34" i="57"/>
  <c r="H34" i="59"/>
  <c r="L17" i="59"/>
  <c r="E36" i="59"/>
  <c r="Q8" i="57"/>
  <c r="R25" i="59"/>
  <c r="R34" i="59"/>
  <c r="R28" i="59"/>
  <c r="N17" i="59"/>
  <c r="R31" i="59"/>
  <c r="O7" i="59"/>
  <c r="O10" i="59"/>
  <c r="E18" i="59"/>
  <c r="K18" i="59"/>
  <c r="O16" i="59"/>
  <c r="O13" i="59"/>
  <c r="Q37" i="59"/>
  <c r="H87" i="51"/>
  <c r="Q36" i="59" l="1"/>
  <c r="P23" i="59"/>
  <c r="M5" i="59"/>
  <c r="H35" i="59"/>
  <c r="N18" i="59"/>
  <c r="Q9" i="57"/>
  <c r="M87" i="51"/>
  <c r="Q10" i="57" l="1"/>
  <c r="H210" i="45"/>
  <c r="H211" i="45"/>
  <c r="H212" i="45"/>
  <c r="H213" i="45"/>
  <c r="H214" i="45"/>
  <c r="H215" i="45"/>
  <c r="H216" i="45"/>
  <c r="H217" i="45"/>
  <c r="H218" i="45"/>
  <c r="H219" i="45"/>
  <c r="H220" i="45"/>
  <c r="H221" i="45"/>
  <c r="H222" i="45"/>
  <c r="H223" i="45"/>
  <c r="H224" i="45"/>
  <c r="H225" i="45"/>
  <c r="H226" i="45"/>
  <c r="H227" i="45"/>
  <c r="H228" i="45"/>
  <c r="H229" i="45"/>
  <c r="H230" i="45"/>
  <c r="H231" i="45"/>
  <c r="H232" i="45"/>
  <c r="H233" i="45"/>
  <c r="H234" i="45"/>
  <c r="H235" i="45"/>
  <c r="H236" i="45"/>
  <c r="H237" i="45"/>
  <c r="H238" i="45"/>
  <c r="H239" i="45"/>
  <c r="H240" i="45"/>
  <c r="H241" i="45"/>
  <c r="H242" i="45"/>
  <c r="H243" i="45"/>
  <c r="H244" i="45"/>
  <c r="H245" i="45"/>
  <c r="H246" i="45"/>
  <c r="H247" i="45"/>
  <c r="H248" i="45"/>
  <c r="H249" i="45"/>
  <c r="H250" i="45"/>
  <c r="H251" i="45"/>
  <c r="H252" i="45"/>
  <c r="H253" i="45"/>
  <c r="H254" i="45"/>
  <c r="H255" i="45"/>
  <c r="H256" i="45"/>
  <c r="H257" i="45"/>
  <c r="H258" i="45"/>
  <c r="H259" i="45"/>
  <c r="H260" i="45"/>
  <c r="H261" i="45"/>
  <c r="H262" i="45"/>
  <c r="H263" i="45"/>
  <c r="H264" i="45"/>
  <c r="H265" i="45"/>
  <c r="H266" i="45"/>
  <c r="H267" i="45"/>
  <c r="H268" i="45"/>
  <c r="H269" i="45"/>
  <c r="H270" i="45"/>
  <c r="H271" i="45"/>
  <c r="H272" i="45"/>
  <c r="H273" i="45"/>
  <c r="H274" i="45"/>
  <c r="H275" i="45"/>
  <c r="H276" i="45"/>
  <c r="H277" i="45"/>
  <c r="H278" i="45"/>
  <c r="H279" i="45"/>
  <c r="H280" i="45"/>
  <c r="H281" i="45"/>
  <c r="H282" i="45"/>
  <c r="H283" i="45"/>
  <c r="H284" i="45"/>
  <c r="H285" i="45"/>
  <c r="H286" i="45"/>
  <c r="H287" i="45"/>
  <c r="H288" i="45"/>
  <c r="H289" i="45"/>
  <c r="H290" i="45"/>
  <c r="H291" i="45"/>
  <c r="H292" i="45"/>
  <c r="H293" i="45"/>
  <c r="H294" i="45"/>
  <c r="H295" i="45"/>
  <c r="H296" i="45"/>
  <c r="H297" i="45"/>
  <c r="H298" i="45"/>
  <c r="H299" i="45"/>
  <c r="H300" i="45"/>
  <c r="H301" i="45"/>
  <c r="H302" i="45"/>
  <c r="H303" i="45"/>
  <c r="H304" i="45"/>
  <c r="H305" i="45"/>
  <c r="H306" i="45"/>
  <c r="H307" i="45"/>
  <c r="H308" i="45"/>
  <c r="H209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94" i="45"/>
  <c r="I95" i="45"/>
  <c r="I96" i="45"/>
  <c r="I97" i="45"/>
  <c r="I98" i="45"/>
  <c r="I99" i="45"/>
  <c r="I100" i="45"/>
  <c r="I101" i="45"/>
  <c r="I102" i="45"/>
  <c r="I103" i="45"/>
  <c r="I104" i="45"/>
  <c r="I105" i="45"/>
  <c r="I106" i="45"/>
  <c r="I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2" i="45"/>
  <c r="H63" i="45"/>
  <c r="H64" i="45"/>
  <c r="H65" i="45"/>
  <c r="H66" i="45"/>
  <c r="H67" i="45"/>
  <c r="H68" i="45"/>
  <c r="H69" i="45"/>
  <c r="H70" i="45"/>
  <c r="H71" i="45"/>
  <c r="H72" i="45"/>
  <c r="H73" i="45"/>
  <c r="H74" i="45"/>
  <c r="H75" i="45"/>
  <c r="H76" i="45"/>
  <c r="H77" i="45"/>
  <c r="H78" i="45"/>
  <c r="H79" i="45"/>
  <c r="H80" i="45"/>
  <c r="H81" i="45"/>
  <c r="H82" i="45"/>
  <c r="H83" i="45"/>
  <c r="H84" i="45"/>
  <c r="H85" i="45"/>
  <c r="H86" i="45"/>
  <c r="H87" i="45"/>
  <c r="H88" i="45"/>
  <c r="H89" i="45"/>
  <c r="H90" i="45"/>
  <c r="H91" i="45"/>
  <c r="H92" i="45"/>
  <c r="H93" i="45"/>
  <c r="H94" i="45"/>
  <c r="H95" i="45"/>
  <c r="H96" i="45"/>
  <c r="H97" i="45"/>
  <c r="H98" i="45"/>
  <c r="H99" i="45"/>
  <c r="H100" i="45"/>
  <c r="H101" i="45"/>
  <c r="H102" i="45"/>
  <c r="H103" i="45"/>
  <c r="H104" i="45"/>
  <c r="H105" i="45"/>
  <c r="H106" i="45"/>
  <c r="H7" i="45"/>
  <c r="H225" i="29"/>
  <c r="Q11" i="57" l="1"/>
  <c r="M88" i="51"/>
  <c r="H90" i="51"/>
  <c r="M90" i="51" s="1"/>
  <c r="M89" i="51"/>
  <c r="M86" i="51"/>
  <c r="Q12" i="57" l="1"/>
  <c r="B25" i="45"/>
  <c r="Q13" i="57" l="1"/>
  <c r="B293" i="45"/>
  <c r="Q14" i="57" l="1"/>
  <c r="B307" i="45"/>
  <c r="Q15" i="57" l="1"/>
  <c r="Q16" i="57"/>
  <c r="M83" i="51"/>
  <c r="M85" i="51"/>
  <c r="M84" i="51"/>
  <c r="B290" i="45" l="1"/>
  <c r="B259" i="45" l="1"/>
  <c r="B20" i="45" l="1"/>
  <c r="M82" i="51"/>
  <c r="B18" i="45" l="1"/>
  <c r="B17" i="45"/>
  <c r="E11" i="56" l="1"/>
  <c r="M66" i="51"/>
  <c r="M34" i="51"/>
  <c r="M35" i="51"/>
  <c r="M36" i="51"/>
  <c r="M37" i="51"/>
  <c r="M38" i="51"/>
  <c r="M39" i="51"/>
  <c r="M40" i="51"/>
  <c r="M41" i="51"/>
  <c r="M42" i="51"/>
  <c r="M43" i="51"/>
  <c r="M44" i="51"/>
  <c r="M45" i="51"/>
  <c r="M46" i="51"/>
  <c r="M47" i="51"/>
  <c r="M48" i="51"/>
  <c r="M49" i="51"/>
  <c r="M50" i="51"/>
  <c r="M51" i="51"/>
  <c r="M52" i="51"/>
  <c r="M53" i="51"/>
  <c r="M54" i="51"/>
  <c r="M55" i="51"/>
  <c r="M56" i="51"/>
  <c r="M57" i="51"/>
  <c r="M58" i="51"/>
  <c r="M59" i="51"/>
  <c r="M60" i="51"/>
  <c r="M61" i="51"/>
  <c r="M62" i="51"/>
  <c r="M63" i="51"/>
  <c r="M64" i="51"/>
  <c r="M65" i="51"/>
  <c r="M67" i="51"/>
  <c r="M68" i="51"/>
  <c r="M69" i="51"/>
  <c r="M70" i="51"/>
  <c r="M71" i="51"/>
  <c r="M72" i="51"/>
  <c r="M73" i="51"/>
  <c r="M74" i="51"/>
  <c r="M33" i="51"/>
  <c r="M80" i="51" l="1"/>
  <c r="M81" i="51"/>
  <c r="M75" i="51"/>
  <c r="M78" i="51"/>
  <c r="M76" i="51"/>
  <c r="M77" i="51"/>
  <c r="B14" i="45" l="1"/>
  <c r="F52" i="56" l="1"/>
  <c r="I52" i="56" l="1"/>
  <c r="C52" i="56"/>
  <c r="B82" i="45" l="1"/>
  <c r="G69" i="56" l="1"/>
  <c r="G70" i="56"/>
  <c r="G71" i="56"/>
  <c r="G76" i="56"/>
  <c r="G77" i="56"/>
  <c r="G78" i="56"/>
  <c r="B80" i="45" l="1"/>
  <c r="D5" i="56" l="1"/>
  <c r="E5" i="56"/>
  <c r="L5" i="56"/>
  <c r="D6" i="56"/>
  <c r="E6" i="56"/>
  <c r="L6" i="56"/>
  <c r="D7" i="56"/>
  <c r="L7" i="56"/>
  <c r="D11" i="56"/>
  <c r="L11" i="56"/>
  <c r="D12" i="56"/>
  <c r="E12" i="56"/>
  <c r="L12" i="56"/>
  <c r="D13" i="56"/>
  <c r="E13" i="56"/>
  <c r="L13" i="56"/>
  <c r="D14" i="56"/>
  <c r="E14" i="56"/>
  <c r="L14" i="56"/>
  <c r="D15" i="56"/>
  <c r="E15" i="56"/>
  <c r="L15" i="56"/>
  <c r="D16" i="56"/>
  <c r="E16" i="56"/>
  <c r="L16" i="56"/>
  <c r="E7" i="56"/>
  <c r="B284" i="45"/>
  <c r="L20" i="56" l="1"/>
  <c r="D20" i="56"/>
  <c r="D21" i="56" s="1"/>
  <c r="E20" i="56"/>
  <c r="B210" i="45"/>
  <c r="B209" i="45"/>
  <c r="B8" i="45" l="1"/>
  <c r="B105" i="45"/>
  <c r="M17" i="53" l="1"/>
  <c r="N11" i="53" l="1"/>
  <c r="P48" i="56" l="1"/>
  <c r="P45" i="56"/>
  <c r="P42" i="56"/>
  <c r="P39" i="56"/>
  <c r="I107" i="29" l="1"/>
  <c r="D43" i="56" l="1"/>
  <c r="D8" i="56"/>
  <c r="D9" i="56"/>
  <c r="D10" i="56"/>
  <c r="B239" i="45" l="1"/>
  <c r="B305" i="45" l="1"/>
  <c r="H38" i="29" l="1"/>
  <c r="P33" i="57" l="1"/>
  <c r="S33" i="57" s="1"/>
  <c r="O33" i="57"/>
  <c r="R33" i="57" s="1"/>
  <c r="P32" i="57"/>
  <c r="S32" i="57" s="1"/>
  <c r="O32" i="57"/>
  <c r="R32" i="57" s="1"/>
  <c r="P31" i="57"/>
  <c r="S31" i="57" s="1"/>
  <c r="O31" i="57"/>
  <c r="R31" i="57" s="1"/>
  <c r="P30" i="57"/>
  <c r="S30" i="57" s="1"/>
  <c r="O30" i="57"/>
  <c r="R30" i="57" s="1"/>
  <c r="P29" i="57"/>
  <c r="S29" i="57" s="1"/>
  <c r="O29" i="57"/>
  <c r="R29" i="57" s="1"/>
  <c r="P28" i="57"/>
  <c r="S28" i="57" s="1"/>
  <c r="O28" i="57"/>
  <c r="R28" i="57" s="1"/>
  <c r="P27" i="57"/>
  <c r="S27" i="57" s="1"/>
  <c r="O27" i="57"/>
  <c r="R27" i="57" s="1"/>
  <c r="P26" i="57"/>
  <c r="S26" i="57" s="1"/>
  <c r="O26" i="57"/>
  <c r="R26" i="57" s="1"/>
  <c r="P25" i="57"/>
  <c r="S25" i="57" s="1"/>
  <c r="O25" i="57"/>
  <c r="R25" i="57" s="1"/>
  <c r="P24" i="57"/>
  <c r="S24" i="57" s="1"/>
  <c r="O24" i="57"/>
  <c r="R24" i="57" s="1"/>
  <c r="P23" i="57"/>
  <c r="S23" i="57" s="1"/>
  <c r="O23" i="57"/>
  <c r="R23" i="57" s="1"/>
  <c r="I26" i="57" l="1"/>
  <c r="I30" i="57"/>
  <c r="I23" i="57"/>
  <c r="I27" i="57"/>
  <c r="I31" i="57"/>
  <c r="I24" i="57"/>
  <c r="I28" i="57"/>
  <c r="I32" i="57"/>
  <c r="I25" i="57"/>
  <c r="I29" i="57"/>
  <c r="I33" i="57"/>
  <c r="P34" i="57"/>
  <c r="K34" i="57"/>
  <c r="L34" i="57"/>
  <c r="M34" i="57"/>
  <c r="N34" i="57"/>
  <c r="O34" i="57"/>
  <c r="L34" i="59" l="1"/>
  <c r="J33" i="57"/>
  <c r="L30" i="59"/>
  <c r="P30" i="59" s="1"/>
  <c r="J29" i="57"/>
  <c r="L31" i="59"/>
  <c r="P31" i="59" s="1"/>
  <c r="J30" i="57"/>
  <c r="L24" i="59"/>
  <c r="J23" i="57"/>
  <c r="I34" i="57"/>
  <c r="L25" i="59"/>
  <c r="P25" i="59" s="1"/>
  <c r="J24" i="57"/>
  <c r="L32" i="59"/>
  <c r="P32" i="59" s="1"/>
  <c r="J31" i="57"/>
  <c r="L33" i="59"/>
  <c r="P33" i="59" s="1"/>
  <c r="J32" i="57"/>
  <c r="J27" i="57"/>
  <c r="L28" i="59"/>
  <c r="P28" i="59" s="1"/>
  <c r="L29" i="59"/>
  <c r="P29" i="59" s="1"/>
  <c r="J28" i="57"/>
  <c r="L26" i="59"/>
  <c r="P26" i="59" s="1"/>
  <c r="J25" i="57"/>
  <c r="L27" i="59"/>
  <c r="P27" i="59" s="1"/>
  <c r="J26" i="57"/>
  <c r="R34" i="57"/>
  <c r="S34" i="57"/>
  <c r="J34" i="57" l="1"/>
  <c r="P24" i="59"/>
  <c r="L35" i="59"/>
  <c r="B37" i="45"/>
  <c r="C7" i="50" l="1"/>
  <c r="C39" i="50"/>
  <c r="C29" i="50"/>
  <c r="C19" i="50"/>
  <c r="E34" i="53" l="1"/>
  <c r="B73" i="45" l="1"/>
  <c r="B61" i="45"/>
  <c r="B10" i="45" l="1"/>
  <c r="N6" i="53" l="1"/>
  <c r="D38" i="56" s="1"/>
  <c r="N7" i="53"/>
  <c r="D39" i="56" s="1"/>
  <c r="N8" i="53"/>
  <c r="D40" i="56" s="1"/>
  <c r="N9" i="53"/>
  <c r="N10" i="53"/>
  <c r="N12" i="53"/>
  <c r="D44" i="56" s="1"/>
  <c r="N13" i="53"/>
  <c r="N14" i="53"/>
  <c r="N15" i="53"/>
  <c r="N16" i="53"/>
  <c r="N5" i="53"/>
  <c r="D37" i="56" s="1"/>
  <c r="M22" i="53"/>
  <c r="D35" i="59" l="1"/>
  <c r="P35" i="59" s="1"/>
  <c r="P34" i="59"/>
  <c r="H7" i="50"/>
  <c r="D42" i="56"/>
  <c r="D41" i="56"/>
  <c r="D48" i="56"/>
  <c r="D46" i="56"/>
  <c r="D47" i="56"/>
  <c r="D45" i="56"/>
  <c r="D52" i="56" s="1"/>
  <c r="N17" i="53"/>
  <c r="N22" i="53" s="1"/>
  <c r="D53" i="56" l="1"/>
  <c r="I29" i="50"/>
  <c r="I39" i="50"/>
  <c r="AG5" i="45"/>
  <c r="AE5" i="45"/>
  <c r="AC5" i="45"/>
  <c r="AA5" i="45"/>
  <c r="Y5" i="45"/>
  <c r="W5" i="45"/>
  <c r="U5" i="45"/>
  <c r="S5" i="45"/>
  <c r="Q5" i="45"/>
  <c r="O5" i="45"/>
  <c r="M5" i="45"/>
  <c r="K5" i="45"/>
  <c r="B302" i="45"/>
  <c r="I19" i="50" l="1"/>
  <c r="L31" i="53"/>
  <c r="E31" i="53"/>
  <c r="F31" i="53"/>
  <c r="G31" i="53"/>
  <c r="E32" i="53"/>
  <c r="F32" i="53"/>
  <c r="G32" i="53"/>
  <c r="E33" i="53"/>
  <c r="F33" i="53"/>
  <c r="G33" i="53"/>
  <c r="F34" i="53"/>
  <c r="G34" i="53"/>
  <c r="E35" i="53"/>
  <c r="F35" i="53"/>
  <c r="G35" i="53"/>
  <c r="E36" i="53"/>
  <c r="F36" i="53"/>
  <c r="G36" i="53"/>
  <c r="E37" i="53"/>
  <c r="F37" i="53"/>
  <c r="G37" i="53"/>
  <c r="E38" i="53"/>
  <c r="F38" i="53"/>
  <c r="G38" i="53"/>
  <c r="E39" i="53"/>
  <c r="F39" i="53"/>
  <c r="G39" i="53"/>
  <c r="E40" i="53"/>
  <c r="F40" i="53"/>
  <c r="G40" i="53"/>
  <c r="E41" i="53"/>
  <c r="F41" i="53"/>
  <c r="G41" i="53"/>
  <c r="G30" i="53"/>
  <c r="F30" i="53"/>
  <c r="H30" i="53"/>
  <c r="E30" i="53"/>
  <c r="E42" i="53" l="1"/>
  <c r="C34" i="53"/>
  <c r="C35" i="53"/>
  <c r="H31" i="53"/>
  <c r="I31" i="53"/>
  <c r="J31" i="53"/>
  <c r="H32" i="53"/>
  <c r="I32" i="53"/>
  <c r="J32" i="53"/>
  <c r="H33" i="53"/>
  <c r="I33" i="53"/>
  <c r="J33" i="53"/>
  <c r="H34" i="53"/>
  <c r="I34" i="53"/>
  <c r="J34" i="53"/>
  <c r="H35" i="53"/>
  <c r="I35" i="53"/>
  <c r="J35" i="53"/>
  <c r="H36" i="53"/>
  <c r="I36" i="53"/>
  <c r="J36" i="53"/>
  <c r="H37" i="53"/>
  <c r="I37" i="53"/>
  <c r="J37" i="53"/>
  <c r="H38" i="53"/>
  <c r="I38" i="53"/>
  <c r="J38" i="53"/>
  <c r="H39" i="53"/>
  <c r="I39" i="53"/>
  <c r="J39" i="53"/>
  <c r="H40" i="53"/>
  <c r="I40" i="53"/>
  <c r="J40" i="53"/>
  <c r="H41" i="53"/>
  <c r="I41" i="53"/>
  <c r="J41" i="53"/>
  <c r="J30" i="53"/>
  <c r="I30" i="53"/>
  <c r="F42" i="53" l="1"/>
  <c r="D57" i="53" s="1"/>
  <c r="D30" i="53"/>
  <c r="I42" i="53"/>
  <c r="D65" i="53" s="1"/>
  <c r="J42" i="53"/>
  <c r="D66" i="53" s="1"/>
  <c r="D56" i="53"/>
  <c r="G42" i="53"/>
  <c r="D58" i="53" s="1"/>
  <c r="H42" i="53"/>
  <c r="D64" i="53" s="1"/>
  <c r="C30" i="53"/>
  <c r="E48" i="56"/>
  <c r="E47" i="56"/>
  <c r="E46" i="56"/>
  <c r="E45" i="56"/>
  <c r="E44" i="56"/>
  <c r="E43" i="56"/>
  <c r="E42" i="56"/>
  <c r="E41" i="56"/>
  <c r="E40" i="56"/>
  <c r="E39" i="56"/>
  <c r="E38" i="56"/>
  <c r="E37" i="56"/>
  <c r="E10" i="56"/>
  <c r="E9" i="56"/>
  <c r="E8" i="56"/>
  <c r="K208" i="45"/>
  <c r="K37" i="56" s="1"/>
  <c r="L208" i="45"/>
  <c r="K6" i="56" s="1"/>
  <c r="M208" i="45"/>
  <c r="K38" i="56" s="1"/>
  <c r="N208" i="45"/>
  <c r="K7" i="56" s="1"/>
  <c r="O208" i="45"/>
  <c r="K39" i="56" s="1"/>
  <c r="P208" i="45"/>
  <c r="K8" i="56" s="1"/>
  <c r="Q208" i="45"/>
  <c r="K40" i="56" s="1"/>
  <c r="R208" i="45"/>
  <c r="K9" i="56" s="1"/>
  <c r="S208" i="45"/>
  <c r="K41" i="56" s="1"/>
  <c r="T208" i="45"/>
  <c r="K10" i="56" s="1"/>
  <c r="U208" i="45"/>
  <c r="K42" i="56" s="1"/>
  <c r="V208" i="45"/>
  <c r="K11" i="56" s="1"/>
  <c r="W208" i="45"/>
  <c r="K43" i="56" s="1"/>
  <c r="X208" i="45"/>
  <c r="K12" i="56" s="1"/>
  <c r="Y208" i="45"/>
  <c r="K44" i="56" s="1"/>
  <c r="Z208" i="45"/>
  <c r="K13" i="56" s="1"/>
  <c r="AA208" i="45"/>
  <c r="K45" i="56" s="1"/>
  <c r="AB208" i="45"/>
  <c r="K14" i="56" s="1"/>
  <c r="AC208" i="45"/>
  <c r="K46" i="56" s="1"/>
  <c r="AD208" i="45"/>
  <c r="K15" i="56" s="1"/>
  <c r="AE208" i="45"/>
  <c r="K47" i="56" s="1"/>
  <c r="AF208" i="45"/>
  <c r="K16" i="56" s="1"/>
  <c r="AG208" i="45"/>
  <c r="K48" i="56" s="1"/>
  <c r="J208" i="45"/>
  <c r="K5" i="56" s="1"/>
  <c r="K6" i="45"/>
  <c r="H37" i="56" s="1"/>
  <c r="L6" i="45"/>
  <c r="H6" i="56" s="1"/>
  <c r="N6" i="56" s="1"/>
  <c r="M6" i="45"/>
  <c r="H38" i="56" s="1"/>
  <c r="N6" i="45"/>
  <c r="H7" i="56" s="1"/>
  <c r="O6" i="45"/>
  <c r="H39" i="56" s="1"/>
  <c r="P6" i="45"/>
  <c r="H8" i="56" s="1"/>
  <c r="Q6" i="45"/>
  <c r="H40" i="56" s="1"/>
  <c r="R6" i="45"/>
  <c r="H9" i="56" s="1"/>
  <c r="S6" i="45"/>
  <c r="H41" i="56" s="1"/>
  <c r="T6" i="45"/>
  <c r="H10" i="56" s="1"/>
  <c r="U6" i="45"/>
  <c r="H42" i="56" s="1"/>
  <c r="V6" i="45"/>
  <c r="H11" i="56" s="1"/>
  <c r="W6" i="45"/>
  <c r="H43" i="56" s="1"/>
  <c r="X6" i="45"/>
  <c r="H12" i="56" s="1"/>
  <c r="Y6" i="45"/>
  <c r="H44" i="56" s="1"/>
  <c r="Z6" i="45"/>
  <c r="H13" i="56" s="1"/>
  <c r="AA6" i="45"/>
  <c r="H45" i="56" s="1"/>
  <c r="AB6" i="45"/>
  <c r="H14" i="56" s="1"/>
  <c r="AC6" i="45"/>
  <c r="H46" i="56" s="1"/>
  <c r="AD6" i="45"/>
  <c r="H15" i="56" s="1"/>
  <c r="AE6" i="45"/>
  <c r="H47" i="56" s="1"/>
  <c r="AF6" i="45"/>
  <c r="H16" i="56" s="1"/>
  <c r="AG6" i="45"/>
  <c r="H48" i="56" s="1"/>
  <c r="J6" i="45"/>
  <c r="H5" i="56" s="1"/>
  <c r="D49" i="56"/>
  <c r="D17" i="56"/>
  <c r="D68" i="56" s="1"/>
  <c r="C17" i="56"/>
  <c r="C68" i="56" s="1"/>
  <c r="K20" i="56" l="1"/>
  <c r="H20" i="56"/>
  <c r="N16" i="56"/>
  <c r="N13" i="56"/>
  <c r="N12" i="56"/>
  <c r="N15" i="56"/>
  <c r="E52" i="56"/>
  <c r="H52" i="56"/>
  <c r="K52" i="56"/>
  <c r="N11" i="56"/>
  <c r="D75" i="56"/>
  <c r="N7" i="56"/>
  <c r="N5" i="56"/>
  <c r="N14" i="56"/>
  <c r="N8" i="56"/>
  <c r="N41" i="56"/>
  <c r="N38" i="56"/>
  <c r="N42" i="56"/>
  <c r="N46" i="56"/>
  <c r="N9" i="56"/>
  <c r="N39" i="56"/>
  <c r="N43" i="56"/>
  <c r="N47" i="56"/>
  <c r="N37" i="56"/>
  <c r="N45" i="56"/>
  <c r="N10" i="56"/>
  <c r="N40" i="56"/>
  <c r="N44" i="56"/>
  <c r="N48" i="56"/>
  <c r="C21" i="50"/>
  <c r="C9" i="50"/>
  <c r="C41" i="50"/>
  <c r="C31" i="50"/>
  <c r="B7" i="50"/>
  <c r="I9" i="50"/>
  <c r="D9" i="50"/>
  <c r="O9" i="54"/>
  <c r="D20" i="50"/>
  <c r="I8" i="50"/>
  <c r="D8" i="50"/>
  <c r="D7" i="50"/>
  <c r="H17" i="56"/>
  <c r="N9" i="54"/>
  <c r="J21" i="50"/>
  <c r="J39" i="50"/>
  <c r="I91" i="54"/>
  <c r="D29" i="50"/>
  <c r="D39" i="50"/>
  <c r="J29" i="50"/>
  <c r="J41" i="50"/>
  <c r="D31" i="50"/>
  <c r="J40" i="50"/>
  <c r="D41" i="50"/>
  <c r="D30" i="50"/>
  <c r="J20" i="50"/>
  <c r="K20" i="50"/>
  <c r="K30" i="50"/>
  <c r="K21" i="50"/>
  <c r="K31" i="50"/>
  <c r="E30" i="50"/>
  <c r="E20" i="50"/>
  <c r="E21" i="50"/>
  <c r="E31" i="50"/>
  <c r="D40" i="50"/>
  <c r="J31" i="50"/>
  <c r="J30" i="50"/>
  <c r="D21" i="50"/>
  <c r="D19" i="50"/>
  <c r="J19" i="50"/>
  <c r="E19" i="50"/>
  <c r="E29" i="50"/>
  <c r="I7" i="50"/>
  <c r="K29" i="50"/>
  <c r="K19" i="50"/>
  <c r="K49" i="56"/>
  <c r="E49" i="56"/>
  <c r="D62" i="56" s="1"/>
  <c r="I17" i="56"/>
  <c r="E17" i="56"/>
  <c r="H49" i="56"/>
  <c r="C49" i="56"/>
  <c r="C75" i="56" s="1"/>
  <c r="K17" i="56"/>
  <c r="D25" i="56" l="1"/>
  <c r="D30" i="56"/>
  <c r="G30" i="56"/>
  <c r="G25" i="56"/>
  <c r="N20" i="56"/>
  <c r="J30" i="56"/>
  <c r="J25" i="56"/>
  <c r="E62" i="56"/>
  <c r="E68" i="56"/>
  <c r="C70" i="56"/>
  <c r="N52" i="56"/>
  <c r="P10" i="56"/>
  <c r="E77" i="56"/>
  <c r="E75" i="56"/>
  <c r="E70" i="56"/>
  <c r="E69" i="56"/>
  <c r="E76" i="56"/>
  <c r="N51" i="56"/>
  <c r="N17" i="56"/>
  <c r="N49" i="56"/>
  <c r="E7" i="50"/>
  <c r="D10" i="50"/>
  <c r="N19" i="56"/>
  <c r="D57" i="56"/>
  <c r="E57" i="56" s="1"/>
  <c r="P16" i="56"/>
  <c r="D22" i="50"/>
  <c r="O7" i="54"/>
  <c r="K22" i="50"/>
  <c r="I10" i="50"/>
  <c r="J22" i="50"/>
  <c r="E22" i="50"/>
  <c r="M21" i="53"/>
  <c r="M23" i="53" s="1"/>
  <c r="M24" i="53" s="1"/>
  <c r="E18" i="56"/>
  <c r="F68" i="56" s="1"/>
  <c r="E23" i="53"/>
  <c r="H23" i="53"/>
  <c r="N7" i="54"/>
  <c r="B9" i="50"/>
  <c r="F21" i="53"/>
  <c r="G7" i="50"/>
  <c r="O5" i="54"/>
  <c r="N21" i="53"/>
  <c r="N23" i="53" s="1"/>
  <c r="E48" i="53"/>
  <c r="O6" i="54"/>
  <c r="N5" i="54"/>
  <c r="N6" i="54"/>
  <c r="P7" i="56"/>
  <c r="H48" i="53"/>
  <c r="P13" i="56"/>
  <c r="K18" i="56"/>
  <c r="F70" i="56" s="1"/>
  <c r="E50" i="56"/>
  <c r="F75" i="56" s="1"/>
  <c r="J26" i="56" l="1"/>
  <c r="K25" i="56"/>
  <c r="J31" i="56"/>
  <c r="K31" i="56" s="1"/>
  <c r="K30" i="56"/>
  <c r="G26" i="56"/>
  <c r="G31" i="56"/>
  <c r="M30" i="56"/>
  <c r="E30" i="56"/>
  <c r="M25" i="56"/>
  <c r="E25" i="56"/>
  <c r="E71" i="56"/>
  <c r="E78" i="56"/>
  <c r="F25" i="53"/>
  <c r="I49" i="54" s="1"/>
  <c r="G22" i="53"/>
  <c r="I95" i="54"/>
  <c r="I99" i="54" s="1"/>
  <c r="N24" i="53"/>
  <c r="M26" i="56" l="1"/>
  <c r="G27" i="56"/>
  <c r="M31" i="56"/>
  <c r="J27" i="56"/>
  <c r="K27" i="56" s="1"/>
  <c r="K26" i="56"/>
  <c r="G25" i="53"/>
  <c r="B224" i="45"/>
  <c r="M33" i="56" l="1"/>
  <c r="M27" i="56"/>
  <c r="D208" i="29"/>
  <c r="C37" i="53" l="1"/>
  <c r="B5" i="45"/>
  <c r="C5" i="45"/>
  <c r="F5" i="45"/>
  <c r="B7" i="45"/>
  <c r="C7" i="45"/>
  <c r="F7" i="45"/>
  <c r="G7" i="45"/>
  <c r="C8" i="45"/>
  <c r="F8" i="45"/>
  <c r="B9" i="45"/>
  <c r="C9" i="45"/>
  <c r="F9" i="45"/>
  <c r="C10" i="45"/>
  <c r="F10" i="45"/>
  <c r="B11" i="45"/>
  <c r="C11" i="45"/>
  <c r="F11" i="45"/>
  <c r="B12" i="45"/>
  <c r="C12" i="45"/>
  <c r="F12" i="45"/>
  <c r="B13" i="45"/>
  <c r="C13" i="45"/>
  <c r="F13" i="45"/>
  <c r="C14" i="45"/>
  <c r="F14" i="45"/>
  <c r="C15" i="45"/>
  <c r="F15" i="45"/>
  <c r="B16" i="45"/>
  <c r="C16" i="45"/>
  <c r="F16" i="45"/>
  <c r="C17" i="45"/>
  <c r="F17" i="45"/>
  <c r="C18" i="45"/>
  <c r="F18" i="45"/>
  <c r="B19" i="45"/>
  <c r="C19" i="45"/>
  <c r="F19" i="45"/>
  <c r="C20" i="45"/>
  <c r="F20" i="45"/>
  <c r="C21" i="45"/>
  <c r="F21" i="45"/>
  <c r="B22" i="45"/>
  <c r="C22" i="45"/>
  <c r="F22" i="45"/>
  <c r="B23" i="45"/>
  <c r="C23" i="45"/>
  <c r="F23" i="45"/>
  <c r="B24" i="45"/>
  <c r="C24" i="45"/>
  <c r="F24" i="45"/>
  <c r="C25" i="45"/>
  <c r="F25" i="45"/>
  <c r="B26" i="45"/>
  <c r="C26" i="45"/>
  <c r="F26" i="45"/>
  <c r="B27" i="45"/>
  <c r="C27" i="45"/>
  <c r="F27" i="45"/>
  <c r="B28" i="45"/>
  <c r="C28" i="45"/>
  <c r="F28" i="45"/>
  <c r="B29" i="45"/>
  <c r="C29" i="45"/>
  <c r="F29" i="45"/>
  <c r="B30" i="45"/>
  <c r="C30" i="45"/>
  <c r="F30" i="45"/>
  <c r="B31" i="45"/>
  <c r="C31" i="45"/>
  <c r="F31" i="45"/>
  <c r="B32" i="45"/>
  <c r="C32" i="45"/>
  <c r="F32" i="45"/>
  <c r="B33" i="45"/>
  <c r="C33" i="45"/>
  <c r="F33" i="45"/>
  <c r="B34" i="45"/>
  <c r="C34" i="45"/>
  <c r="F34" i="45"/>
  <c r="B35" i="45"/>
  <c r="C35" i="45"/>
  <c r="F35" i="45"/>
  <c r="B36" i="45"/>
  <c r="C36" i="45"/>
  <c r="F36" i="45"/>
  <c r="G36" i="45"/>
  <c r="C37" i="45"/>
  <c r="F37" i="45"/>
  <c r="G37" i="45"/>
  <c r="B38" i="45"/>
  <c r="C38" i="45"/>
  <c r="F38" i="45"/>
  <c r="D38" i="45" s="1"/>
  <c r="B39" i="45"/>
  <c r="C39" i="45"/>
  <c r="F39" i="45"/>
  <c r="B40" i="45"/>
  <c r="C40" i="45"/>
  <c r="F40" i="45"/>
  <c r="B41" i="45"/>
  <c r="C41" i="45"/>
  <c r="F41" i="45"/>
  <c r="B42" i="45"/>
  <c r="C42" i="45"/>
  <c r="F42" i="45"/>
  <c r="B43" i="45"/>
  <c r="C43" i="45"/>
  <c r="F43" i="45"/>
  <c r="G43" i="45"/>
  <c r="B44" i="45"/>
  <c r="C44" i="45"/>
  <c r="F44" i="45"/>
  <c r="B45" i="45"/>
  <c r="C45" i="45"/>
  <c r="F45" i="45"/>
  <c r="B46" i="45"/>
  <c r="C46" i="45"/>
  <c r="F46" i="45"/>
  <c r="B47" i="45"/>
  <c r="C47" i="45"/>
  <c r="F47" i="45"/>
  <c r="B48" i="45"/>
  <c r="C48" i="45"/>
  <c r="F48" i="45"/>
  <c r="B49" i="45"/>
  <c r="C49" i="45"/>
  <c r="F49" i="45"/>
  <c r="B50" i="45"/>
  <c r="C50" i="45"/>
  <c r="F50" i="45"/>
  <c r="G50" i="45"/>
  <c r="B51" i="45"/>
  <c r="C51" i="45"/>
  <c r="F51" i="45"/>
  <c r="G51" i="45"/>
  <c r="B52" i="45"/>
  <c r="C52" i="45"/>
  <c r="F52" i="45"/>
  <c r="B53" i="45"/>
  <c r="C53" i="45"/>
  <c r="F53" i="45"/>
  <c r="B54" i="45"/>
  <c r="C54" i="45"/>
  <c r="F54" i="45"/>
  <c r="G54" i="45"/>
  <c r="B55" i="45"/>
  <c r="C55" i="45"/>
  <c r="F55" i="45"/>
  <c r="G55" i="45"/>
  <c r="B56" i="45"/>
  <c r="C56" i="45"/>
  <c r="F56" i="45"/>
  <c r="G56" i="45"/>
  <c r="B57" i="45"/>
  <c r="C57" i="45"/>
  <c r="F57" i="45"/>
  <c r="B58" i="45"/>
  <c r="C58" i="45"/>
  <c r="F58" i="45"/>
  <c r="B59" i="45"/>
  <c r="C59" i="45"/>
  <c r="F59" i="45"/>
  <c r="B60" i="45"/>
  <c r="C60" i="45"/>
  <c r="F60" i="45"/>
  <c r="C61" i="45"/>
  <c r="F61" i="45"/>
  <c r="B62" i="45"/>
  <c r="C62" i="45"/>
  <c r="F62" i="45"/>
  <c r="B63" i="45"/>
  <c r="C63" i="45"/>
  <c r="F63" i="45"/>
  <c r="B64" i="45"/>
  <c r="C64" i="45"/>
  <c r="F64" i="45"/>
  <c r="G64" i="45"/>
  <c r="B65" i="45"/>
  <c r="C65" i="45"/>
  <c r="F65" i="45"/>
  <c r="B66" i="45"/>
  <c r="C66" i="45"/>
  <c r="F66" i="45"/>
  <c r="B67" i="45"/>
  <c r="C67" i="45"/>
  <c r="F67" i="45"/>
  <c r="G67" i="45"/>
  <c r="B68" i="45"/>
  <c r="C68" i="45"/>
  <c r="F68" i="45"/>
  <c r="B69" i="45"/>
  <c r="C69" i="45"/>
  <c r="F69" i="45"/>
  <c r="B70" i="45"/>
  <c r="C70" i="45"/>
  <c r="F70" i="45"/>
  <c r="B71" i="45"/>
  <c r="C71" i="45"/>
  <c r="F71" i="45"/>
  <c r="B72" i="45"/>
  <c r="C72" i="45"/>
  <c r="F72" i="45"/>
  <c r="C73" i="45"/>
  <c r="F73" i="45"/>
  <c r="B74" i="45"/>
  <c r="C74" i="45"/>
  <c r="F74" i="45"/>
  <c r="B75" i="45"/>
  <c r="C75" i="45"/>
  <c r="F75" i="45"/>
  <c r="G75" i="45"/>
  <c r="B76" i="45"/>
  <c r="C76" i="45"/>
  <c r="F76" i="45"/>
  <c r="B77" i="45"/>
  <c r="C77" i="45"/>
  <c r="F77" i="45"/>
  <c r="B78" i="45"/>
  <c r="C78" i="45"/>
  <c r="F78" i="45"/>
  <c r="B79" i="45"/>
  <c r="C79" i="45"/>
  <c r="F79" i="45"/>
  <c r="C80" i="45"/>
  <c r="F80" i="45"/>
  <c r="B81" i="45"/>
  <c r="C81" i="45"/>
  <c r="F81" i="45"/>
  <c r="C82" i="45"/>
  <c r="F82" i="45"/>
  <c r="G82" i="45"/>
  <c r="B83" i="45"/>
  <c r="C83" i="45"/>
  <c r="F83" i="45"/>
  <c r="G83" i="45"/>
  <c r="B84" i="45"/>
  <c r="C84" i="45"/>
  <c r="F84" i="45"/>
  <c r="G84" i="45"/>
  <c r="B85" i="45"/>
  <c r="C85" i="45"/>
  <c r="F85" i="45"/>
  <c r="G85" i="45"/>
  <c r="B86" i="45"/>
  <c r="C86" i="45"/>
  <c r="F86" i="45"/>
  <c r="G86" i="45"/>
  <c r="B87" i="45"/>
  <c r="C87" i="45"/>
  <c r="F87" i="45"/>
  <c r="G87" i="45"/>
  <c r="B88" i="45"/>
  <c r="C88" i="45"/>
  <c r="F88" i="45"/>
  <c r="G88" i="45"/>
  <c r="B89" i="45"/>
  <c r="C89" i="45"/>
  <c r="F89" i="45"/>
  <c r="G89" i="45"/>
  <c r="B90" i="45"/>
  <c r="C90" i="45"/>
  <c r="F90" i="45"/>
  <c r="G90" i="45"/>
  <c r="B91" i="45"/>
  <c r="C91" i="45"/>
  <c r="F91" i="45"/>
  <c r="G91" i="45"/>
  <c r="B92" i="45"/>
  <c r="C92" i="45"/>
  <c r="F92" i="45"/>
  <c r="G92" i="45"/>
  <c r="B93" i="45"/>
  <c r="C93" i="45"/>
  <c r="F93" i="45"/>
  <c r="G93" i="45"/>
  <c r="B94" i="45"/>
  <c r="C94" i="45"/>
  <c r="F94" i="45"/>
  <c r="G94" i="45"/>
  <c r="B95" i="45"/>
  <c r="C95" i="45"/>
  <c r="F95" i="45"/>
  <c r="G95" i="45"/>
  <c r="B96" i="45"/>
  <c r="C96" i="45"/>
  <c r="F96" i="45"/>
  <c r="G96" i="45"/>
  <c r="B97" i="45"/>
  <c r="C97" i="45"/>
  <c r="F97" i="45"/>
  <c r="G97" i="45"/>
  <c r="B98" i="45"/>
  <c r="C98" i="45"/>
  <c r="F98" i="45"/>
  <c r="G98" i="45"/>
  <c r="B99" i="45"/>
  <c r="C99" i="45"/>
  <c r="F99" i="45"/>
  <c r="G99" i="45"/>
  <c r="B100" i="45"/>
  <c r="C100" i="45"/>
  <c r="F100" i="45"/>
  <c r="G100" i="45"/>
  <c r="B101" i="45"/>
  <c r="C101" i="45"/>
  <c r="F101" i="45"/>
  <c r="G101" i="45"/>
  <c r="B102" i="45"/>
  <c r="C102" i="45"/>
  <c r="F102" i="45"/>
  <c r="G102" i="45"/>
  <c r="B103" i="45"/>
  <c r="C103" i="45"/>
  <c r="F103" i="45"/>
  <c r="G103" i="45"/>
  <c r="B104" i="45"/>
  <c r="C104" i="45"/>
  <c r="F104" i="45"/>
  <c r="G104" i="45"/>
  <c r="C105" i="45"/>
  <c r="F105" i="45"/>
  <c r="G105" i="45"/>
  <c r="B106" i="45"/>
  <c r="C106" i="45"/>
  <c r="F106" i="45"/>
  <c r="G106" i="45"/>
  <c r="B108" i="45"/>
  <c r="C108" i="45"/>
  <c r="F108" i="45"/>
  <c r="G108" i="45"/>
  <c r="B109" i="45"/>
  <c r="C109" i="45"/>
  <c r="F109" i="45"/>
  <c r="G109" i="45"/>
  <c r="B110" i="45"/>
  <c r="C110" i="45"/>
  <c r="F110" i="45"/>
  <c r="G110" i="45"/>
  <c r="B111" i="45"/>
  <c r="C111" i="45"/>
  <c r="F111" i="45"/>
  <c r="G111" i="45"/>
  <c r="B112" i="45"/>
  <c r="C112" i="45"/>
  <c r="F112" i="45"/>
  <c r="G112" i="45"/>
  <c r="B113" i="45"/>
  <c r="C113" i="45"/>
  <c r="F113" i="45"/>
  <c r="G113" i="45"/>
  <c r="B114" i="45"/>
  <c r="C114" i="45"/>
  <c r="F114" i="45"/>
  <c r="G114" i="45"/>
  <c r="B115" i="45"/>
  <c r="C115" i="45"/>
  <c r="F115" i="45"/>
  <c r="G115" i="45"/>
  <c r="B116" i="45"/>
  <c r="C116" i="45"/>
  <c r="F116" i="45"/>
  <c r="G116" i="45"/>
  <c r="B117" i="45"/>
  <c r="C117" i="45"/>
  <c r="F117" i="45"/>
  <c r="G117" i="45"/>
  <c r="B118" i="45"/>
  <c r="C118" i="45"/>
  <c r="F118" i="45"/>
  <c r="G118" i="45"/>
  <c r="B119" i="45"/>
  <c r="C119" i="45"/>
  <c r="F119" i="45"/>
  <c r="G119" i="45"/>
  <c r="B120" i="45"/>
  <c r="C120" i="45"/>
  <c r="F120" i="45"/>
  <c r="G120" i="45"/>
  <c r="B121" i="45"/>
  <c r="C121" i="45"/>
  <c r="F121" i="45"/>
  <c r="G121" i="45"/>
  <c r="B122" i="45"/>
  <c r="C122" i="45"/>
  <c r="F122" i="45"/>
  <c r="G122" i="45"/>
  <c r="B123" i="45"/>
  <c r="C123" i="45"/>
  <c r="F123" i="45"/>
  <c r="G123" i="45"/>
  <c r="B124" i="45"/>
  <c r="C124" i="45"/>
  <c r="F124" i="45"/>
  <c r="G124" i="45"/>
  <c r="B125" i="45"/>
  <c r="C125" i="45"/>
  <c r="F125" i="45"/>
  <c r="G125" i="45"/>
  <c r="B126" i="45"/>
  <c r="C126" i="45"/>
  <c r="F126" i="45"/>
  <c r="G126" i="45"/>
  <c r="B127" i="45"/>
  <c r="C127" i="45"/>
  <c r="F127" i="45"/>
  <c r="G127" i="45"/>
  <c r="B128" i="45"/>
  <c r="C128" i="45"/>
  <c r="F128" i="45"/>
  <c r="G128" i="45"/>
  <c r="B129" i="45"/>
  <c r="C129" i="45"/>
  <c r="F129" i="45"/>
  <c r="G129" i="45"/>
  <c r="B130" i="45"/>
  <c r="C130" i="45"/>
  <c r="F130" i="45"/>
  <c r="G130" i="45"/>
  <c r="B131" i="45"/>
  <c r="C131" i="45"/>
  <c r="F131" i="45"/>
  <c r="G131" i="45"/>
  <c r="B132" i="45"/>
  <c r="C132" i="45"/>
  <c r="F132" i="45"/>
  <c r="G132" i="45"/>
  <c r="B133" i="45"/>
  <c r="C133" i="45"/>
  <c r="F133" i="45"/>
  <c r="G133" i="45"/>
  <c r="B134" i="45"/>
  <c r="C134" i="45"/>
  <c r="F134" i="45"/>
  <c r="G134" i="45"/>
  <c r="B135" i="45"/>
  <c r="C135" i="45"/>
  <c r="F135" i="45"/>
  <c r="G135" i="45"/>
  <c r="B136" i="45"/>
  <c r="C136" i="45"/>
  <c r="F136" i="45"/>
  <c r="G136" i="45"/>
  <c r="B137" i="45"/>
  <c r="C137" i="45"/>
  <c r="F137" i="45"/>
  <c r="G137" i="45"/>
  <c r="B138" i="45"/>
  <c r="C138" i="45"/>
  <c r="F138" i="45"/>
  <c r="G138" i="45"/>
  <c r="B139" i="45"/>
  <c r="C139" i="45"/>
  <c r="F139" i="45"/>
  <c r="G139" i="45"/>
  <c r="B140" i="45"/>
  <c r="C140" i="45"/>
  <c r="F140" i="45"/>
  <c r="G140" i="45"/>
  <c r="B141" i="45"/>
  <c r="C141" i="45"/>
  <c r="F141" i="45"/>
  <c r="G141" i="45"/>
  <c r="B142" i="45"/>
  <c r="C142" i="45"/>
  <c r="F142" i="45"/>
  <c r="G142" i="45"/>
  <c r="B143" i="45"/>
  <c r="C143" i="45"/>
  <c r="F143" i="45"/>
  <c r="G143" i="45"/>
  <c r="B144" i="45"/>
  <c r="C144" i="45"/>
  <c r="F144" i="45"/>
  <c r="G144" i="45"/>
  <c r="B145" i="45"/>
  <c r="C145" i="45"/>
  <c r="F145" i="45"/>
  <c r="G145" i="45"/>
  <c r="B146" i="45"/>
  <c r="C146" i="45"/>
  <c r="F146" i="45"/>
  <c r="G146" i="45"/>
  <c r="B147" i="45"/>
  <c r="C147" i="45"/>
  <c r="F147" i="45"/>
  <c r="G147" i="45"/>
  <c r="B148" i="45"/>
  <c r="C148" i="45"/>
  <c r="F148" i="45"/>
  <c r="G148" i="45"/>
  <c r="B149" i="45"/>
  <c r="C149" i="45"/>
  <c r="F149" i="45"/>
  <c r="G149" i="45"/>
  <c r="B150" i="45"/>
  <c r="C150" i="45"/>
  <c r="F150" i="45"/>
  <c r="G150" i="45"/>
  <c r="B151" i="45"/>
  <c r="C151" i="45"/>
  <c r="F151" i="45"/>
  <c r="G151" i="45"/>
  <c r="B152" i="45"/>
  <c r="C152" i="45"/>
  <c r="F152" i="45"/>
  <c r="G152" i="45"/>
  <c r="B153" i="45"/>
  <c r="C153" i="45"/>
  <c r="F153" i="45"/>
  <c r="G153" i="45"/>
  <c r="B154" i="45"/>
  <c r="C154" i="45"/>
  <c r="F154" i="45"/>
  <c r="G154" i="45"/>
  <c r="B155" i="45"/>
  <c r="C155" i="45"/>
  <c r="F155" i="45"/>
  <c r="G155" i="45"/>
  <c r="B156" i="45"/>
  <c r="C156" i="45"/>
  <c r="F156" i="45"/>
  <c r="G156" i="45"/>
  <c r="B157" i="45"/>
  <c r="C157" i="45"/>
  <c r="F157" i="45"/>
  <c r="G157" i="45"/>
  <c r="B158" i="45"/>
  <c r="C158" i="45"/>
  <c r="F158" i="45"/>
  <c r="G158" i="45"/>
  <c r="B159" i="45"/>
  <c r="C159" i="45"/>
  <c r="F159" i="45"/>
  <c r="G159" i="45"/>
  <c r="B160" i="45"/>
  <c r="C160" i="45"/>
  <c r="F160" i="45"/>
  <c r="G160" i="45"/>
  <c r="B161" i="45"/>
  <c r="C161" i="45"/>
  <c r="F161" i="45"/>
  <c r="G161" i="45"/>
  <c r="B162" i="45"/>
  <c r="C162" i="45"/>
  <c r="F162" i="45"/>
  <c r="G162" i="45"/>
  <c r="B163" i="45"/>
  <c r="C163" i="45"/>
  <c r="F163" i="45"/>
  <c r="G163" i="45"/>
  <c r="B164" i="45"/>
  <c r="C164" i="45"/>
  <c r="F164" i="45"/>
  <c r="G164" i="45"/>
  <c r="B165" i="45"/>
  <c r="C165" i="45"/>
  <c r="F165" i="45"/>
  <c r="G165" i="45"/>
  <c r="B166" i="45"/>
  <c r="C166" i="45"/>
  <c r="F166" i="45"/>
  <c r="G166" i="45"/>
  <c r="B167" i="45"/>
  <c r="C167" i="45"/>
  <c r="F167" i="45"/>
  <c r="G167" i="45"/>
  <c r="B168" i="45"/>
  <c r="C168" i="45"/>
  <c r="F168" i="45"/>
  <c r="G168" i="45"/>
  <c r="B169" i="45"/>
  <c r="C169" i="45"/>
  <c r="F169" i="45"/>
  <c r="G169" i="45"/>
  <c r="B170" i="45"/>
  <c r="C170" i="45"/>
  <c r="F170" i="45"/>
  <c r="G170" i="45"/>
  <c r="B171" i="45"/>
  <c r="C171" i="45"/>
  <c r="F171" i="45"/>
  <c r="G171" i="45"/>
  <c r="B172" i="45"/>
  <c r="C172" i="45"/>
  <c r="F172" i="45"/>
  <c r="G172" i="45"/>
  <c r="B173" i="45"/>
  <c r="C173" i="45"/>
  <c r="F173" i="45"/>
  <c r="G173" i="45"/>
  <c r="B174" i="45"/>
  <c r="C174" i="45"/>
  <c r="F174" i="45"/>
  <c r="G174" i="45"/>
  <c r="B175" i="45"/>
  <c r="C175" i="45"/>
  <c r="F175" i="45"/>
  <c r="G175" i="45"/>
  <c r="B176" i="45"/>
  <c r="C176" i="45"/>
  <c r="F176" i="45"/>
  <c r="G176" i="45"/>
  <c r="B177" i="45"/>
  <c r="C177" i="45"/>
  <c r="F177" i="45"/>
  <c r="G177" i="45"/>
  <c r="B178" i="45"/>
  <c r="C178" i="45"/>
  <c r="F178" i="45"/>
  <c r="G178" i="45"/>
  <c r="B179" i="45"/>
  <c r="C179" i="45"/>
  <c r="F179" i="45"/>
  <c r="G179" i="45"/>
  <c r="B180" i="45"/>
  <c r="C180" i="45"/>
  <c r="F180" i="45"/>
  <c r="G180" i="45"/>
  <c r="B181" i="45"/>
  <c r="C181" i="45"/>
  <c r="F181" i="45"/>
  <c r="G181" i="45"/>
  <c r="B182" i="45"/>
  <c r="C182" i="45"/>
  <c r="F182" i="45"/>
  <c r="G182" i="45"/>
  <c r="B183" i="45"/>
  <c r="C183" i="45"/>
  <c r="F183" i="45"/>
  <c r="G183" i="45"/>
  <c r="B184" i="45"/>
  <c r="C184" i="45"/>
  <c r="F184" i="45"/>
  <c r="G184" i="45"/>
  <c r="B185" i="45"/>
  <c r="C185" i="45"/>
  <c r="F185" i="45"/>
  <c r="G185" i="45"/>
  <c r="B186" i="45"/>
  <c r="C186" i="45"/>
  <c r="F186" i="45"/>
  <c r="G186" i="45"/>
  <c r="B187" i="45"/>
  <c r="C187" i="45"/>
  <c r="F187" i="45"/>
  <c r="G187" i="45"/>
  <c r="B188" i="45"/>
  <c r="C188" i="45"/>
  <c r="F188" i="45"/>
  <c r="G188" i="45"/>
  <c r="B189" i="45"/>
  <c r="C189" i="45"/>
  <c r="F189" i="45"/>
  <c r="G189" i="45"/>
  <c r="B190" i="45"/>
  <c r="C190" i="45"/>
  <c r="F190" i="45"/>
  <c r="G190" i="45"/>
  <c r="B191" i="45"/>
  <c r="C191" i="45"/>
  <c r="F191" i="45"/>
  <c r="G191" i="45"/>
  <c r="B192" i="45"/>
  <c r="C192" i="45"/>
  <c r="F192" i="45"/>
  <c r="G192" i="45"/>
  <c r="B193" i="45"/>
  <c r="C193" i="45"/>
  <c r="F193" i="45"/>
  <c r="G193" i="45"/>
  <c r="B194" i="45"/>
  <c r="C194" i="45"/>
  <c r="F194" i="45"/>
  <c r="G194" i="45"/>
  <c r="B195" i="45"/>
  <c r="C195" i="45"/>
  <c r="F195" i="45"/>
  <c r="G195" i="45"/>
  <c r="B196" i="45"/>
  <c r="C196" i="45"/>
  <c r="F196" i="45"/>
  <c r="G196" i="45"/>
  <c r="B197" i="45"/>
  <c r="C197" i="45"/>
  <c r="F197" i="45"/>
  <c r="G197" i="45"/>
  <c r="B198" i="45"/>
  <c r="C198" i="45"/>
  <c r="F198" i="45"/>
  <c r="G198" i="45"/>
  <c r="B199" i="45"/>
  <c r="C199" i="45"/>
  <c r="F199" i="45"/>
  <c r="G199" i="45"/>
  <c r="B200" i="45"/>
  <c r="C200" i="45"/>
  <c r="F200" i="45"/>
  <c r="G200" i="45"/>
  <c r="B201" i="45"/>
  <c r="C201" i="45"/>
  <c r="F201" i="45"/>
  <c r="G201" i="45"/>
  <c r="B202" i="45"/>
  <c r="C202" i="45"/>
  <c r="F202" i="45"/>
  <c r="G202" i="45"/>
  <c r="B203" i="45"/>
  <c r="C203" i="45"/>
  <c r="F203" i="45"/>
  <c r="G203" i="45"/>
  <c r="B204" i="45"/>
  <c r="C204" i="45"/>
  <c r="F204" i="45"/>
  <c r="G204" i="45"/>
  <c r="B205" i="45"/>
  <c r="C205" i="45"/>
  <c r="F205" i="45"/>
  <c r="G205" i="45"/>
  <c r="B206" i="45"/>
  <c r="C206" i="45"/>
  <c r="F206" i="45"/>
  <c r="G206" i="45"/>
  <c r="B207" i="45"/>
  <c r="C207" i="45"/>
  <c r="F207" i="45"/>
  <c r="G207" i="45"/>
  <c r="C209" i="45"/>
  <c r="F209" i="45"/>
  <c r="C210" i="45"/>
  <c r="F210" i="45"/>
  <c r="G210" i="45"/>
  <c r="B211" i="45"/>
  <c r="C211" i="45"/>
  <c r="F211" i="45"/>
  <c r="B212" i="45"/>
  <c r="C212" i="45"/>
  <c r="F212" i="45"/>
  <c r="B213" i="45"/>
  <c r="C213" i="45"/>
  <c r="F213" i="45"/>
  <c r="G213" i="45"/>
  <c r="B214" i="45"/>
  <c r="C214" i="45"/>
  <c r="F214" i="45"/>
  <c r="B215" i="45"/>
  <c r="C215" i="45"/>
  <c r="F215" i="45"/>
  <c r="B216" i="45"/>
  <c r="C216" i="45"/>
  <c r="F216" i="45"/>
  <c r="B217" i="45"/>
  <c r="C217" i="45"/>
  <c r="F217" i="45"/>
  <c r="B218" i="45"/>
  <c r="C218" i="45"/>
  <c r="F218" i="45"/>
  <c r="B219" i="45"/>
  <c r="C219" i="45"/>
  <c r="F219" i="45"/>
  <c r="B220" i="45"/>
  <c r="C220" i="45"/>
  <c r="F220" i="45"/>
  <c r="C221" i="45"/>
  <c r="F221" i="45"/>
  <c r="B222" i="45"/>
  <c r="C222" i="45"/>
  <c r="F222" i="45"/>
  <c r="B223" i="45"/>
  <c r="C223" i="45"/>
  <c r="F223" i="45"/>
  <c r="C224" i="45"/>
  <c r="F224" i="45"/>
  <c r="B225" i="45"/>
  <c r="C225" i="45"/>
  <c r="F225" i="45"/>
  <c r="B226" i="45"/>
  <c r="C226" i="45"/>
  <c r="F226" i="45"/>
  <c r="B227" i="45"/>
  <c r="C227" i="45"/>
  <c r="F227" i="45"/>
  <c r="B228" i="45"/>
  <c r="C228" i="45"/>
  <c r="F228" i="45"/>
  <c r="G228" i="45"/>
  <c r="B229" i="45"/>
  <c r="C229" i="45"/>
  <c r="F229" i="45"/>
  <c r="G229" i="45"/>
  <c r="B230" i="45"/>
  <c r="C230" i="45"/>
  <c r="F230" i="45"/>
  <c r="G230" i="45"/>
  <c r="B231" i="45"/>
  <c r="C231" i="45"/>
  <c r="F231" i="45"/>
  <c r="B232" i="45"/>
  <c r="C232" i="45"/>
  <c r="F232" i="45"/>
  <c r="G232" i="45"/>
  <c r="B233" i="45"/>
  <c r="C233" i="45"/>
  <c r="F233" i="45"/>
  <c r="G233" i="45"/>
  <c r="B234" i="45"/>
  <c r="C234" i="45"/>
  <c r="F234" i="45"/>
  <c r="G234" i="45"/>
  <c r="B235" i="45"/>
  <c r="C235" i="45"/>
  <c r="F235" i="45"/>
  <c r="G235" i="45"/>
  <c r="B236" i="45"/>
  <c r="C236" i="45"/>
  <c r="F236" i="45"/>
  <c r="B237" i="45"/>
  <c r="C237" i="45"/>
  <c r="F237" i="45"/>
  <c r="G237" i="45"/>
  <c r="B238" i="45"/>
  <c r="C238" i="45"/>
  <c r="F238" i="45"/>
  <c r="G238" i="45"/>
  <c r="C239" i="45"/>
  <c r="F239" i="45"/>
  <c r="G239" i="45"/>
  <c r="B240" i="45"/>
  <c r="C240" i="45"/>
  <c r="F240" i="45"/>
  <c r="B241" i="45"/>
  <c r="C241" i="45"/>
  <c r="F241" i="45"/>
  <c r="B242" i="45"/>
  <c r="C242" i="45"/>
  <c r="F242" i="45"/>
  <c r="B243" i="45"/>
  <c r="C243" i="45"/>
  <c r="F243" i="45"/>
  <c r="B244" i="45"/>
  <c r="C244" i="45"/>
  <c r="F244" i="45"/>
  <c r="B245" i="45"/>
  <c r="C245" i="45"/>
  <c r="F245" i="45"/>
  <c r="B246" i="45"/>
  <c r="C246" i="45"/>
  <c r="F246" i="45"/>
  <c r="B247" i="45"/>
  <c r="C247" i="45"/>
  <c r="F247" i="45"/>
  <c r="B248" i="45"/>
  <c r="C248" i="45"/>
  <c r="F248" i="45"/>
  <c r="B249" i="45"/>
  <c r="C249" i="45"/>
  <c r="F249" i="45"/>
  <c r="B250" i="45"/>
  <c r="C250" i="45"/>
  <c r="F250" i="45"/>
  <c r="B251" i="45"/>
  <c r="C251" i="45"/>
  <c r="F251" i="45"/>
  <c r="B252" i="45"/>
  <c r="C252" i="45"/>
  <c r="F252" i="45"/>
  <c r="B253" i="45"/>
  <c r="C253" i="45"/>
  <c r="F253" i="45"/>
  <c r="B254" i="45"/>
  <c r="C254" i="45"/>
  <c r="F254" i="45"/>
  <c r="G254" i="45"/>
  <c r="B255" i="45"/>
  <c r="C255" i="45"/>
  <c r="F255" i="45"/>
  <c r="G255" i="45"/>
  <c r="B256" i="45"/>
  <c r="C256" i="45"/>
  <c r="F256" i="45"/>
  <c r="G256" i="45"/>
  <c r="B257" i="45"/>
  <c r="C257" i="45"/>
  <c r="F257" i="45"/>
  <c r="G257" i="45"/>
  <c r="B258" i="45"/>
  <c r="C258" i="45"/>
  <c r="F258" i="45"/>
  <c r="G258" i="45"/>
  <c r="C259" i="45"/>
  <c r="F259" i="45"/>
  <c r="G259" i="45"/>
  <c r="B260" i="45"/>
  <c r="C260" i="45"/>
  <c r="F260" i="45"/>
  <c r="G260" i="45"/>
  <c r="B261" i="45"/>
  <c r="C261" i="45"/>
  <c r="F261" i="45"/>
  <c r="G261" i="45"/>
  <c r="B262" i="45"/>
  <c r="C262" i="45"/>
  <c r="F262" i="45"/>
  <c r="G262" i="45"/>
  <c r="B263" i="45"/>
  <c r="C263" i="45"/>
  <c r="F263" i="45"/>
  <c r="G263" i="45"/>
  <c r="B264" i="45"/>
  <c r="C264" i="45"/>
  <c r="F264" i="45"/>
  <c r="G264" i="45"/>
  <c r="B265" i="45"/>
  <c r="C265" i="45"/>
  <c r="F265" i="45"/>
  <c r="G265" i="45"/>
  <c r="B266" i="45"/>
  <c r="C266" i="45"/>
  <c r="F266" i="45"/>
  <c r="G266" i="45"/>
  <c r="B267" i="45"/>
  <c r="C267" i="45"/>
  <c r="F267" i="45"/>
  <c r="G267" i="45"/>
  <c r="B268" i="45"/>
  <c r="C268" i="45"/>
  <c r="F268" i="45"/>
  <c r="G268" i="45"/>
  <c r="B269" i="45"/>
  <c r="C269" i="45"/>
  <c r="F269" i="45"/>
  <c r="G269" i="45"/>
  <c r="B270" i="45"/>
  <c r="C270" i="45"/>
  <c r="F270" i="45"/>
  <c r="G270" i="45"/>
  <c r="B271" i="45"/>
  <c r="C271" i="45"/>
  <c r="F271" i="45"/>
  <c r="G271" i="45"/>
  <c r="B272" i="45"/>
  <c r="C272" i="45"/>
  <c r="F272" i="45"/>
  <c r="G272" i="45"/>
  <c r="B273" i="45"/>
  <c r="C273" i="45"/>
  <c r="F273" i="45"/>
  <c r="G273" i="45"/>
  <c r="B274" i="45"/>
  <c r="C274" i="45"/>
  <c r="F274" i="45"/>
  <c r="G274" i="45"/>
  <c r="B275" i="45"/>
  <c r="C275" i="45"/>
  <c r="F275" i="45"/>
  <c r="G275" i="45"/>
  <c r="B276" i="45"/>
  <c r="C276" i="45"/>
  <c r="F276" i="45"/>
  <c r="G276" i="45"/>
  <c r="B277" i="45"/>
  <c r="C277" i="45"/>
  <c r="F277" i="45"/>
  <c r="G277" i="45"/>
  <c r="B278" i="45"/>
  <c r="C278" i="45"/>
  <c r="F278" i="45"/>
  <c r="G278" i="45"/>
  <c r="B279" i="45"/>
  <c r="C279" i="45"/>
  <c r="F279" i="45"/>
  <c r="G279" i="45"/>
  <c r="B280" i="45"/>
  <c r="C280" i="45"/>
  <c r="F280" i="45"/>
  <c r="G280" i="45"/>
  <c r="B281" i="45"/>
  <c r="C281" i="45"/>
  <c r="F281" i="45"/>
  <c r="G281" i="45"/>
  <c r="B282" i="45"/>
  <c r="C282" i="45"/>
  <c r="F282" i="45"/>
  <c r="G282" i="45"/>
  <c r="B283" i="45"/>
  <c r="C283" i="45"/>
  <c r="F283" i="45"/>
  <c r="G283" i="45"/>
  <c r="C284" i="45"/>
  <c r="F284" i="45"/>
  <c r="G284" i="45"/>
  <c r="B285" i="45"/>
  <c r="C285" i="45"/>
  <c r="F285" i="45"/>
  <c r="G285" i="45"/>
  <c r="B286" i="45"/>
  <c r="C286" i="45"/>
  <c r="F286" i="45"/>
  <c r="G286" i="45"/>
  <c r="B287" i="45"/>
  <c r="C287" i="45"/>
  <c r="F287" i="45"/>
  <c r="G287" i="45"/>
  <c r="B288" i="45"/>
  <c r="C288" i="45"/>
  <c r="F288" i="45"/>
  <c r="G288" i="45"/>
  <c r="B289" i="45"/>
  <c r="C289" i="45"/>
  <c r="F289" i="45"/>
  <c r="G289" i="45"/>
  <c r="C290" i="45"/>
  <c r="F290" i="45"/>
  <c r="G290" i="45"/>
  <c r="B291" i="45"/>
  <c r="C291" i="45"/>
  <c r="F291" i="45"/>
  <c r="G291" i="45"/>
  <c r="B292" i="45"/>
  <c r="C292" i="45"/>
  <c r="F292" i="45"/>
  <c r="G292" i="45"/>
  <c r="C293" i="45"/>
  <c r="F293" i="45"/>
  <c r="G293" i="45"/>
  <c r="B294" i="45"/>
  <c r="C294" i="45"/>
  <c r="F294" i="45"/>
  <c r="G294" i="45"/>
  <c r="B295" i="45"/>
  <c r="C295" i="45"/>
  <c r="F295" i="45"/>
  <c r="G295" i="45"/>
  <c r="B296" i="45"/>
  <c r="C296" i="45"/>
  <c r="F296" i="45"/>
  <c r="G296" i="45"/>
  <c r="B297" i="45"/>
  <c r="C297" i="45"/>
  <c r="F297" i="45"/>
  <c r="G297" i="45"/>
  <c r="B298" i="45"/>
  <c r="C298" i="45"/>
  <c r="F298" i="45"/>
  <c r="G298" i="45"/>
  <c r="B299" i="45"/>
  <c r="C299" i="45"/>
  <c r="F299" i="45"/>
  <c r="G299" i="45"/>
  <c r="B300" i="45"/>
  <c r="C300" i="45"/>
  <c r="F300" i="45"/>
  <c r="G300" i="45"/>
  <c r="B301" i="45"/>
  <c r="C301" i="45"/>
  <c r="F301" i="45"/>
  <c r="G301" i="45"/>
  <c r="C302" i="45"/>
  <c r="F302" i="45"/>
  <c r="G302" i="45"/>
  <c r="B303" i="45"/>
  <c r="C303" i="45"/>
  <c r="F303" i="45"/>
  <c r="G303" i="45"/>
  <c r="B304" i="45"/>
  <c r="C304" i="45"/>
  <c r="F304" i="45"/>
  <c r="G304" i="45"/>
  <c r="C305" i="45"/>
  <c r="F305" i="45"/>
  <c r="G305" i="45"/>
  <c r="B306" i="45"/>
  <c r="C306" i="45"/>
  <c r="F306" i="45"/>
  <c r="G306" i="45"/>
  <c r="C307" i="45"/>
  <c r="F307" i="45"/>
  <c r="G307" i="45"/>
  <c r="B308" i="45"/>
  <c r="C308" i="45"/>
  <c r="F308" i="45"/>
  <c r="G308" i="45"/>
  <c r="D4" i="29"/>
  <c r="E5" i="29"/>
  <c r="E4" i="29" s="1"/>
  <c r="D6" i="29"/>
  <c r="G34" i="45"/>
  <c r="G39" i="45"/>
  <c r="G44" i="45"/>
  <c r="G48" i="45"/>
  <c r="G58" i="45"/>
  <c r="G61" i="45"/>
  <c r="G72" i="45"/>
  <c r="G74" i="45"/>
  <c r="G77" i="45"/>
  <c r="G78" i="45"/>
  <c r="G80" i="45"/>
  <c r="G81" i="45"/>
  <c r="D107" i="29"/>
  <c r="E107" i="29"/>
  <c r="H107" i="29"/>
  <c r="G212" i="45"/>
  <c r="G231" i="45"/>
  <c r="G244" i="45"/>
  <c r="G248" i="45"/>
  <c r="E6" i="28"/>
  <c r="N6" i="28"/>
  <c r="K6" i="28"/>
  <c r="E8" i="28"/>
  <c r="H8" i="28"/>
  <c r="K8" i="28"/>
  <c r="E11" i="28"/>
  <c r="H11" i="28"/>
  <c r="N11" i="28"/>
  <c r="K11" i="28"/>
  <c r="K12" i="28"/>
  <c r="E13" i="28"/>
  <c r="H13" i="28"/>
  <c r="N13" i="28"/>
  <c r="K13" i="28"/>
  <c r="H16" i="28"/>
  <c r="N16" i="28"/>
  <c r="E23" i="28"/>
  <c r="H23" i="28"/>
  <c r="N23" i="28"/>
  <c r="K23" i="28"/>
  <c r="E25" i="28"/>
  <c r="K25" i="28"/>
  <c r="K28" i="28"/>
  <c r="H29" i="28"/>
  <c r="H30" i="28"/>
  <c r="N30" i="28"/>
  <c r="K30" i="28"/>
  <c r="K41" i="28"/>
  <c r="K43" i="28"/>
  <c r="L43" i="28"/>
  <c r="K46" i="28"/>
  <c r="K48" i="28"/>
  <c r="L48" i="28"/>
  <c r="B6" i="28"/>
  <c r="B7" i="28"/>
  <c r="B8" i="28"/>
  <c r="B9" i="28"/>
  <c r="B10" i="28"/>
  <c r="B11" i="28"/>
  <c r="B12" i="28"/>
  <c r="B13" i="28"/>
  <c r="B14" i="28"/>
  <c r="B15" i="28"/>
  <c r="B16" i="28"/>
  <c r="B23" i="28"/>
  <c r="B24" i="28"/>
  <c r="B25" i="28"/>
  <c r="B26" i="28"/>
  <c r="B27" i="28"/>
  <c r="B28" i="28"/>
  <c r="B29" i="28"/>
  <c r="B30" i="28"/>
  <c r="B31" i="28"/>
  <c r="B32" i="28"/>
  <c r="B33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G211" i="45"/>
  <c r="G73" i="45"/>
  <c r="G69" i="45"/>
  <c r="G63" i="45"/>
  <c r="G52" i="45"/>
  <c r="G46" i="45"/>
  <c r="G41" i="45"/>
  <c r="G31" i="45"/>
  <c r="G23" i="45"/>
  <c r="G19" i="45"/>
  <c r="G15" i="45"/>
  <c r="G249" i="45"/>
  <c r="G245" i="45"/>
  <c r="G241" i="45"/>
  <c r="G227" i="45"/>
  <c r="G223" i="45"/>
  <c r="G219" i="45"/>
  <c r="G214" i="45"/>
  <c r="G8" i="45"/>
  <c r="G252" i="45"/>
  <c r="G226" i="45"/>
  <c r="G222" i="45"/>
  <c r="G218" i="45"/>
  <c r="G62" i="45"/>
  <c r="G49" i="45"/>
  <c r="G45" i="45"/>
  <c r="G40" i="45"/>
  <c r="G30" i="45"/>
  <c r="G22" i="45"/>
  <c r="G18" i="45"/>
  <c r="G12" i="45"/>
  <c r="G251" i="45"/>
  <c r="G247" i="45"/>
  <c r="G243" i="45"/>
  <c r="G236" i="45"/>
  <c r="G221" i="45"/>
  <c r="G215" i="45"/>
  <c r="G66" i="45"/>
  <c r="G57" i="45"/>
  <c r="G33" i="45"/>
  <c r="G29" i="45"/>
  <c r="G25" i="45"/>
  <c r="G17" i="45"/>
  <c r="G250" i="45"/>
  <c r="G246" i="45"/>
  <c r="G242" i="45"/>
  <c r="G65" i="45"/>
  <c r="G60" i="45"/>
  <c r="G53" i="45"/>
  <c r="G42" i="45"/>
  <c r="G38" i="45"/>
  <c r="G32" i="45"/>
  <c r="G28" i="45"/>
  <c r="G20" i="45"/>
  <c r="G14" i="45"/>
  <c r="G11" i="45"/>
  <c r="G5" i="45" l="1"/>
  <c r="J12" i="28"/>
  <c r="J11" i="28"/>
  <c r="D32" i="53"/>
  <c r="D40" i="53"/>
  <c r="C36" i="53"/>
  <c r="C39" i="53"/>
  <c r="C31" i="53"/>
  <c r="C38" i="53"/>
  <c r="D38" i="53"/>
  <c r="D37" i="53"/>
  <c r="D36" i="53"/>
  <c r="D39" i="53"/>
  <c r="D31" i="53"/>
  <c r="D41" i="53"/>
  <c r="D33" i="53"/>
  <c r="D34" i="53"/>
  <c r="C41" i="53"/>
  <c r="C33" i="53"/>
  <c r="C40" i="53"/>
  <c r="C32" i="53"/>
  <c r="D35" i="53"/>
  <c r="E10" i="28"/>
  <c r="E7" i="28"/>
  <c r="K24" i="28"/>
  <c r="K7" i="28"/>
  <c r="L42" i="28"/>
  <c r="N7" i="28"/>
  <c r="K42" i="28"/>
  <c r="H7" i="28"/>
  <c r="I269" i="45"/>
  <c r="I271" i="45"/>
  <c r="I271" i="29" s="1"/>
  <c r="I273" i="45"/>
  <c r="I273" i="29" s="1"/>
  <c r="I275" i="45"/>
  <c r="I275" i="29" s="1"/>
  <c r="I277" i="45"/>
  <c r="I277" i="29" s="1"/>
  <c r="I279" i="45"/>
  <c r="I279" i="29" s="1"/>
  <c r="I281" i="45"/>
  <c r="I281" i="29" s="1"/>
  <c r="I283" i="45"/>
  <c r="I283" i="29" s="1"/>
  <c r="I285" i="45"/>
  <c r="I285" i="29" s="1"/>
  <c r="I287" i="45"/>
  <c r="I287" i="29" s="1"/>
  <c r="I289" i="45"/>
  <c r="I289" i="29" s="1"/>
  <c r="I291" i="45"/>
  <c r="I291" i="29" s="1"/>
  <c r="I293" i="45"/>
  <c r="I293" i="29" s="1"/>
  <c r="I295" i="45"/>
  <c r="I295" i="29" s="1"/>
  <c r="I297" i="45"/>
  <c r="I297" i="29" s="1"/>
  <c r="I299" i="45"/>
  <c r="I299" i="29" s="1"/>
  <c r="I301" i="45"/>
  <c r="I303" i="45"/>
  <c r="I303" i="29" s="1"/>
  <c r="I305" i="45"/>
  <c r="I307" i="45"/>
  <c r="I307" i="29" s="1"/>
  <c r="I97" i="29"/>
  <c r="I137" i="45"/>
  <c r="I137" i="29" s="1"/>
  <c r="I172" i="45"/>
  <c r="I172" i="29" s="1"/>
  <c r="H194" i="45"/>
  <c r="H194" i="29" s="1"/>
  <c r="I201" i="45"/>
  <c r="I201" i="29" s="1"/>
  <c r="H206" i="45"/>
  <c r="I232" i="45"/>
  <c r="I232" i="29" s="1"/>
  <c r="I234" i="45"/>
  <c r="I234" i="29" s="1"/>
  <c r="I19" i="29"/>
  <c r="I42" i="29"/>
  <c r="H47" i="29"/>
  <c r="I51" i="29"/>
  <c r="I103" i="29"/>
  <c r="I118" i="45"/>
  <c r="I118" i="29" s="1"/>
  <c r="H132" i="45"/>
  <c r="D132" i="45" s="1"/>
  <c r="I143" i="45"/>
  <c r="H148" i="45"/>
  <c r="H148" i="29" s="1"/>
  <c r="I155" i="45"/>
  <c r="I155" i="29" s="1"/>
  <c r="I160" i="45"/>
  <c r="I160" i="29" s="1"/>
  <c r="I177" i="45"/>
  <c r="H182" i="45"/>
  <c r="I184" i="45"/>
  <c r="I184" i="29" s="1"/>
  <c r="I189" i="45"/>
  <c r="I189" i="29" s="1"/>
  <c r="I196" i="45"/>
  <c r="I196" i="29" s="1"/>
  <c r="H219" i="29"/>
  <c r="I38" i="29"/>
  <c r="K38" i="29" s="1"/>
  <c r="H48" i="29"/>
  <c r="I58" i="29"/>
  <c r="I67" i="29"/>
  <c r="I95" i="29"/>
  <c r="H114" i="45"/>
  <c r="H114" i="29" s="1"/>
  <c r="I195" i="45"/>
  <c r="H178" i="45"/>
  <c r="D178" i="45" s="1"/>
  <c r="H164" i="45"/>
  <c r="H164" i="29" s="1"/>
  <c r="I161" i="45"/>
  <c r="I161" i="29" s="1"/>
  <c r="H158" i="45"/>
  <c r="I146" i="45"/>
  <c r="I146" i="29" s="1"/>
  <c r="I128" i="45"/>
  <c r="I128" i="29" s="1"/>
  <c r="H73" i="29"/>
  <c r="I47" i="29"/>
  <c r="H39" i="29"/>
  <c r="I21" i="29"/>
  <c r="H210" i="29"/>
  <c r="H200" i="45"/>
  <c r="H200" i="29" s="1"/>
  <c r="I194" i="45"/>
  <c r="I194" i="29" s="1"/>
  <c r="I171" i="45"/>
  <c r="I171" i="29" s="1"/>
  <c r="H166" i="45"/>
  <c r="I163" i="45"/>
  <c r="I163" i="29" s="1"/>
  <c r="H154" i="45"/>
  <c r="D154" i="45" s="1"/>
  <c r="I148" i="45"/>
  <c r="I148" i="29" s="1"/>
  <c r="I136" i="45"/>
  <c r="I136" i="29" s="1"/>
  <c r="H130" i="45"/>
  <c r="D130" i="45" s="1"/>
  <c r="H83" i="29"/>
  <c r="I78" i="29"/>
  <c r="I44" i="29"/>
  <c r="H16" i="29"/>
  <c r="H10" i="28"/>
  <c r="I244" i="45"/>
  <c r="I244" i="29" s="1"/>
  <c r="I233" i="45"/>
  <c r="I233" i="29" s="1"/>
  <c r="H230" i="29"/>
  <c r="I222" i="45"/>
  <c r="I222" i="29" s="1"/>
  <c r="I205" i="45"/>
  <c r="I202" i="45"/>
  <c r="I202" i="29" s="1"/>
  <c r="I188" i="45"/>
  <c r="I188" i="29" s="1"/>
  <c r="I185" i="45"/>
  <c r="I185" i="29" s="1"/>
  <c r="I182" i="45"/>
  <c r="I182" i="29" s="1"/>
  <c r="I168" i="45"/>
  <c r="I168" i="29" s="1"/>
  <c r="I151" i="45"/>
  <c r="H142" i="45"/>
  <c r="I139" i="45"/>
  <c r="I139" i="29" s="1"/>
  <c r="I127" i="45"/>
  <c r="I127" i="29" s="1"/>
  <c r="I114" i="45"/>
  <c r="I114" i="29" s="1"/>
  <c r="I111" i="45"/>
  <c r="I111" i="29" s="1"/>
  <c r="I226" i="45"/>
  <c r="H222" i="29"/>
  <c r="I217" i="45"/>
  <c r="I217" i="29" s="1"/>
  <c r="I213" i="45"/>
  <c r="I213" i="29" s="1"/>
  <c r="H202" i="45"/>
  <c r="I176" i="45"/>
  <c r="H168" i="45"/>
  <c r="I159" i="45"/>
  <c r="I156" i="45"/>
  <c r="I156" i="29" s="1"/>
  <c r="I132" i="45"/>
  <c r="I92" i="29"/>
  <c r="I22" i="29"/>
  <c r="I255" i="45"/>
  <c r="I255" i="29" s="1"/>
  <c r="H9" i="29"/>
  <c r="I28" i="29"/>
  <c r="H42" i="29"/>
  <c r="I50" i="29"/>
  <c r="I62" i="29"/>
  <c r="H70" i="29"/>
  <c r="H78" i="29"/>
  <c r="I87" i="29"/>
  <c r="I90" i="29"/>
  <c r="H93" i="29"/>
  <c r="H101" i="29"/>
  <c r="H22" i="29"/>
  <c r="H32" i="29"/>
  <c r="I203" i="45"/>
  <c r="H196" i="45"/>
  <c r="I186" i="45"/>
  <c r="I186" i="29" s="1"/>
  <c r="H184" i="45"/>
  <c r="I179" i="45"/>
  <c r="I167" i="45"/>
  <c r="I167" i="29" s="1"/>
  <c r="I162" i="45"/>
  <c r="I162" i="29" s="1"/>
  <c r="H160" i="45"/>
  <c r="I150" i="45"/>
  <c r="I150" i="29" s="1"/>
  <c r="I145" i="45"/>
  <c r="I145" i="29" s="1"/>
  <c r="I134" i="45"/>
  <c r="I134" i="29" s="1"/>
  <c r="H118" i="45"/>
  <c r="D118" i="45" s="1"/>
  <c r="H110" i="45"/>
  <c r="I106" i="29"/>
  <c r="H97" i="29"/>
  <c r="K97" i="29" s="1"/>
  <c r="I65" i="29"/>
  <c r="H41" i="29"/>
  <c r="I24" i="29"/>
  <c r="H19" i="29"/>
  <c r="I267" i="45"/>
  <c r="I267" i="29" s="1"/>
  <c r="I265" i="45"/>
  <c r="I265" i="29" s="1"/>
  <c r="I263" i="45"/>
  <c r="I263" i="29" s="1"/>
  <c r="I261" i="45"/>
  <c r="I261" i="29" s="1"/>
  <c r="I259" i="45"/>
  <c r="I259" i="29" s="1"/>
  <c r="H257" i="29"/>
  <c r="I252" i="45"/>
  <c r="I252" i="29" s="1"/>
  <c r="I246" i="45"/>
  <c r="I246" i="29" s="1"/>
  <c r="I243" i="45"/>
  <c r="I243" i="29" s="1"/>
  <c r="I240" i="45"/>
  <c r="I240" i="29" s="1"/>
  <c r="H238" i="29"/>
  <c r="H236" i="29"/>
  <c r="I229" i="45"/>
  <c r="H227" i="29"/>
  <c r="H224" i="29"/>
  <c r="I214" i="45"/>
  <c r="I214" i="29" s="1"/>
  <c r="I198" i="45"/>
  <c r="I191" i="45"/>
  <c r="I191" i="29" s="1"/>
  <c r="H186" i="45"/>
  <c r="H174" i="45"/>
  <c r="I169" i="45"/>
  <c r="I164" i="45"/>
  <c r="H162" i="45"/>
  <c r="D162" i="45" s="1"/>
  <c r="I157" i="45"/>
  <c r="I157" i="29" s="1"/>
  <c r="I152" i="45"/>
  <c r="I152" i="29" s="1"/>
  <c r="H150" i="45"/>
  <c r="H134" i="45"/>
  <c r="H134" i="29" s="1"/>
  <c r="H126" i="45"/>
  <c r="D126" i="45" s="1"/>
  <c r="I123" i="45"/>
  <c r="I123" i="29" s="1"/>
  <c r="I120" i="45"/>
  <c r="I120" i="29" s="1"/>
  <c r="I112" i="45"/>
  <c r="I112" i="29" s="1"/>
  <c r="I75" i="29"/>
  <c r="I70" i="29"/>
  <c r="I18" i="29"/>
  <c r="H11" i="29"/>
  <c r="K15" i="28"/>
  <c r="I218" i="45"/>
  <c r="I218" i="29" s="1"/>
  <c r="H215" i="29"/>
  <c r="I206" i="45"/>
  <c r="I206" i="29" s="1"/>
  <c r="H204" i="45"/>
  <c r="I197" i="45"/>
  <c r="I197" i="29" s="1"/>
  <c r="I190" i="45"/>
  <c r="I190" i="29" s="1"/>
  <c r="H188" i="45"/>
  <c r="I181" i="45"/>
  <c r="I181" i="29" s="1"/>
  <c r="I174" i="45"/>
  <c r="I174" i="29" s="1"/>
  <c r="H172" i="45"/>
  <c r="I165" i="45"/>
  <c r="I158" i="45"/>
  <c r="I158" i="29" s="1"/>
  <c r="H156" i="45"/>
  <c r="D156" i="45" s="1"/>
  <c r="I149" i="45"/>
  <c r="I142" i="45"/>
  <c r="I142" i="29" s="1"/>
  <c r="H140" i="45"/>
  <c r="I133" i="45"/>
  <c r="I133" i="29" s="1"/>
  <c r="I126" i="45"/>
  <c r="I126" i="29" s="1"/>
  <c r="H124" i="45"/>
  <c r="I117" i="45"/>
  <c r="I117" i="29" s="1"/>
  <c r="I110" i="45"/>
  <c r="I110" i="29" s="1"/>
  <c r="H108" i="45"/>
  <c r="H108" i="29" s="1"/>
  <c r="I100" i="29"/>
  <c r="I93" i="29"/>
  <c r="H91" i="29"/>
  <c r="I84" i="29"/>
  <c r="I79" i="29"/>
  <c r="I76" i="29"/>
  <c r="H68" i="29"/>
  <c r="H63" i="29"/>
  <c r="H60" i="29"/>
  <c r="I39" i="29"/>
  <c r="H36" i="29"/>
  <c r="I26" i="29"/>
  <c r="I16" i="29"/>
  <c r="K40" i="28"/>
  <c r="H10" i="29"/>
  <c r="I15" i="29"/>
  <c r="H34" i="29"/>
  <c r="I36" i="29"/>
  <c r="I46" i="29"/>
  <c r="H49" i="29"/>
  <c r="H51" i="29"/>
  <c r="H15" i="29"/>
  <c r="H31" i="29"/>
  <c r="I49" i="29"/>
  <c r="I59" i="29"/>
  <c r="H62" i="29"/>
  <c r="I64" i="29"/>
  <c r="H77" i="29"/>
  <c r="H82" i="29"/>
  <c r="H88" i="29"/>
  <c r="H90" i="29"/>
  <c r="K90" i="29" s="1"/>
  <c r="H92" i="29"/>
  <c r="H94" i="29"/>
  <c r="H96" i="29"/>
  <c r="H104" i="29"/>
  <c r="H106" i="29"/>
  <c r="K106" i="29" s="1"/>
  <c r="H109" i="45"/>
  <c r="D109" i="45" s="1"/>
  <c r="H111" i="45"/>
  <c r="H113" i="45"/>
  <c r="H113" i="29" s="1"/>
  <c r="H115" i="45"/>
  <c r="D115" i="45" s="1"/>
  <c r="H117" i="45"/>
  <c r="H117" i="29" s="1"/>
  <c r="H119" i="45"/>
  <c r="H121" i="45"/>
  <c r="D121" i="45" s="1"/>
  <c r="H123" i="45"/>
  <c r="H125" i="45"/>
  <c r="H127" i="45"/>
  <c r="D127" i="45" s="1"/>
  <c r="H129" i="45"/>
  <c r="H131" i="45"/>
  <c r="H133" i="45"/>
  <c r="H135" i="45"/>
  <c r="D135" i="45" s="1"/>
  <c r="H137" i="45"/>
  <c r="H137" i="29" s="1"/>
  <c r="H139" i="45"/>
  <c r="H139" i="29" s="1"/>
  <c r="H141" i="45"/>
  <c r="H143" i="45"/>
  <c r="H145" i="45"/>
  <c r="D145" i="45" s="1"/>
  <c r="H147" i="45"/>
  <c r="H149" i="45"/>
  <c r="H151" i="45"/>
  <c r="D151" i="45" s="1"/>
  <c r="H153" i="45"/>
  <c r="H153" i="29" s="1"/>
  <c r="H155" i="45"/>
  <c r="H155" i="29" s="1"/>
  <c r="H157" i="45"/>
  <c r="H159" i="45"/>
  <c r="D159" i="45" s="1"/>
  <c r="H161" i="45"/>
  <c r="H163" i="45"/>
  <c r="H165" i="45"/>
  <c r="D165" i="45" s="1"/>
  <c r="H167" i="45"/>
  <c r="H169" i="45"/>
  <c r="H171" i="45"/>
  <c r="H173" i="45"/>
  <c r="H175" i="45"/>
  <c r="H177" i="45"/>
  <c r="D177" i="45" s="1"/>
  <c r="H179" i="45"/>
  <c r="H181" i="45"/>
  <c r="H183" i="45"/>
  <c r="H183" i="29" s="1"/>
  <c r="H185" i="45"/>
  <c r="H185" i="29" s="1"/>
  <c r="H187" i="45"/>
  <c r="H189" i="45"/>
  <c r="D189" i="45" s="1"/>
  <c r="H191" i="45"/>
  <c r="H191" i="29" s="1"/>
  <c r="H193" i="45"/>
  <c r="D193" i="45" s="1"/>
  <c r="H195" i="45"/>
  <c r="H197" i="45"/>
  <c r="H199" i="45"/>
  <c r="D199" i="45" s="1"/>
  <c r="H201" i="45"/>
  <c r="D201" i="45" s="1"/>
  <c r="H203" i="45"/>
  <c r="D203" i="45" s="1"/>
  <c r="H205" i="45"/>
  <c r="H207" i="45"/>
  <c r="I210" i="45"/>
  <c r="I210" i="29" s="1"/>
  <c r="H218" i="29"/>
  <c r="K218" i="29" s="1"/>
  <c r="I223" i="45"/>
  <c r="I223" i="29" s="1"/>
  <c r="I228" i="45"/>
  <c r="I230" i="45"/>
  <c r="I230" i="29" s="1"/>
  <c r="I241" i="45"/>
  <c r="I249" i="45"/>
  <c r="I249" i="29" s="1"/>
  <c r="H252" i="29"/>
  <c r="I254" i="45"/>
  <c r="I254" i="29" s="1"/>
  <c r="H85" i="29"/>
  <c r="I80" i="29"/>
  <c r="I72" i="29"/>
  <c r="H69" i="29"/>
  <c r="H58" i="29"/>
  <c r="I55" i="29"/>
  <c r="I43" i="29"/>
  <c r="H21" i="29"/>
  <c r="H14" i="29"/>
  <c r="I138" i="45"/>
  <c r="H136" i="45"/>
  <c r="I129" i="45"/>
  <c r="I129" i="29" s="1"/>
  <c r="I122" i="45"/>
  <c r="I122" i="29" s="1"/>
  <c r="H120" i="45"/>
  <c r="D120" i="45" s="1"/>
  <c r="I113" i="45"/>
  <c r="I113" i="29" s="1"/>
  <c r="I105" i="29"/>
  <c r="H80" i="29"/>
  <c r="I66" i="29"/>
  <c r="H46" i="29"/>
  <c r="I40" i="29"/>
  <c r="H27" i="29"/>
  <c r="H17" i="29"/>
  <c r="I10" i="29"/>
  <c r="I147" i="45"/>
  <c r="I147" i="29" s="1"/>
  <c r="I140" i="45"/>
  <c r="I140" i="29" s="1"/>
  <c r="H138" i="45"/>
  <c r="D138" i="45" s="1"/>
  <c r="I131" i="45"/>
  <c r="I131" i="29" s="1"/>
  <c r="I124" i="45"/>
  <c r="I124" i="29" s="1"/>
  <c r="H122" i="45"/>
  <c r="D122" i="45" s="1"/>
  <c r="I115" i="45"/>
  <c r="I115" i="29" s="1"/>
  <c r="I108" i="45"/>
  <c r="I108" i="29" s="1"/>
  <c r="H105" i="29"/>
  <c r="K105" i="29" s="1"/>
  <c r="I98" i="29"/>
  <c r="I91" i="29"/>
  <c r="H89" i="29"/>
  <c r="I82" i="29"/>
  <c r="I71" i="29"/>
  <c r="I68" i="29"/>
  <c r="H66" i="29"/>
  <c r="I63" i="29"/>
  <c r="I57" i="29"/>
  <c r="H30" i="29"/>
  <c r="H23" i="29"/>
  <c r="I13" i="29"/>
  <c r="I25" i="29"/>
  <c r="E12" i="28"/>
  <c r="K16" i="28"/>
  <c r="D15" i="28"/>
  <c r="G70" i="45"/>
  <c r="G71" i="45"/>
  <c r="H51" i="28"/>
  <c r="E6" i="29"/>
  <c r="D1" i="29"/>
  <c r="G51" i="28"/>
  <c r="L51" i="28"/>
  <c r="K51" i="28"/>
  <c r="E16" i="28"/>
  <c r="N33" i="28"/>
  <c r="H33" i="28"/>
  <c r="K33" i="28"/>
  <c r="N22" i="28"/>
  <c r="H22" i="28"/>
  <c r="K22" i="28"/>
  <c r="K5" i="28"/>
  <c r="E5" i="28"/>
  <c r="D13" i="28"/>
  <c r="H15" i="28"/>
  <c r="E15" i="28"/>
  <c r="K32" i="28"/>
  <c r="N32" i="28"/>
  <c r="L50" i="28"/>
  <c r="K50" i="28"/>
  <c r="H32" i="28"/>
  <c r="N15" i="28"/>
  <c r="E33" i="28"/>
  <c r="E32" i="28"/>
  <c r="K44" i="28"/>
  <c r="L44" i="28"/>
  <c r="L47" i="28"/>
  <c r="K29" i="28"/>
  <c r="H12" i="28"/>
  <c r="K47" i="28"/>
  <c r="N29" i="28"/>
  <c r="E29" i="28"/>
  <c r="G47" i="28"/>
  <c r="E30" i="28"/>
  <c r="D46" i="28"/>
  <c r="H46" i="28"/>
  <c r="D7" i="28"/>
  <c r="G50" i="28"/>
  <c r="H50" i="28"/>
  <c r="N12" i="28"/>
  <c r="D6" i="28"/>
  <c r="H28" i="28"/>
  <c r="I35" i="29"/>
  <c r="D48" i="28"/>
  <c r="G42" i="28"/>
  <c r="G46" i="28"/>
  <c r="G21" i="45"/>
  <c r="K45" i="28"/>
  <c r="E208" i="29"/>
  <c r="G59" i="45"/>
  <c r="N28" i="28"/>
  <c r="G26" i="45"/>
  <c r="G253" i="45"/>
  <c r="G216" i="45"/>
  <c r="G79" i="45"/>
  <c r="G220" i="45"/>
  <c r="G10" i="45"/>
  <c r="G224" i="45"/>
  <c r="N27" i="28"/>
  <c r="H27" i="28"/>
  <c r="L45" i="28"/>
  <c r="G240" i="45"/>
  <c r="N8" i="28"/>
  <c r="G16" i="45"/>
  <c r="G9" i="45"/>
  <c r="G24" i="45"/>
  <c r="G47" i="45"/>
  <c r="D45" i="28"/>
  <c r="H6" i="28"/>
  <c r="G209" i="45"/>
  <c r="E28" i="28"/>
  <c r="K27" i="28"/>
  <c r="G76" i="45"/>
  <c r="G68" i="45"/>
  <c r="G35" i="45"/>
  <c r="G225" i="45"/>
  <c r="G217" i="45"/>
  <c r="G27" i="45"/>
  <c r="G13" i="45"/>
  <c r="G45" i="28"/>
  <c r="G48" i="28"/>
  <c r="D42" i="28"/>
  <c r="H25" i="28"/>
  <c r="H116" i="45"/>
  <c r="D116" i="45" s="1"/>
  <c r="N25" i="28"/>
  <c r="E24" i="28"/>
  <c r="H64" i="29"/>
  <c r="H35" i="29"/>
  <c r="N24" i="28"/>
  <c r="L41" i="28"/>
  <c r="H214" i="29"/>
  <c r="K214" i="29" s="1"/>
  <c r="H170" i="45"/>
  <c r="H170" i="29" s="1"/>
  <c r="H146" i="45"/>
  <c r="D12" i="28"/>
  <c r="G43" i="28"/>
  <c r="D44" i="28"/>
  <c r="H8" i="29"/>
  <c r="H99" i="29"/>
  <c r="H40" i="28"/>
  <c r="H274" i="29"/>
  <c r="H242" i="29"/>
  <c r="I239" i="45"/>
  <c r="H45" i="28"/>
  <c r="H233" i="29"/>
  <c r="K233" i="29" s="1"/>
  <c r="H271" i="29"/>
  <c r="H235" i="29"/>
  <c r="H220" i="29"/>
  <c r="J27" i="28"/>
  <c r="J30" i="28"/>
  <c r="H144" i="45"/>
  <c r="D144" i="45" s="1"/>
  <c r="H5" i="45"/>
  <c r="J29" i="28"/>
  <c r="H272" i="29"/>
  <c r="I225" i="45"/>
  <c r="I225" i="29" s="1"/>
  <c r="K225" i="29" s="1"/>
  <c r="G40" i="28"/>
  <c r="I204" i="45"/>
  <c r="I192" i="45"/>
  <c r="I180" i="45"/>
  <c r="I180" i="29" s="1"/>
  <c r="I166" i="45"/>
  <c r="I85" i="29"/>
  <c r="I32" i="29"/>
  <c r="D25" i="28"/>
  <c r="H190" i="45"/>
  <c r="D190" i="45" s="1"/>
  <c r="H112" i="45"/>
  <c r="H112" i="29" s="1"/>
  <c r="I300" i="45"/>
  <c r="I300" i="29" s="1"/>
  <c r="D32" i="28"/>
  <c r="H213" i="29"/>
  <c r="I193" i="45"/>
  <c r="I193" i="29" s="1"/>
  <c r="I173" i="45"/>
  <c r="I173" i="29" s="1"/>
  <c r="I135" i="45"/>
  <c r="I135" i="29" s="1"/>
  <c r="I121" i="45"/>
  <c r="I121" i="29" s="1"/>
  <c r="I104" i="29"/>
  <c r="H25" i="29"/>
  <c r="I153" i="45"/>
  <c r="I153" i="29" s="1"/>
  <c r="I141" i="45"/>
  <c r="H300" i="29"/>
  <c r="H290" i="29"/>
  <c r="H267" i="29"/>
  <c r="H192" i="45"/>
  <c r="D192" i="45" s="1"/>
  <c r="I170" i="45"/>
  <c r="I170" i="29" s="1"/>
  <c r="L46" i="28"/>
  <c r="H297" i="29"/>
  <c r="K297" i="29" s="1"/>
  <c r="H279" i="29"/>
  <c r="H250" i="29"/>
  <c r="H276" i="29"/>
  <c r="H248" i="29"/>
  <c r="I245" i="45"/>
  <c r="I245" i="29" s="1"/>
  <c r="H285" i="29"/>
  <c r="I304" i="45"/>
  <c r="I304" i="29" s="1"/>
  <c r="C45" i="28"/>
  <c r="H298" i="29"/>
  <c r="H266" i="29"/>
  <c r="I251" i="45"/>
  <c r="H280" i="29"/>
  <c r="H308" i="29"/>
  <c r="H288" i="29"/>
  <c r="I298" i="45"/>
  <c r="H306" i="29"/>
  <c r="H295" i="29"/>
  <c r="K295" i="29" s="1"/>
  <c r="J15" i="28"/>
  <c r="I258" i="45"/>
  <c r="I258" i="29" s="1"/>
  <c r="H292" i="29"/>
  <c r="H268" i="29"/>
  <c r="H264" i="29"/>
  <c r="H307" i="29"/>
  <c r="K307" i="29" s="1"/>
  <c r="H263" i="29"/>
  <c r="I99" i="29"/>
  <c r="H260" i="29"/>
  <c r="I219" i="45"/>
  <c r="H152" i="45"/>
  <c r="I178" i="45"/>
  <c r="I178" i="29" s="1"/>
  <c r="H275" i="29"/>
  <c r="H273" i="29"/>
  <c r="H269" i="29"/>
  <c r="I253" i="45"/>
  <c r="I253" i="29" s="1"/>
  <c r="I237" i="45"/>
  <c r="H211" i="29"/>
  <c r="H198" i="45"/>
  <c r="D198" i="45" s="1"/>
  <c r="H180" i="45"/>
  <c r="D180" i="45" s="1"/>
  <c r="H176" i="45"/>
  <c r="I125" i="45"/>
  <c r="I125" i="29" s="1"/>
  <c r="I119" i="45"/>
  <c r="I119" i="29" s="1"/>
  <c r="I216" i="45"/>
  <c r="I216" i="29" s="1"/>
  <c r="I211" i="45"/>
  <c r="I211" i="29" s="1"/>
  <c r="I144" i="45"/>
  <c r="I116" i="45"/>
  <c r="I116" i="29" s="1"/>
  <c r="H128" i="45"/>
  <c r="D128" i="45" s="1"/>
  <c r="I109" i="45"/>
  <c r="I109" i="29" s="1"/>
  <c r="H75" i="29"/>
  <c r="H67" i="29"/>
  <c r="I14" i="29"/>
  <c r="G41" i="28"/>
  <c r="D29" i="28"/>
  <c r="I296" i="45"/>
  <c r="I294" i="45"/>
  <c r="I294" i="29" s="1"/>
  <c r="I280" i="45"/>
  <c r="I270" i="45"/>
  <c r="I268" i="45"/>
  <c r="I264" i="45"/>
  <c r="I264" i="29" s="1"/>
  <c r="I260" i="45"/>
  <c r="H239" i="29"/>
  <c r="I235" i="45"/>
  <c r="I231" i="45"/>
  <c r="I231" i="29" s="1"/>
  <c r="I302" i="45"/>
  <c r="I302" i="29" s="1"/>
  <c r="H277" i="29"/>
  <c r="I288" i="45"/>
  <c r="I288" i="29" s="1"/>
  <c r="I290" i="45"/>
  <c r="I276" i="45"/>
  <c r="I276" i="29" s="1"/>
  <c r="I274" i="45"/>
  <c r="I274" i="29" s="1"/>
  <c r="I284" i="45"/>
  <c r="I284" i="29" s="1"/>
  <c r="I282" i="45"/>
  <c r="I282" i="29" s="1"/>
  <c r="I266" i="45"/>
  <c r="I266" i="29" s="1"/>
  <c r="I262" i="45"/>
  <c r="I262" i="29" s="1"/>
  <c r="H258" i="29"/>
  <c r="H256" i="29"/>
  <c r="H254" i="29"/>
  <c r="H251" i="29"/>
  <c r="I250" i="45"/>
  <c r="I250" i="29" s="1"/>
  <c r="I248" i="45"/>
  <c r="I248" i="29" s="1"/>
  <c r="H247" i="29"/>
  <c r="H245" i="29"/>
  <c r="H243" i="29"/>
  <c r="K243" i="29" s="1"/>
  <c r="I242" i="45"/>
  <c r="I242" i="29" s="1"/>
  <c r="I278" i="45"/>
  <c r="I292" i="45"/>
  <c r="I292" i="29" s="1"/>
  <c r="I272" i="45"/>
  <c r="I272" i="29" s="1"/>
  <c r="I286" i="45"/>
  <c r="I308" i="45"/>
  <c r="I308" i="29" s="1"/>
  <c r="H223" i="29"/>
  <c r="K223" i="29" s="1"/>
  <c r="I220" i="45"/>
  <c r="I220" i="29" s="1"/>
  <c r="H217" i="29"/>
  <c r="H291" i="29"/>
  <c r="K291" i="29" s="1"/>
  <c r="H289" i="29"/>
  <c r="K289" i="29" s="1"/>
  <c r="H287" i="29"/>
  <c r="I207" i="45"/>
  <c r="I207" i="29" s="1"/>
  <c r="I200" i="45"/>
  <c r="I200" i="29" s="1"/>
  <c r="I199" i="45"/>
  <c r="I199" i="29" s="1"/>
  <c r="I187" i="45"/>
  <c r="I187" i="29" s="1"/>
  <c r="I183" i="45"/>
  <c r="I175" i="45"/>
  <c r="I175" i="29" s="1"/>
  <c r="H296" i="29"/>
  <c r="H284" i="29"/>
  <c r="I306" i="45"/>
  <c r="I306" i="29" s="1"/>
  <c r="H299" i="29"/>
  <c r="K299" i="29" s="1"/>
  <c r="H283" i="29"/>
  <c r="I256" i="45"/>
  <c r="I256" i="29" s="1"/>
  <c r="I247" i="45"/>
  <c r="I247" i="29" s="1"/>
  <c r="I154" i="45"/>
  <c r="I154" i="29" s="1"/>
  <c r="I130" i="45"/>
  <c r="I130" i="29" s="1"/>
  <c r="I101" i="29"/>
  <c r="H270" i="29"/>
  <c r="H229" i="29"/>
  <c r="K217" i="29" l="1"/>
  <c r="K92" i="29"/>
  <c r="K247" i="29"/>
  <c r="K220" i="29"/>
  <c r="K252" i="29"/>
  <c r="K222" i="29"/>
  <c r="K213" i="29"/>
  <c r="K248" i="29"/>
  <c r="K99" i="29"/>
  <c r="K211" i="29"/>
  <c r="K230" i="29"/>
  <c r="K250" i="29"/>
  <c r="K210" i="29"/>
  <c r="K245" i="29"/>
  <c r="K242" i="29"/>
  <c r="K85" i="29"/>
  <c r="K93" i="29"/>
  <c r="K300" i="29"/>
  <c r="K104" i="29"/>
  <c r="K91" i="29"/>
  <c r="K101" i="29"/>
  <c r="K308" i="29"/>
  <c r="K287" i="29"/>
  <c r="K292" i="29"/>
  <c r="K306" i="29"/>
  <c r="K288" i="29"/>
  <c r="K51" i="29"/>
  <c r="K10" i="29"/>
  <c r="K14" i="29"/>
  <c r="K15" i="29"/>
  <c r="K283" i="29"/>
  <c r="K271" i="29"/>
  <c r="K34" i="53"/>
  <c r="M34" i="53" s="1"/>
  <c r="K258" i="29"/>
  <c r="E203" i="45"/>
  <c r="I203" i="29"/>
  <c r="E143" i="45"/>
  <c r="I143" i="29"/>
  <c r="E166" i="45"/>
  <c r="I166" i="29"/>
  <c r="E165" i="45"/>
  <c r="I165" i="29"/>
  <c r="E179" i="45"/>
  <c r="I179" i="29"/>
  <c r="E177" i="45"/>
  <c r="I177" i="29"/>
  <c r="D305" i="45"/>
  <c r="H305" i="29"/>
  <c r="E198" i="45"/>
  <c r="I198" i="29"/>
  <c r="E205" i="45"/>
  <c r="I205" i="29"/>
  <c r="E183" i="45"/>
  <c r="I183" i="29"/>
  <c r="K183" i="29" s="1"/>
  <c r="D302" i="45"/>
  <c r="H302" i="29"/>
  <c r="K302" i="29" s="1"/>
  <c r="E144" i="45"/>
  <c r="I144" i="29"/>
  <c r="E138" i="45"/>
  <c r="I138" i="29"/>
  <c r="E164" i="45"/>
  <c r="I164" i="29"/>
  <c r="K164" i="29" s="1"/>
  <c r="E132" i="45"/>
  <c r="I132" i="29"/>
  <c r="E151" i="45"/>
  <c r="I151" i="29"/>
  <c r="E301" i="45"/>
  <c r="I301" i="29"/>
  <c r="D303" i="45"/>
  <c r="H303" i="29"/>
  <c r="K303" i="29" s="1"/>
  <c r="D304" i="45"/>
  <c r="H304" i="29"/>
  <c r="K304" i="29" s="1"/>
  <c r="E149" i="45"/>
  <c r="I149" i="29"/>
  <c r="E176" i="45"/>
  <c r="I176" i="29"/>
  <c r="D100" i="45"/>
  <c r="H100" i="29"/>
  <c r="K100" i="29" s="1"/>
  <c r="D95" i="45"/>
  <c r="H95" i="29"/>
  <c r="K95" i="29" s="1"/>
  <c r="E102" i="45"/>
  <c r="I102" i="29"/>
  <c r="E192" i="45"/>
  <c r="I192" i="29"/>
  <c r="E169" i="45"/>
  <c r="I169" i="29"/>
  <c r="E195" i="45"/>
  <c r="I195" i="29"/>
  <c r="E141" i="45"/>
  <c r="I141" i="29"/>
  <c r="D102" i="45"/>
  <c r="H102" i="29"/>
  <c r="D301" i="45"/>
  <c r="H301" i="29"/>
  <c r="E204" i="45"/>
  <c r="I204" i="29"/>
  <c r="E159" i="45"/>
  <c r="I159" i="29"/>
  <c r="E305" i="45"/>
  <c r="I305" i="29"/>
  <c r="L32" i="53"/>
  <c r="N32" i="53" s="1"/>
  <c r="J39" i="56" s="1"/>
  <c r="E94" i="45"/>
  <c r="I94" i="29"/>
  <c r="K42" i="29"/>
  <c r="L30" i="53"/>
  <c r="N30" i="53" s="1"/>
  <c r="J37" i="56" s="1"/>
  <c r="C20" i="50"/>
  <c r="L8" i="56"/>
  <c r="C30" i="50"/>
  <c r="C40" i="50"/>
  <c r="E96" i="45"/>
  <c r="I96" i="29"/>
  <c r="K96" i="29" s="1"/>
  <c r="K264" i="29"/>
  <c r="K266" i="29"/>
  <c r="K272" i="29"/>
  <c r="K277" i="29"/>
  <c r="E296" i="45"/>
  <c r="I296" i="29"/>
  <c r="K296" i="29" s="1"/>
  <c r="K276" i="29"/>
  <c r="E286" i="45"/>
  <c r="I286" i="29"/>
  <c r="E270" i="45"/>
  <c r="I270" i="29"/>
  <c r="K270" i="29" s="1"/>
  <c r="E237" i="45"/>
  <c r="I237" i="29"/>
  <c r="E228" i="45"/>
  <c r="I228" i="29"/>
  <c r="K284" i="29"/>
  <c r="E280" i="45"/>
  <c r="I280" i="29"/>
  <c r="K280" i="29" s="1"/>
  <c r="E219" i="45"/>
  <c r="I219" i="29"/>
  <c r="K219" i="29" s="1"/>
  <c r="K285" i="29"/>
  <c r="K274" i="29"/>
  <c r="E251" i="45"/>
  <c r="I251" i="29"/>
  <c r="K251" i="29" s="1"/>
  <c r="K254" i="29"/>
  <c r="K256" i="29"/>
  <c r="E290" i="45"/>
  <c r="I290" i="29"/>
  <c r="K290" i="29" s="1"/>
  <c r="E260" i="45"/>
  <c r="I260" i="29"/>
  <c r="K260" i="29" s="1"/>
  <c r="K273" i="29"/>
  <c r="K267" i="29"/>
  <c r="K275" i="29"/>
  <c r="K263" i="29"/>
  <c r="E241" i="45"/>
  <c r="I241" i="29"/>
  <c r="E278" i="45"/>
  <c r="I278" i="29"/>
  <c r="E235" i="45"/>
  <c r="I235" i="29"/>
  <c r="K235" i="29" s="1"/>
  <c r="E298" i="45"/>
  <c r="I298" i="29"/>
  <c r="K298" i="29" s="1"/>
  <c r="E269" i="45"/>
  <c r="I269" i="29"/>
  <c r="K269" i="29" s="1"/>
  <c r="E268" i="45"/>
  <c r="I268" i="29"/>
  <c r="K268" i="29" s="1"/>
  <c r="K279" i="29"/>
  <c r="E239" i="45"/>
  <c r="I239" i="29"/>
  <c r="K239" i="29" s="1"/>
  <c r="E229" i="45"/>
  <c r="I229" i="29"/>
  <c r="K229" i="29" s="1"/>
  <c r="E226" i="45"/>
  <c r="I226" i="29"/>
  <c r="D240" i="45"/>
  <c r="H240" i="29"/>
  <c r="K240" i="29" s="1"/>
  <c r="D278" i="45"/>
  <c r="H278" i="29"/>
  <c r="D226" i="45"/>
  <c r="H226" i="29"/>
  <c r="D241" i="45"/>
  <c r="H241" i="29"/>
  <c r="D286" i="45"/>
  <c r="H286" i="29"/>
  <c r="D293" i="45"/>
  <c r="H293" i="29"/>
  <c r="K293" i="29" s="1"/>
  <c r="D259" i="45"/>
  <c r="H259" i="29"/>
  <c r="K259" i="29" s="1"/>
  <c r="D246" i="45"/>
  <c r="H246" i="29"/>
  <c r="K246" i="29" s="1"/>
  <c r="D262" i="45"/>
  <c r="H262" i="29"/>
  <c r="K262" i="29" s="1"/>
  <c r="D281" i="45"/>
  <c r="H281" i="29"/>
  <c r="K281" i="29" s="1"/>
  <c r="D253" i="45"/>
  <c r="H253" i="29"/>
  <c r="K253" i="29" s="1"/>
  <c r="D261" i="45"/>
  <c r="H261" i="29"/>
  <c r="K261" i="29" s="1"/>
  <c r="D221" i="45"/>
  <c r="H221" i="29"/>
  <c r="D228" i="45"/>
  <c r="H228" i="29"/>
  <c r="D216" i="45"/>
  <c r="H216" i="29"/>
  <c r="K216" i="29" s="1"/>
  <c r="D265" i="45"/>
  <c r="H265" i="29"/>
  <c r="K265" i="29" s="1"/>
  <c r="D282" i="45"/>
  <c r="H282" i="29"/>
  <c r="K282" i="29" s="1"/>
  <c r="D294" i="45"/>
  <c r="H294" i="29"/>
  <c r="K294" i="29" s="1"/>
  <c r="D249" i="45"/>
  <c r="H249" i="29"/>
  <c r="K249" i="29" s="1"/>
  <c r="D231" i="45"/>
  <c r="H231" i="29"/>
  <c r="K231" i="29" s="1"/>
  <c r="D237" i="45"/>
  <c r="H237" i="29"/>
  <c r="K75" i="29"/>
  <c r="K82" i="29"/>
  <c r="K21" i="29"/>
  <c r="K67" i="29"/>
  <c r="K66" i="29"/>
  <c r="K46" i="29"/>
  <c r="K78" i="29"/>
  <c r="K22" i="29"/>
  <c r="K35" i="29"/>
  <c r="K58" i="29"/>
  <c r="K62" i="29"/>
  <c r="E54" i="45"/>
  <c r="I54" i="29"/>
  <c r="K63" i="29"/>
  <c r="K68" i="29"/>
  <c r="K25" i="29"/>
  <c r="E83" i="45"/>
  <c r="I83" i="29"/>
  <c r="K83" i="29" s="1"/>
  <c r="E88" i="45"/>
  <c r="I88" i="29"/>
  <c r="K88" i="29" s="1"/>
  <c r="E74" i="45"/>
  <c r="I74" i="29"/>
  <c r="E20" i="45"/>
  <c r="I20" i="29"/>
  <c r="K80" i="29"/>
  <c r="E23" i="45"/>
  <c r="I23" i="29"/>
  <c r="K23" i="29" s="1"/>
  <c r="E56" i="45"/>
  <c r="I56" i="29"/>
  <c r="K70" i="29"/>
  <c r="K16" i="29"/>
  <c r="E81" i="45"/>
  <c r="I81" i="29"/>
  <c r="E52" i="45"/>
  <c r="I52" i="29"/>
  <c r="E37" i="45"/>
  <c r="I37" i="29"/>
  <c r="E31" i="45"/>
  <c r="I31" i="29"/>
  <c r="K31" i="29" s="1"/>
  <c r="E29" i="45"/>
  <c r="I29" i="29"/>
  <c r="K36" i="29"/>
  <c r="K32" i="29"/>
  <c r="K39" i="29"/>
  <c r="E12" i="45"/>
  <c r="I12" i="29"/>
  <c r="E86" i="45"/>
  <c r="I86" i="29"/>
  <c r="E30" i="45"/>
  <c r="I30" i="29"/>
  <c r="K30" i="29" s="1"/>
  <c r="E89" i="45"/>
  <c r="I89" i="29"/>
  <c r="K89" i="29" s="1"/>
  <c r="K49" i="29"/>
  <c r="K19" i="29"/>
  <c r="K47" i="29"/>
  <c r="K64" i="29"/>
  <c r="E60" i="45"/>
  <c r="I60" i="29"/>
  <c r="K60" i="29" s="1"/>
  <c r="E34" i="45"/>
  <c r="I34" i="29"/>
  <c r="K34" i="29" s="1"/>
  <c r="E45" i="45"/>
  <c r="I45" i="29"/>
  <c r="E8" i="45"/>
  <c r="I8" i="29"/>
  <c r="K8" i="29" s="1"/>
  <c r="D54" i="45"/>
  <c r="H54" i="29"/>
  <c r="D52" i="45"/>
  <c r="H52" i="29"/>
  <c r="D87" i="45"/>
  <c r="H87" i="29"/>
  <c r="K87" i="29" s="1"/>
  <c r="D44" i="45"/>
  <c r="H44" i="29"/>
  <c r="K44" i="29" s="1"/>
  <c r="D29" i="45"/>
  <c r="H29" i="29"/>
  <c r="D24" i="45"/>
  <c r="H24" i="29"/>
  <c r="K24" i="29" s="1"/>
  <c r="D86" i="45"/>
  <c r="H86" i="29"/>
  <c r="D13" i="45"/>
  <c r="H13" i="29"/>
  <c r="K13" i="29" s="1"/>
  <c r="D76" i="45"/>
  <c r="H76" i="29"/>
  <c r="K76" i="29" s="1"/>
  <c r="D50" i="45"/>
  <c r="H50" i="29"/>
  <c r="K50" i="29" s="1"/>
  <c r="D72" i="45"/>
  <c r="H72" i="29"/>
  <c r="K72" i="29" s="1"/>
  <c r="D33" i="45"/>
  <c r="H33" i="29"/>
  <c r="D56" i="45"/>
  <c r="H56" i="29"/>
  <c r="D40" i="45"/>
  <c r="H40" i="29"/>
  <c r="K40" i="29" s="1"/>
  <c r="D26" i="45"/>
  <c r="H26" i="29"/>
  <c r="K26" i="29" s="1"/>
  <c r="D71" i="45"/>
  <c r="H71" i="29"/>
  <c r="K71" i="29" s="1"/>
  <c r="D79" i="45"/>
  <c r="H79" i="29"/>
  <c r="K79" i="29" s="1"/>
  <c r="D61" i="45"/>
  <c r="H61" i="29"/>
  <c r="D59" i="45"/>
  <c r="H59" i="29"/>
  <c r="K59" i="29" s="1"/>
  <c r="N31" i="53"/>
  <c r="D42" i="53"/>
  <c r="H50" i="53" s="1"/>
  <c r="C42" i="53"/>
  <c r="E50" i="53" s="1"/>
  <c r="H17" i="28"/>
  <c r="J32" i="28"/>
  <c r="D5" i="28"/>
  <c r="C81" i="52"/>
  <c r="J14" i="28"/>
  <c r="H24" i="28"/>
  <c r="H234" i="29"/>
  <c r="K234" i="29" s="1"/>
  <c r="I11" i="29"/>
  <c r="K11" i="29" s="1"/>
  <c r="H57" i="29"/>
  <c r="K57" i="29" s="1"/>
  <c r="I215" i="45"/>
  <c r="H244" i="29"/>
  <c r="K244" i="29" s="1"/>
  <c r="H232" i="29"/>
  <c r="K232" i="29" s="1"/>
  <c r="I209" i="45"/>
  <c r="I221" i="45"/>
  <c r="I221" i="29" s="1"/>
  <c r="H255" i="29"/>
  <c r="K255" i="29" s="1"/>
  <c r="H65" i="29"/>
  <c r="K65" i="29" s="1"/>
  <c r="I27" i="29"/>
  <c r="K27" i="29" s="1"/>
  <c r="I9" i="29"/>
  <c r="K9" i="29" s="1"/>
  <c r="H18" i="29"/>
  <c r="K18" i="29" s="1"/>
  <c r="I69" i="29"/>
  <c r="K69" i="29" s="1"/>
  <c r="I61" i="29"/>
  <c r="I227" i="45"/>
  <c r="I212" i="45"/>
  <c r="H20" i="29"/>
  <c r="H81" i="29"/>
  <c r="H37" i="29"/>
  <c r="H98" i="29"/>
  <c r="K98" i="29" s="1"/>
  <c r="I53" i="29"/>
  <c r="I33" i="29"/>
  <c r="H12" i="29"/>
  <c r="H212" i="29"/>
  <c r="I224" i="45"/>
  <c r="I224" i="29" s="1"/>
  <c r="K224" i="29" s="1"/>
  <c r="I236" i="45"/>
  <c r="I257" i="45"/>
  <c r="I257" i="29" s="1"/>
  <c r="K257" i="29" s="1"/>
  <c r="I238" i="45"/>
  <c r="I238" i="29" s="1"/>
  <c r="K238" i="29" s="1"/>
  <c r="H103" i="29"/>
  <c r="K103" i="29" s="1"/>
  <c r="I17" i="29"/>
  <c r="K17" i="29" s="1"/>
  <c r="H7" i="29"/>
  <c r="H9" i="28"/>
  <c r="N9" i="28"/>
  <c r="J26" i="28"/>
  <c r="K9" i="28"/>
  <c r="E26" i="28"/>
  <c r="G44" i="28"/>
  <c r="H26" i="28"/>
  <c r="D26" i="28"/>
  <c r="N26" i="28"/>
  <c r="D9" i="28"/>
  <c r="K26" i="28"/>
  <c r="E22" i="28"/>
  <c r="D14" i="28"/>
  <c r="M11" i="28"/>
  <c r="M16" i="28"/>
  <c r="D8" i="28"/>
  <c r="I7" i="29"/>
  <c r="E71" i="45"/>
  <c r="E1" i="29"/>
  <c r="E253" i="45"/>
  <c r="D50" i="28"/>
  <c r="N5" i="28"/>
  <c r="H5" i="28"/>
  <c r="L40" i="28"/>
  <c r="H48" i="28"/>
  <c r="D51" i="28"/>
  <c r="D11" i="28"/>
  <c r="D32" i="50"/>
  <c r="E16" i="45"/>
  <c r="D23" i="28"/>
  <c r="H47" i="28"/>
  <c r="E47" i="45"/>
  <c r="D41" i="28"/>
  <c r="E240" i="45"/>
  <c r="G9" i="28"/>
  <c r="E79" i="45"/>
  <c r="E216" i="45"/>
  <c r="E13" i="45"/>
  <c r="E217" i="45"/>
  <c r="D24" i="28"/>
  <c r="J8" i="28"/>
  <c r="J6" i="28"/>
  <c r="I5" i="45"/>
  <c r="I5" i="29" s="1"/>
  <c r="D19" i="45"/>
  <c r="J9" i="28"/>
  <c r="M12" i="28"/>
  <c r="E35" i="45"/>
  <c r="D40" i="28"/>
  <c r="D63" i="45"/>
  <c r="J24" i="28"/>
  <c r="J10" i="28"/>
  <c r="D9" i="45"/>
  <c r="D170" i="45"/>
  <c r="D173" i="45"/>
  <c r="D160" i="45"/>
  <c r="H173" i="29"/>
  <c r="K173" i="29" s="1"/>
  <c r="H160" i="29"/>
  <c r="K160" i="29" s="1"/>
  <c r="D42" i="45"/>
  <c r="H111" i="29"/>
  <c r="H41" i="28"/>
  <c r="D147" i="45"/>
  <c r="M8" i="28"/>
  <c r="H147" i="29"/>
  <c r="H142" i="29"/>
  <c r="D31" i="28"/>
  <c r="D15" i="45"/>
  <c r="E150" i="45"/>
  <c r="H120" i="29"/>
  <c r="E24" i="45"/>
  <c r="D142" i="45"/>
  <c r="D25" i="45"/>
  <c r="E27" i="28"/>
  <c r="N10" i="28"/>
  <c r="D112" i="45"/>
  <c r="D47" i="28"/>
  <c r="G49" i="28"/>
  <c r="H49" i="28"/>
  <c r="K49" i="28"/>
  <c r="K52" i="28" s="1"/>
  <c r="D48" i="45"/>
  <c r="K10" i="28"/>
  <c r="H203" i="29"/>
  <c r="D17" i="45"/>
  <c r="E134" i="45"/>
  <c r="E161" i="45"/>
  <c r="K114" i="29"/>
  <c r="H143" i="29"/>
  <c r="D308" i="45"/>
  <c r="D140" i="45"/>
  <c r="E111" i="45"/>
  <c r="H135" i="29"/>
  <c r="E26" i="45"/>
  <c r="E225" i="45"/>
  <c r="H174" i="29"/>
  <c r="K174" i="29" s="1"/>
  <c r="E66" i="45"/>
  <c r="D34" i="45"/>
  <c r="D41" i="45"/>
  <c r="D21" i="45"/>
  <c r="E113" i="45"/>
  <c r="H122" i="29"/>
  <c r="D75" i="45"/>
  <c r="E185" i="45"/>
  <c r="D70" i="45"/>
  <c r="E85" i="45"/>
  <c r="E114" i="45"/>
  <c r="E7" i="45"/>
  <c r="E193" i="45"/>
  <c r="H156" i="29"/>
  <c r="D111" i="45"/>
  <c r="D68" i="45"/>
  <c r="D51" i="45"/>
  <c r="D123" i="45"/>
  <c r="E206" i="45"/>
  <c r="E123" i="45"/>
  <c r="E174" i="45"/>
  <c r="E106" i="45"/>
  <c r="D268" i="45"/>
  <c r="D148" i="45"/>
  <c r="E218" i="45"/>
  <c r="E75" i="45"/>
  <c r="K148" i="29"/>
  <c r="H140" i="29"/>
  <c r="K140" i="29" s="1"/>
  <c r="E148" i="45"/>
  <c r="D119" i="45"/>
  <c r="D214" i="45"/>
  <c r="H144" i="29"/>
  <c r="E299" i="45"/>
  <c r="E46" i="45"/>
  <c r="H178" i="29"/>
  <c r="K178" i="29" s="1"/>
  <c r="D110" i="45"/>
  <c r="E43" i="45"/>
  <c r="D174" i="45"/>
  <c r="D206" i="45"/>
  <c r="E51" i="45"/>
  <c r="D271" i="45"/>
  <c r="D225" i="45"/>
  <c r="H43" i="28"/>
  <c r="D188" i="45"/>
  <c r="E300" i="45"/>
  <c r="D49" i="45"/>
  <c r="D220" i="45"/>
  <c r="H116" i="29"/>
  <c r="E67" i="45"/>
  <c r="D137" i="45"/>
  <c r="D66" i="45"/>
  <c r="D185" i="45"/>
  <c r="E93" i="45"/>
  <c r="K194" i="29"/>
  <c r="E168" i="45"/>
  <c r="E126" i="45"/>
  <c r="E213" i="45"/>
  <c r="D47" i="45"/>
  <c r="D97" i="45"/>
  <c r="H110" i="29"/>
  <c r="D279" i="45"/>
  <c r="E28" i="45"/>
  <c r="E157" i="45"/>
  <c r="E118" i="45"/>
  <c r="D183" i="45"/>
  <c r="D35" i="45"/>
  <c r="E186" i="45"/>
  <c r="D194" i="45"/>
  <c r="H162" i="29"/>
  <c r="H202" i="29"/>
  <c r="K202" i="29" s="1"/>
  <c r="E10" i="45"/>
  <c r="H118" i="29"/>
  <c r="E181" i="45"/>
  <c r="K134" i="29"/>
  <c r="E25" i="45"/>
  <c r="E95" i="45"/>
  <c r="H192" i="29"/>
  <c r="D213" i="45"/>
  <c r="E304" i="45"/>
  <c r="D113" i="45"/>
  <c r="D276" i="45"/>
  <c r="D202" i="45"/>
  <c r="D161" i="45"/>
  <c r="D77" i="45"/>
  <c r="E103" i="45"/>
  <c r="H165" i="29"/>
  <c r="D108" i="45"/>
  <c r="D235" i="45"/>
  <c r="E39" i="45"/>
  <c r="K153" i="29"/>
  <c r="D78" i="45"/>
  <c r="E97" i="45"/>
  <c r="D94" i="45"/>
  <c r="H132" i="29"/>
  <c r="H184" i="29"/>
  <c r="E136" i="45"/>
  <c r="D134" i="45"/>
  <c r="D105" i="45"/>
  <c r="D181" i="45"/>
  <c r="E112" i="45"/>
  <c r="H161" i="29"/>
  <c r="K161" i="29" s="1"/>
  <c r="D99" i="45"/>
  <c r="H126" i="29"/>
  <c r="K126" i="29" s="1"/>
  <c r="E62" i="45"/>
  <c r="D233" i="45"/>
  <c r="E115" i="45"/>
  <c r="E58" i="45"/>
  <c r="E70" i="45"/>
  <c r="D11" i="45"/>
  <c r="D8" i="45"/>
  <c r="E18" i="45"/>
  <c r="H109" i="29"/>
  <c r="E163" i="45"/>
  <c r="E142" i="45"/>
  <c r="D80" i="45"/>
  <c r="H181" i="29"/>
  <c r="K181" i="29" s="1"/>
  <c r="H175" i="29"/>
  <c r="D82" i="45"/>
  <c r="H167" i="29"/>
  <c r="D27" i="45"/>
  <c r="D242" i="45"/>
  <c r="D290" i="45"/>
  <c r="K112" i="29"/>
  <c r="H177" i="29"/>
  <c r="E243" i="45"/>
  <c r="E40" i="45"/>
  <c r="D146" i="45"/>
  <c r="E44" i="45"/>
  <c r="D153" i="45"/>
  <c r="E135" i="45"/>
  <c r="D23" i="45"/>
  <c r="D207" i="45"/>
  <c r="D104" i="45"/>
  <c r="H146" i="29"/>
  <c r="K146" i="29" s="1"/>
  <c r="D164" i="45"/>
  <c r="D5" i="45"/>
  <c r="E173" i="45"/>
  <c r="E90" i="45"/>
  <c r="H123" i="29"/>
  <c r="K123" i="29" s="1"/>
  <c r="H121" i="29"/>
  <c r="K121" i="29" s="1"/>
  <c r="D114" i="45"/>
  <c r="D85" i="45"/>
  <c r="E133" i="45"/>
  <c r="E55" i="45"/>
  <c r="E171" i="45"/>
  <c r="E104" i="45"/>
  <c r="E36" i="45"/>
  <c r="D250" i="45"/>
  <c r="D73" i="45"/>
  <c r="D306" i="45"/>
  <c r="E196" i="45"/>
  <c r="E129" i="45"/>
  <c r="D10" i="45"/>
  <c r="D155" i="45"/>
  <c r="E32" i="45"/>
  <c r="H188" i="29"/>
  <c r="D88" i="45"/>
  <c r="E153" i="45"/>
  <c r="H145" i="29"/>
  <c r="K145" i="29" s="1"/>
  <c r="D32" i="45"/>
  <c r="E57" i="45"/>
  <c r="E42" i="45"/>
  <c r="D272" i="45"/>
  <c r="E172" i="45"/>
  <c r="D274" i="45"/>
  <c r="E121" i="45"/>
  <c r="H189" i="29"/>
  <c r="H133" i="29"/>
  <c r="K133" i="29" s="1"/>
  <c r="D143" i="45"/>
  <c r="H201" i="29"/>
  <c r="E145" i="45"/>
  <c r="D197" i="45"/>
  <c r="H119" i="29"/>
  <c r="K113" i="29"/>
  <c r="D64" i="45"/>
  <c r="E210" i="45"/>
  <c r="E194" i="45"/>
  <c r="H130" i="29"/>
  <c r="E92" i="45"/>
  <c r="H5" i="29"/>
  <c r="H190" i="29"/>
  <c r="E76" i="45"/>
  <c r="E137" i="45"/>
  <c r="E63" i="45"/>
  <c r="D31" i="45"/>
  <c r="E128" i="45"/>
  <c r="D14" i="45"/>
  <c r="H151" i="29"/>
  <c r="D295" i="45"/>
  <c r="E223" i="45"/>
  <c r="E78" i="45"/>
  <c r="E38" i="45"/>
  <c r="D96" i="45"/>
  <c r="H197" i="29"/>
  <c r="H207" i="29"/>
  <c r="H206" i="29"/>
  <c r="K206" i="29" s="1"/>
  <c r="D93" i="45"/>
  <c r="E167" i="45"/>
  <c r="K185" i="29"/>
  <c r="E68" i="45"/>
  <c r="H131" i="29"/>
  <c r="K137" i="29"/>
  <c r="E190" i="45"/>
  <c r="D131" i="45"/>
  <c r="D298" i="45"/>
  <c r="J28" i="28"/>
  <c r="D169" i="45"/>
  <c r="E22" i="45"/>
  <c r="D184" i="45"/>
  <c r="D43" i="28"/>
  <c r="E19" i="45"/>
  <c r="D69" i="45"/>
  <c r="D267" i="45"/>
  <c r="E119" i="45"/>
  <c r="H199" i="29"/>
  <c r="D91" i="45"/>
  <c r="E160" i="45"/>
  <c r="E50" i="45"/>
  <c r="D62" i="45"/>
  <c r="J16" i="28"/>
  <c r="H169" i="29"/>
  <c r="E232" i="45"/>
  <c r="D280" i="45"/>
  <c r="E15" i="45"/>
  <c r="E49" i="45"/>
  <c r="E84" i="45"/>
  <c r="D36" i="45"/>
  <c r="D46" i="45"/>
  <c r="E180" i="45"/>
  <c r="D60" i="45"/>
  <c r="E178" i="45"/>
  <c r="D16" i="45"/>
  <c r="K170" i="29"/>
  <c r="E170" i="45"/>
  <c r="D297" i="45"/>
  <c r="D182" i="45"/>
  <c r="E158" i="45"/>
  <c r="D222" i="45"/>
  <c r="D248" i="45"/>
  <c r="D167" i="45"/>
  <c r="H159" i="29"/>
  <c r="D260" i="45"/>
  <c r="E140" i="45"/>
  <c r="E59" i="45"/>
  <c r="D39" i="45"/>
  <c r="D236" i="45"/>
  <c r="H182" i="29"/>
  <c r="E117" i="45"/>
  <c r="D264" i="45"/>
  <c r="D200" i="45"/>
  <c r="D157" i="45"/>
  <c r="H157" i="29"/>
  <c r="K157" i="29" s="1"/>
  <c r="D300" i="45"/>
  <c r="H127" i="29"/>
  <c r="D239" i="45"/>
  <c r="E245" i="45"/>
  <c r="D133" i="45"/>
  <c r="H128" i="29"/>
  <c r="E131" i="45"/>
  <c r="D83" i="45"/>
  <c r="H138" i="29"/>
  <c r="H193" i="29"/>
  <c r="D219" i="45"/>
  <c r="D218" i="45"/>
  <c r="D266" i="45"/>
  <c r="E201" i="45"/>
  <c r="D227" i="45"/>
  <c r="H154" i="29"/>
  <c r="K117" i="29"/>
  <c r="H115" i="29"/>
  <c r="D89" i="45"/>
  <c r="D175" i="45"/>
  <c r="E264" i="45"/>
  <c r="E188" i="45"/>
  <c r="E202" i="45"/>
  <c r="D288" i="45"/>
  <c r="D136" i="45"/>
  <c r="H136" i="29"/>
  <c r="D285" i="45"/>
  <c r="E191" i="45"/>
  <c r="K191" i="29"/>
  <c r="E182" i="45"/>
  <c r="D30" i="45"/>
  <c r="D58" i="45"/>
  <c r="E87" i="45"/>
  <c r="E189" i="45"/>
  <c r="E125" i="45"/>
  <c r="H168" i="29"/>
  <c r="K168" i="29" s="1"/>
  <c r="D168" i="45"/>
  <c r="D204" i="45"/>
  <c r="H204" i="29"/>
  <c r="D101" i="45"/>
  <c r="H205" i="29"/>
  <c r="D205" i="45"/>
  <c r="D263" i="45"/>
  <c r="E254" i="45"/>
  <c r="E294" i="45"/>
  <c r="E146" i="45"/>
  <c r="E64" i="45"/>
  <c r="E98" i="45"/>
  <c r="E91" i="45"/>
  <c r="E116" i="45"/>
  <c r="D172" i="45"/>
  <c r="H172" i="29"/>
  <c r="E255" i="45"/>
  <c r="D124" i="45"/>
  <c r="H124" i="29"/>
  <c r="D106" i="45"/>
  <c r="D139" i="45"/>
  <c r="M14" i="28"/>
  <c r="E258" i="45"/>
  <c r="E65" i="45"/>
  <c r="E109" i="45"/>
  <c r="E120" i="45"/>
  <c r="D176" i="45"/>
  <c r="H176" i="29"/>
  <c r="D211" i="45"/>
  <c r="D152" i="45"/>
  <c r="H152" i="29"/>
  <c r="D141" i="45"/>
  <c r="H141" i="29"/>
  <c r="H171" i="29"/>
  <c r="D171" i="45"/>
  <c r="D292" i="45"/>
  <c r="D67" i="45"/>
  <c r="H42" i="28"/>
  <c r="E21" i="45"/>
  <c r="E110" i="45"/>
  <c r="H209" i="29"/>
  <c r="D209" i="45"/>
  <c r="H180" i="29"/>
  <c r="K180" i="29" s="1"/>
  <c r="E156" i="45"/>
  <c r="D117" i="45"/>
  <c r="D179" i="45"/>
  <c r="H179" i="29"/>
  <c r="E14" i="45"/>
  <c r="E211" i="45"/>
  <c r="E283" i="45"/>
  <c r="D224" i="45"/>
  <c r="E99" i="45"/>
  <c r="H125" i="29"/>
  <c r="D125" i="45"/>
  <c r="H149" i="29"/>
  <c r="D149" i="45"/>
  <c r="H187" i="29"/>
  <c r="D187" i="45"/>
  <c r="E249" i="45"/>
  <c r="D307" i="45"/>
  <c r="D275" i="45"/>
  <c r="D90" i="45"/>
  <c r="D186" i="45"/>
  <c r="H186" i="29"/>
  <c r="K186" i="29" s="1"/>
  <c r="D269" i="45"/>
  <c r="D191" i="45"/>
  <c r="J33" i="28"/>
  <c r="J5" i="28"/>
  <c r="H150" i="29"/>
  <c r="K150" i="29" s="1"/>
  <c r="D150" i="45"/>
  <c r="D92" i="45"/>
  <c r="H196" i="29"/>
  <c r="D196" i="45"/>
  <c r="D273" i="45"/>
  <c r="E230" i="45"/>
  <c r="D129" i="45"/>
  <c r="H129" i="29"/>
  <c r="H195" i="29"/>
  <c r="D195" i="45"/>
  <c r="E72" i="45"/>
  <c r="D22" i="45"/>
  <c r="H158" i="29"/>
  <c r="K158" i="29" s="1"/>
  <c r="D158" i="45"/>
  <c r="D166" i="45"/>
  <c r="H166" i="29"/>
  <c r="H198" i="29"/>
  <c r="D163" i="45"/>
  <c r="H163" i="29"/>
  <c r="E80" i="45"/>
  <c r="E293" i="45"/>
  <c r="E303" i="45"/>
  <c r="D277" i="45"/>
  <c r="E82" i="45"/>
  <c r="E162" i="45"/>
  <c r="E307" i="45"/>
  <c r="D210" i="45"/>
  <c r="E302" i="45"/>
  <c r="E231" i="45"/>
  <c r="J31" i="28"/>
  <c r="D16" i="28"/>
  <c r="D28" i="28"/>
  <c r="E259" i="45"/>
  <c r="E100" i="45"/>
  <c r="E139" i="45"/>
  <c r="K139" i="29"/>
  <c r="E197" i="45"/>
  <c r="E271" i="45"/>
  <c r="D223" i="45"/>
  <c r="E101" i="45"/>
  <c r="E147" i="45"/>
  <c r="E175" i="45"/>
  <c r="E199" i="45"/>
  <c r="E214" i="45"/>
  <c r="E105" i="45"/>
  <c r="E152" i="45"/>
  <c r="D299" i="45"/>
  <c r="K200" i="29"/>
  <c r="E200" i="45"/>
  <c r="D215" i="45"/>
  <c r="E261" i="45"/>
  <c r="E282" i="45"/>
  <c r="D217" i="45"/>
  <c r="D238" i="45"/>
  <c r="E242" i="45"/>
  <c r="D251" i="45"/>
  <c r="E262" i="45"/>
  <c r="E291" i="45"/>
  <c r="C44" i="28"/>
  <c r="E295" i="45"/>
  <c r="E122" i="45"/>
  <c r="E155" i="45"/>
  <c r="K155" i="29"/>
  <c r="E306" i="45"/>
  <c r="E207" i="45"/>
  <c r="D287" i="45"/>
  <c r="D22" i="28"/>
  <c r="E220" i="45"/>
  <c r="E287" i="45"/>
  <c r="D243" i="45"/>
  <c r="E263" i="45"/>
  <c r="D229" i="45"/>
  <c r="E124" i="45"/>
  <c r="E184" i="45"/>
  <c r="E308" i="45"/>
  <c r="D289" i="45"/>
  <c r="D245" i="45"/>
  <c r="E265" i="45"/>
  <c r="E277" i="45"/>
  <c r="E252" i="45"/>
  <c r="E233" i="45"/>
  <c r="D270" i="45"/>
  <c r="E127" i="45"/>
  <c r="E256" i="45"/>
  <c r="D284" i="45"/>
  <c r="E187" i="45"/>
  <c r="E272" i="45"/>
  <c r="E246" i="45"/>
  <c r="D254" i="45"/>
  <c r="E266" i="45"/>
  <c r="E284" i="45"/>
  <c r="E222" i="45"/>
  <c r="J22" i="28"/>
  <c r="E130" i="45"/>
  <c r="D283" i="45"/>
  <c r="E297" i="45"/>
  <c r="D296" i="45"/>
  <c r="D230" i="45"/>
  <c r="E285" i="45"/>
  <c r="D247" i="45"/>
  <c r="E267" i="45"/>
  <c r="E274" i="45"/>
  <c r="D291" i="45"/>
  <c r="D257" i="45"/>
  <c r="E234" i="45"/>
  <c r="E289" i="45"/>
  <c r="E292" i="45"/>
  <c r="E248" i="45"/>
  <c r="D256" i="45"/>
  <c r="E273" i="45"/>
  <c r="E276" i="45"/>
  <c r="E279" i="45"/>
  <c r="D252" i="45"/>
  <c r="E250" i="45"/>
  <c r="K108" i="29"/>
  <c r="E108" i="45"/>
  <c r="E154" i="45"/>
  <c r="E247" i="45"/>
  <c r="E281" i="45"/>
  <c r="D258" i="45"/>
  <c r="E275" i="45"/>
  <c r="J13" i="28"/>
  <c r="E288" i="45"/>
  <c r="E244" i="45"/>
  <c r="C50" i="28"/>
  <c r="K228" i="29" l="1"/>
  <c r="K301" i="29"/>
  <c r="K241" i="29"/>
  <c r="K226" i="29"/>
  <c r="K237" i="29"/>
  <c r="K221" i="29"/>
  <c r="K286" i="29"/>
  <c r="K94" i="29"/>
  <c r="K86" i="29"/>
  <c r="K102" i="29"/>
  <c r="K305" i="29"/>
  <c r="K12" i="29"/>
  <c r="L35" i="53"/>
  <c r="N35" i="53" s="1"/>
  <c r="J42" i="56" s="1"/>
  <c r="K30" i="53"/>
  <c r="M30" i="53" s="1"/>
  <c r="C8" i="50"/>
  <c r="F17" i="56"/>
  <c r="K32" i="53"/>
  <c r="M32" i="53" s="1"/>
  <c r="G39" i="56" s="1"/>
  <c r="L39" i="56" s="1"/>
  <c r="E227" i="45"/>
  <c r="I227" i="29"/>
  <c r="K227" i="29" s="1"/>
  <c r="K278" i="29"/>
  <c r="E215" i="45"/>
  <c r="I215" i="29"/>
  <c r="E236" i="45"/>
  <c r="I236" i="29"/>
  <c r="K236" i="29" s="1"/>
  <c r="E212" i="45"/>
  <c r="I212" i="29"/>
  <c r="K212" i="29" s="1"/>
  <c r="K56" i="29"/>
  <c r="K29" i="29"/>
  <c r="K54" i="29"/>
  <c r="K81" i="29"/>
  <c r="K33" i="29"/>
  <c r="K20" i="29"/>
  <c r="E41" i="45"/>
  <c r="I41" i="29"/>
  <c r="K41" i="29" s="1"/>
  <c r="E73" i="45"/>
  <c r="I73" i="29"/>
  <c r="K73" i="29" s="1"/>
  <c r="K61" i="29"/>
  <c r="K52" i="29"/>
  <c r="K37" i="29"/>
  <c r="E77" i="45"/>
  <c r="I77" i="29"/>
  <c r="E48" i="45"/>
  <c r="I48" i="29"/>
  <c r="K48" i="29" s="1"/>
  <c r="D55" i="45"/>
  <c r="H55" i="29"/>
  <c r="K55" i="29" s="1"/>
  <c r="D74" i="45"/>
  <c r="H74" i="29"/>
  <c r="K74" i="29" s="1"/>
  <c r="D45" i="45"/>
  <c r="H45" i="29"/>
  <c r="K45" i="29" s="1"/>
  <c r="D28" i="45"/>
  <c r="H28" i="29"/>
  <c r="K28" i="29" s="1"/>
  <c r="D53" i="45"/>
  <c r="H53" i="29"/>
  <c r="K53" i="29" s="1"/>
  <c r="D43" i="45"/>
  <c r="H43" i="29"/>
  <c r="K43" i="29" s="1"/>
  <c r="D84" i="45"/>
  <c r="H84" i="29"/>
  <c r="K84" i="29" s="1"/>
  <c r="K7" i="29"/>
  <c r="K31" i="53"/>
  <c r="M31" i="53" s="1"/>
  <c r="G38" i="56" s="1"/>
  <c r="K37" i="53"/>
  <c r="M37" i="53" s="1"/>
  <c r="G44" i="56" s="1"/>
  <c r="K33" i="53"/>
  <c r="M33" i="53" s="1"/>
  <c r="G40" i="56" s="1"/>
  <c r="G41" i="56"/>
  <c r="J38" i="56"/>
  <c r="E9" i="28"/>
  <c r="C182" i="52"/>
  <c r="C213" i="52"/>
  <c r="D234" i="45"/>
  <c r="H44" i="28"/>
  <c r="D57" i="45"/>
  <c r="D65" i="45"/>
  <c r="E11" i="45"/>
  <c r="D212" i="45"/>
  <c r="D232" i="45"/>
  <c r="D244" i="45"/>
  <c r="I209" i="29"/>
  <c r="K209" i="29" s="1"/>
  <c r="D18" i="45"/>
  <c r="E209" i="45"/>
  <c r="D255" i="45"/>
  <c r="E221" i="45"/>
  <c r="E69" i="45"/>
  <c r="E9" i="45"/>
  <c r="E27" i="45"/>
  <c r="L37" i="53"/>
  <c r="N37" i="53" s="1"/>
  <c r="J44" i="56" s="1"/>
  <c r="E61" i="45"/>
  <c r="D37" i="45"/>
  <c r="D7" i="45"/>
  <c r="D20" i="45"/>
  <c r="E257" i="45"/>
  <c r="D98" i="45"/>
  <c r="D81" i="45"/>
  <c r="E238" i="45"/>
  <c r="E33" i="45"/>
  <c r="E53" i="45"/>
  <c r="G25" i="28"/>
  <c r="D12" i="45"/>
  <c r="D103" i="45"/>
  <c r="E224" i="45"/>
  <c r="E17" i="45"/>
  <c r="G52" i="28"/>
  <c r="L34" i="53"/>
  <c r="N34" i="53" s="1"/>
  <c r="J41" i="56" s="1"/>
  <c r="G10" i="28"/>
  <c r="F19" i="50"/>
  <c r="G14" i="28"/>
  <c r="L36" i="53"/>
  <c r="N36" i="53" s="1"/>
  <c r="J43" i="56" s="1"/>
  <c r="J32" i="50"/>
  <c r="E32" i="50"/>
  <c r="C46" i="28"/>
  <c r="D10" i="28"/>
  <c r="D17" i="28" s="1"/>
  <c r="L19" i="50"/>
  <c r="K5" i="29"/>
  <c r="F29" i="50"/>
  <c r="J7" i="50"/>
  <c r="G28" i="28"/>
  <c r="M7" i="28"/>
  <c r="G7" i="28"/>
  <c r="E5" i="45"/>
  <c r="K141" i="29"/>
  <c r="K122" i="29"/>
  <c r="K143" i="29"/>
  <c r="K163" i="29"/>
  <c r="K111" i="29"/>
  <c r="K32" i="50"/>
  <c r="J7" i="28"/>
  <c r="J17" i="28" s="1"/>
  <c r="K147" i="29"/>
  <c r="K193" i="29"/>
  <c r="K120" i="29"/>
  <c r="K204" i="29"/>
  <c r="K142" i="29"/>
  <c r="K196" i="29"/>
  <c r="K171" i="29"/>
  <c r="K203" i="29"/>
  <c r="K207" i="29"/>
  <c r="E31" i="28"/>
  <c r="E34" i="28" s="1"/>
  <c r="K41" i="50"/>
  <c r="N31" i="28"/>
  <c r="N34" i="28" s="1"/>
  <c r="H31" i="28"/>
  <c r="H34" i="28" s="1"/>
  <c r="K40" i="50"/>
  <c r="K31" i="28"/>
  <c r="K34" i="28" s="1"/>
  <c r="E14" i="28"/>
  <c r="E17" i="28" s="1"/>
  <c r="G24" i="28"/>
  <c r="K172" i="29"/>
  <c r="K182" i="29"/>
  <c r="L49" i="28"/>
  <c r="L52" i="28" s="1"/>
  <c r="E40" i="50"/>
  <c r="H14" i="28"/>
  <c r="K14" i="28"/>
  <c r="K17" i="28" s="1"/>
  <c r="E41" i="50"/>
  <c r="N14" i="28"/>
  <c r="N17" i="28" s="1"/>
  <c r="D49" i="28"/>
  <c r="D52" i="28" s="1"/>
  <c r="K156" i="29"/>
  <c r="K131" i="29"/>
  <c r="K135" i="29"/>
  <c r="K177" i="29"/>
  <c r="K184" i="29"/>
  <c r="K192" i="29"/>
  <c r="K118" i="29"/>
  <c r="K144" i="29"/>
  <c r="K138" i="29"/>
  <c r="K197" i="29"/>
  <c r="H52" i="28"/>
  <c r="K136" i="29"/>
  <c r="K130" i="29"/>
  <c r="K116" i="29"/>
  <c r="K110" i="29"/>
  <c r="K199" i="29"/>
  <c r="K149" i="29"/>
  <c r="K115" i="29"/>
  <c r="K179" i="29"/>
  <c r="K167" i="29"/>
  <c r="K165" i="29"/>
  <c r="K166" i="29"/>
  <c r="K119" i="29"/>
  <c r="K162" i="29"/>
  <c r="K109" i="29"/>
  <c r="K201" i="29"/>
  <c r="K159" i="29"/>
  <c r="K195" i="29"/>
  <c r="K151" i="29"/>
  <c r="K132" i="29"/>
  <c r="K175" i="29"/>
  <c r="K169" i="29"/>
  <c r="K187" i="29"/>
  <c r="K127" i="29"/>
  <c r="K129" i="29"/>
  <c r="K205" i="29"/>
  <c r="K128" i="29"/>
  <c r="K152" i="29"/>
  <c r="K189" i="29"/>
  <c r="K190" i="29"/>
  <c r="K188" i="29"/>
  <c r="K124" i="29"/>
  <c r="K176" i="29"/>
  <c r="J25" i="28"/>
  <c r="D30" i="28"/>
  <c r="J23" i="28"/>
  <c r="K125" i="29"/>
  <c r="K154" i="29"/>
  <c r="K198" i="29"/>
  <c r="C47" i="28"/>
  <c r="G15" i="28"/>
  <c r="G5" i="28"/>
  <c r="M5" i="28"/>
  <c r="D33" i="28"/>
  <c r="I208" i="29"/>
  <c r="C43" i="28"/>
  <c r="G22" i="28"/>
  <c r="C42" i="28"/>
  <c r="C40" i="28"/>
  <c r="L29" i="50"/>
  <c r="G8" i="28"/>
  <c r="C41" i="28"/>
  <c r="G6" i="28"/>
  <c r="H25" i="56" l="1"/>
  <c r="H30" i="56"/>
  <c r="H26" i="56"/>
  <c r="H31" i="56"/>
  <c r="H27" i="56"/>
  <c r="K215" i="29"/>
  <c r="L40" i="53"/>
  <c r="N40" i="53" s="1"/>
  <c r="J47" i="56" s="1"/>
  <c r="L39" i="53"/>
  <c r="N39" i="53" s="1"/>
  <c r="J46" i="56" s="1"/>
  <c r="L38" i="53"/>
  <c r="N38" i="53" s="1"/>
  <c r="J45" i="56" s="1"/>
  <c r="J52" i="56" s="1"/>
  <c r="L17" i="56"/>
  <c r="C69" i="56"/>
  <c r="L33" i="53"/>
  <c r="N33" i="53" s="1"/>
  <c r="J40" i="56" s="1"/>
  <c r="B8" i="50"/>
  <c r="C21" i="53"/>
  <c r="H18" i="56"/>
  <c r="F69" i="56" s="1"/>
  <c r="L44" i="56"/>
  <c r="M39" i="56"/>
  <c r="L38" i="56"/>
  <c r="H9" i="50"/>
  <c r="I31" i="50"/>
  <c r="L41" i="56"/>
  <c r="M38" i="56"/>
  <c r="L41" i="53"/>
  <c r="N41" i="53" s="1"/>
  <c r="J48" i="56" s="1"/>
  <c r="I41" i="50" s="1"/>
  <c r="K38" i="53"/>
  <c r="M38" i="53" s="1"/>
  <c r="G45" i="56" s="1"/>
  <c r="K41" i="53"/>
  <c r="M41" i="53" s="1"/>
  <c r="K40" i="53"/>
  <c r="M40" i="53" s="1"/>
  <c r="G47" i="56" s="1"/>
  <c r="K39" i="53"/>
  <c r="M39" i="53" s="1"/>
  <c r="G46" i="56" s="1"/>
  <c r="M44" i="56"/>
  <c r="K36" i="53"/>
  <c r="M36" i="53" s="1"/>
  <c r="G43" i="56" s="1"/>
  <c r="M41" i="56"/>
  <c r="G37" i="56"/>
  <c r="K35" i="53"/>
  <c r="H39" i="50"/>
  <c r="H29" i="50"/>
  <c r="H19" i="50"/>
  <c r="B29" i="50"/>
  <c r="B19" i="50"/>
  <c r="B39" i="50"/>
  <c r="K7" i="50"/>
  <c r="F7" i="50"/>
  <c r="G26" i="28"/>
  <c r="G29" i="28"/>
  <c r="K208" i="29"/>
  <c r="I1" i="29"/>
  <c r="H208" i="29"/>
  <c r="I6" i="29"/>
  <c r="K6" i="29"/>
  <c r="G23" i="28"/>
  <c r="H1" i="29"/>
  <c r="H6" i="29"/>
  <c r="M26" i="28"/>
  <c r="M13" i="28"/>
  <c r="J34" i="28"/>
  <c r="D27" i="28"/>
  <c r="D34" i="28" s="1"/>
  <c r="M30" i="28"/>
  <c r="L39" i="50"/>
  <c r="M27" i="28"/>
  <c r="M33" i="28"/>
  <c r="D42" i="50"/>
  <c r="E39" i="50"/>
  <c r="O8" i="55"/>
  <c r="N7" i="55"/>
  <c r="J42" i="50"/>
  <c r="K39" i="50"/>
  <c r="O7" i="55"/>
  <c r="F39" i="50"/>
  <c r="G13" i="28"/>
  <c r="M9" i="28"/>
  <c r="M15" i="28"/>
  <c r="F41" i="50"/>
  <c r="F20" i="50"/>
  <c r="M10" i="28"/>
  <c r="F21" i="50"/>
  <c r="G12" i="28"/>
  <c r="C48" i="28"/>
  <c r="E8" i="50"/>
  <c r="M32" i="28"/>
  <c r="M6" i="28"/>
  <c r="E9" i="50"/>
  <c r="N18" i="56" l="1"/>
  <c r="N30" i="56"/>
  <c r="N26" i="56"/>
  <c r="N25" i="56"/>
  <c r="N31" i="56"/>
  <c r="N33" i="56" s="1"/>
  <c r="N27" i="56"/>
  <c r="G62" i="56"/>
  <c r="H62" i="56" s="1"/>
  <c r="J62" i="56"/>
  <c r="J63" i="56" s="1"/>
  <c r="K63" i="56" s="1"/>
  <c r="C71" i="56"/>
  <c r="G52" i="56"/>
  <c r="J53" i="56"/>
  <c r="I21" i="50"/>
  <c r="N13" i="54"/>
  <c r="C25" i="53"/>
  <c r="D22" i="53"/>
  <c r="D25" i="53" s="1"/>
  <c r="L40" i="56"/>
  <c r="M45" i="56"/>
  <c r="L45" i="56"/>
  <c r="M37" i="56"/>
  <c r="M43" i="56"/>
  <c r="I49" i="56"/>
  <c r="C77" i="56" s="1"/>
  <c r="M47" i="56"/>
  <c r="L47" i="56"/>
  <c r="M46" i="56"/>
  <c r="L42" i="53"/>
  <c r="H49" i="53" s="1"/>
  <c r="H51" i="53" s="1"/>
  <c r="I66" i="54" s="1"/>
  <c r="N42" i="53"/>
  <c r="K42" i="53"/>
  <c r="G57" i="56" s="1"/>
  <c r="G48" i="56"/>
  <c r="M48" i="56" s="1"/>
  <c r="M35" i="53"/>
  <c r="M42" i="53" s="1"/>
  <c r="M40" i="56"/>
  <c r="J49" i="56"/>
  <c r="D77" i="56" s="1"/>
  <c r="N8" i="55"/>
  <c r="M19" i="50"/>
  <c r="G19" i="50"/>
  <c r="M29" i="50"/>
  <c r="G29" i="50"/>
  <c r="F31" i="50"/>
  <c r="G30" i="28"/>
  <c r="G32" i="28"/>
  <c r="C22" i="50"/>
  <c r="F22" i="50" s="1"/>
  <c r="O8" i="52"/>
  <c r="P7" i="52"/>
  <c r="P8" i="52"/>
  <c r="O7" i="52"/>
  <c r="G39" i="50"/>
  <c r="E42" i="50"/>
  <c r="K42" i="50"/>
  <c r="M39" i="50"/>
  <c r="M24" i="28"/>
  <c r="C51" i="28"/>
  <c r="C49" i="28"/>
  <c r="G31" i="28"/>
  <c r="M23" i="28"/>
  <c r="M17" i="28"/>
  <c r="C10" i="50"/>
  <c r="E10" i="50" s="1"/>
  <c r="G11" i="28"/>
  <c r="M31" i="28"/>
  <c r="G63" i="56" l="1"/>
  <c r="H63" i="56" s="1"/>
  <c r="M62" i="56"/>
  <c r="K62" i="56"/>
  <c r="F71" i="56"/>
  <c r="M52" i="56"/>
  <c r="N3" i="54"/>
  <c r="G47" i="53"/>
  <c r="G9" i="50"/>
  <c r="K50" i="56"/>
  <c r="F77" i="56" s="1"/>
  <c r="F46" i="53"/>
  <c r="F51" i="53" s="1"/>
  <c r="I62" i="54" s="1"/>
  <c r="I70" i="54" s="1"/>
  <c r="L48" i="56"/>
  <c r="L46" i="56"/>
  <c r="H8" i="50"/>
  <c r="J8" i="50" s="1"/>
  <c r="L37" i="56"/>
  <c r="I30" i="50"/>
  <c r="L30" i="50" s="1"/>
  <c r="L43" i="56"/>
  <c r="L52" i="56" s="1"/>
  <c r="Q34" i="57"/>
  <c r="H57" i="56"/>
  <c r="J57" i="56"/>
  <c r="J58" i="56" s="1"/>
  <c r="D63" i="53"/>
  <c r="D67" i="53" s="1"/>
  <c r="D55" i="53"/>
  <c r="D59" i="53" s="1"/>
  <c r="G58" i="56"/>
  <c r="E49" i="53"/>
  <c r="E51" i="53" s="1"/>
  <c r="O204" i="52" s="1"/>
  <c r="G42" i="56"/>
  <c r="G53" i="56" s="1"/>
  <c r="O11" i="54"/>
  <c r="O11" i="55"/>
  <c r="N4" i="54"/>
  <c r="O4" i="54"/>
  <c r="O6" i="55"/>
  <c r="O5" i="55" s="1"/>
  <c r="C115" i="52"/>
  <c r="B31" i="50"/>
  <c r="G31" i="50" s="1"/>
  <c r="B21" i="50"/>
  <c r="G21" i="50" s="1"/>
  <c r="B41" i="50"/>
  <c r="F9" i="50"/>
  <c r="G27" i="28"/>
  <c r="M29" i="28"/>
  <c r="L31" i="50"/>
  <c r="M28" i="28"/>
  <c r="M22" i="28"/>
  <c r="M25" i="28"/>
  <c r="J9" i="50"/>
  <c r="C52" i="28"/>
  <c r="P6" i="52"/>
  <c r="P5" i="52" s="1"/>
  <c r="C32" i="50"/>
  <c r="F32" i="50" s="1"/>
  <c r="F30" i="50"/>
  <c r="L41" i="50"/>
  <c r="M63" i="56" l="1"/>
  <c r="M65" i="56" s="1"/>
  <c r="G51" i="53"/>
  <c r="G59" i="56"/>
  <c r="H59" i="56" s="1"/>
  <c r="M58" i="56"/>
  <c r="M42" i="56"/>
  <c r="O52" i="56" s="1"/>
  <c r="I40" i="50"/>
  <c r="M57" i="56"/>
  <c r="P10" i="52"/>
  <c r="K57" i="56"/>
  <c r="H58" i="56"/>
  <c r="J59" i="56"/>
  <c r="K58" i="56"/>
  <c r="G49" i="56"/>
  <c r="D76" i="56" s="1"/>
  <c r="O10" i="55"/>
  <c r="I38" i="54"/>
  <c r="I62" i="55"/>
  <c r="O10" i="52"/>
  <c r="N10" i="55"/>
  <c r="I75" i="55"/>
  <c r="P11" i="52"/>
  <c r="G41" i="50"/>
  <c r="H31" i="50"/>
  <c r="M31" i="50" s="1"/>
  <c r="H21" i="50"/>
  <c r="M21" i="50" s="1"/>
  <c r="H41" i="50"/>
  <c r="K9" i="50"/>
  <c r="I32" i="50"/>
  <c r="L32" i="50" s="1"/>
  <c r="H10" i="50"/>
  <c r="J10" i="50" s="1"/>
  <c r="M34" i="28"/>
  <c r="L21" i="50"/>
  <c r="O235" i="52"/>
  <c r="L10" i="56" l="1"/>
  <c r="L9" i="56"/>
  <c r="K59" i="56"/>
  <c r="L42" i="56"/>
  <c r="M53" i="56" s="1"/>
  <c r="I20" i="50"/>
  <c r="F49" i="56"/>
  <c r="C76" i="56" s="1"/>
  <c r="M59" i="56"/>
  <c r="M49" i="56"/>
  <c r="O10" i="54"/>
  <c r="O12" i="55"/>
  <c r="O9" i="55" s="1"/>
  <c r="O13" i="55" s="1"/>
  <c r="M41" i="50"/>
  <c r="P12" i="52"/>
  <c r="P9" i="52" s="1"/>
  <c r="P13" i="52" s="1"/>
  <c r="D78" i="56" l="1"/>
  <c r="L20" i="50"/>
  <c r="I22" i="50"/>
  <c r="L22" i="50" s="1"/>
  <c r="H50" i="56"/>
  <c r="F76" i="56" s="1"/>
  <c r="C46" i="53"/>
  <c r="L49" i="56"/>
  <c r="N50" i="56" s="1"/>
  <c r="G8" i="50"/>
  <c r="O8" i="54"/>
  <c r="O12" i="54" s="1"/>
  <c r="I71" i="55"/>
  <c r="I79" i="55"/>
  <c r="O231" i="52"/>
  <c r="O241" i="52"/>
  <c r="N62" i="56" l="1"/>
  <c r="N63" i="56"/>
  <c r="N65" i="56" s="1"/>
  <c r="C78" i="56"/>
  <c r="O53" i="56"/>
  <c r="N58" i="56"/>
  <c r="N57" i="56"/>
  <c r="N59" i="56"/>
  <c r="C51" i="53"/>
  <c r="D47" i="53"/>
  <c r="D51" i="53" s="1"/>
  <c r="O13" i="54"/>
  <c r="G16" i="28"/>
  <c r="G17" i="28" s="1"/>
  <c r="I15" i="53" l="1"/>
  <c r="F7" i="53"/>
  <c r="I14" i="53"/>
  <c r="E11" i="53"/>
  <c r="J13" i="53"/>
  <c r="E10" i="53"/>
  <c r="H5" i="53"/>
  <c r="F6" i="53"/>
  <c r="H12" i="53"/>
  <c r="G9" i="53"/>
  <c r="G8" i="53"/>
  <c r="H8" i="53"/>
  <c r="E7" i="53"/>
  <c r="J6" i="53"/>
  <c r="I14" i="57"/>
  <c r="G14" i="53"/>
  <c r="G7" i="53"/>
  <c r="E13" i="53"/>
  <c r="G5" i="53"/>
  <c r="F9" i="53"/>
  <c r="H16" i="53"/>
  <c r="H6" i="53"/>
  <c r="F11" i="53"/>
  <c r="G13" i="53"/>
  <c r="G12" i="53"/>
  <c r="J8" i="53"/>
  <c r="E8" i="53"/>
  <c r="J7" i="53"/>
  <c r="H9" i="53"/>
  <c r="I5" i="53"/>
  <c r="J16" i="53"/>
  <c r="G10" i="53"/>
  <c r="H15" i="53"/>
  <c r="H14" i="53"/>
  <c r="G6" i="53"/>
  <c r="I10" i="53"/>
  <c r="I16" i="57"/>
  <c r="I6" i="53"/>
  <c r="I16" i="53"/>
  <c r="H13" i="53"/>
  <c r="I9" i="53"/>
  <c r="I13" i="53"/>
  <c r="J14" i="53"/>
  <c r="E5" i="53"/>
  <c r="J10" i="53"/>
  <c r="I8" i="53"/>
  <c r="J15" i="53"/>
  <c r="H11" i="57"/>
  <c r="I12" i="53"/>
  <c r="F12" i="53"/>
  <c r="H11" i="53"/>
  <c r="I7" i="57"/>
  <c r="E16" i="53"/>
  <c r="F13" i="53"/>
  <c r="E14" i="53"/>
  <c r="J12" i="53"/>
  <c r="J9" i="53"/>
  <c r="G11" i="53"/>
  <c r="G16" i="53"/>
  <c r="E6" i="53"/>
  <c r="F15" i="53"/>
  <c r="F16" i="53"/>
  <c r="I6" i="57"/>
  <c r="H7" i="53"/>
  <c r="H10" i="53"/>
  <c r="I11" i="53"/>
  <c r="H6" i="57"/>
  <c r="E12" i="53"/>
  <c r="I15" i="57"/>
  <c r="F8" i="53"/>
  <c r="E15" i="53"/>
  <c r="J5" i="53"/>
  <c r="E9" i="53"/>
  <c r="F5" i="53"/>
  <c r="J11" i="53"/>
  <c r="I7" i="53"/>
  <c r="G15" i="53"/>
  <c r="F10" i="53"/>
  <c r="F14" i="53"/>
  <c r="F78" i="56"/>
  <c r="O3" i="54"/>
  <c r="I34" i="54"/>
  <c r="I42" i="54" s="1"/>
  <c r="I58" i="55"/>
  <c r="O200" i="52"/>
  <c r="O210" i="52"/>
  <c r="I66" i="55"/>
  <c r="B20" i="50"/>
  <c r="B40" i="50"/>
  <c r="B30" i="50"/>
  <c r="F8" i="50"/>
  <c r="B10" i="50"/>
  <c r="F10" i="50" s="1"/>
  <c r="C42" i="50"/>
  <c r="F40" i="50"/>
  <c r="J6" i="59" l="1"/>
  <c r="J7" i="59"/>
  <c r="J16" i="59"/>
  <c r="J14" i="59"/>
  <c r="G6" i="59"/>
  <c r="J15" i="59"/>
  <c r="G11" i="59"/>
  <c r="G10" i="59"/>
  <c r="I13" i="57"/>
  <c r="H16" i="57"/>
  <c r="I9" i="57"/>
  <c r="H14" i="57"/>
  <c r="I8" i="57"/>
  <c r="H15" i="57"/>
  <c r="H9" i="57"/>
  <c r="H13" i="57"/>
  <c r="H7" i="57"/>
  <c r="H8" i="57"/>
  <c r="J6" i="57"/>
  <c r="I11" i="57"/>
  <c r="I10" i="57"/>
  <c r="I12" i="57"/>
  <c r="H12" i="57"/>
  <c r="C9" i="53"/>
  <c r="G9" i="56" s="1"/>
  <c r="D16" i="53"/>
  <c r="J16" i="56" s="1"/>
  <c r="C7" i="53"/>
  <c r="G7" i="56" s="1"/>
  <c r="C15" i="53"/>
  <c r="G15" i="56" s="1"/>
  <c r="C14" i="53"/>
  <c r="G14" i="56" s="1"/>
  <c r="D9" i="53"/>
  <c r="J9" i="56" s="1"/>
  <c r="D6" i="53"/>
  <c r="J6" i="56" s="1"/>
  <c r="D12" i="53"/>
  <c r="J12" i="56" s="1"/>
  <c r="C12" i="53"/>
  <c r="G12" i="56" s="1"/>
  <c r="D14" i="53"/>
  <c r="J14" i="56" s="1"/>
  <c r="C11" i="53"/>
  <c r="F17" i="53"/>
  <c r="C57" i="53" s="1"/>
  <c r="C5" i="53"/>
  <c r="E17" i="53"/>
  <c r="P17" i="57"/>
  <c r="G17" i="53"/>
  <c r="C58" i="53" s="1"/>
  <c r="D5" i="53"/>
  <c r="H17" i="53"/>
  <c r="C16" i="53"/>
  <c r="G16" i="56" s="1"/>
  <c r="D15" i="53"/>
  <c r="J15" i="56" s="1"/>
  <c r="K17" i="57"/>
  <c r="C13" i="53"/>
  <c r="G13" i="56" s="1"/>
  <c r="D8" i="53"/>
  <c r="J8" i="56" s="1"/>
  <c r="D7" i="53"/>
  <c r="J7" i="56" s="1"/>
  <c r="C8" i="53"/>
  <c r="G8" i="56" s="1"/>
  <c r="J17" i="53"/>
  <c r="C66" i="53" s="1"/>
  <c r="C6" i="53"/>
  <c r="G6" i="56" s="1"/>
  <c r="N17" i="57"/>
  <c r="D13" i="53"/>
  <c r="J13" i="56" s="1"/>
  <c r="M17" i="57"/>
  <c r="C10" i="53"/>
  <c r="G10" i="56" s="1"/>
  <c r="D10" i="53"/>
  <c r="J10" i="56" s="1"/>
  <c r="O17" i="57"/>
  <c r="D11" i="53"/>
  <c r="I17" i="53"/>
  <c r="C65" i="53" s="1"/>
  <c r="L17" i="57"/>
  <c r="I20" i="54"/>
  <c r="N4" i="55"/>
  <c r="E1" i="55"/>
  <c r="G40" i="50"/>
  <c r="B42" i="50"/>
  <c r="G30" i="50"/>
  <c r="B32" i="50"/>
  <c r="G32" i="50" s="1"/>
  <c r="G20" i="50"/>
  <c r="B22" i="50"/>
  <c r="G22" i="50" s="1"/>
  <c r="M6" i="59" l="1"/>
  <c r="J9" i="59"/>
  <c r="J8" i="59"/>
  <c r="G8" i="59"/>
  <c r="G12" i="59"/>
  <c r="J12" i="59"/>
  <c r="J13" i="59"/>
  <c r="G13" i="59"/>
  <c r="J16" i="57"/>
  <c r="G16" i="59"/>
  <c r="M16" i="59" s="1"/>
  <c r="J9" i="57"/>
  <c r="G9" i="59"/>
  <c r="J15" i="57"/>
  <c r="G15" i="59"/>
  <c r="M15" i="59" s="1"/>
  <c r="J7" i="57"/>
  <c r="G7" i="59"/>
  <c r="J10" i="57"/>
  <c r="J10" i="59"/>
  <c r="M10" i="59" s="1"/>
  <c r="J11" i="57"/>
  <c r="J11" i="59"/>
  <c r="M11" i="59" s="1"/>
  <c r="J14" i="57"/>
  <c r="G14" i="59"/>
  <c r="M14" i="59" s="1"/>
  <c r="J8" i="57"/>
  <c r="J12" i="57"/>
  <c r="I17" i="57"/>
  <c r="J5" i="57"/>
  <c r="H17" i="57"/>
  <c r="J13" i="57"/>
  <c r="G11" i="56"/>
  <c r="G20" i="56" s="1"/>
  <c r="G21" i="56" s="1"/>
  <c r="J11" i="56"/>
  <c r="J20" i="56" s="1"/>
  <c r="J21" i="56" s="1"/>
  <c r="M9" i="56"/>
  <c r="M16" i="56"/>
  <c r="M7" i="56"/>
  <c r="M12" i="56"/>
  <c r="M15" i="56"/>
  <c r="M6" i="56"/>
  <c r="M10" i="56"/>
  <c r="R17" i="57"/>
  <c r="Q17" i="57"/>
  <c r="S17" i="57"/>
  <c r="C64" i="53"/>
  <c r="O12" i="52"/>
  <c r="N12" i="55"/>
  <c r="J5" i="56"/>
  <c r="D17" i="53"/>
  <c r="H24" i="53" s="1"/>
  <c r="H25" i="53" s="1"/>
  <c r="C56" i="53"/>
  <c r="C59" i="53" s="1"/>
  <c r="M13" i="56"/>
  <c r="G5" i="56"/>
  <c r="C17" i="53"/>
  <c r="E24" i="53" s="1"/>
  <c r="E25" i="53" s="1"/>
  <c r="O110" i="52" s="1"/>
  <c r="M8" i="56"/>
  <c r="N6" i="55"/>
  <c r="N5" i="55" s="1"/>
  <c r="O6" i="52"/>
  <c r="O5" i="52" s="1"/>
  <c r="M14" i="56"/>
  <c r="O4" i="52"/>
  <c r="F42" i="50"/>
  <c r="G42" i="50"/>
  <c r="O100" i="52"/>
  <c r="M9" i="59" l="1"/>
  <c r="M12" i="59"/>
  <c r="M8" i="59"/>
  <c r="M13" i="59"/>
  <c r="J17" i="59"/>
  <c r="M7" i="59"/>
  <c r="G17" i="59"/>
  <c r="J17" i="57"/>
  <c r="J17" i="56"/>
  <c r="D70" i="56" s="1"/>
  <c r="M11" i="56"/>
  <c r="M20" i="56" s="1"/>
  <c r="O139" i="52"/>
  <c r="I53" i="54"/>
  <c r="I57" i="54" s="1"/>
  <c r="N11" i="55"/>
  <c r="N9" i="55" s="1"/>
  <c r="N13" i="55" s="1"/>
  <c r="C67" i="53"/>
  <c r="N14" i="55" s="1"/>
  <c r="O11" i="52"/>
  <c r="O9" i="52" s="1"/>
  <c r="O13" i="52" s="1"/>
  <c r="G17" i="56"/>
  <c r="M5" i="56"/>
  <c r="I24" i="54"/>
  <c r="I28" i="54" s="1"/>
  <c r="O104" i="52"/>
  <c r="M17" i="59" l="1"/>
  <c r="M21" i="56"/>
  <c r="O20" i="56"/>
  <c r="O21" i="56" s="1"/>
  <c r="N11" i="54"/>
  <c r="O14" i="52"/>
  <c r="O15" i="52" s="1"/>
  <c r="N15" i="55"/>
  <c r="M17" i="56"/>
  <c r="N10" i="54"/>
  <c r="D69" i="56"/>
  <c r="P4" i="52"/>
  <c r="I1" i="55"/>
  <c r="H20" i="50"/>
  <c r="H40" i="50"/>
  <c r="H30" i="50"/>
  <c r="K8" i="50"/>
  <c r="G10" i="50"/>
  <c r="K10" i="50" s="1"/>
  <c r="G33" i="28"/>
  <c r="G34" i="28" s="1"/>
  <c r="D71" i="56" l="1"/>
  <c r="N8" i="54"/>
  <c r="N12" i="54" s="1"/>
  <c r="N14" i="54" s="1"/>
  <c r="O4" i="55"/>
  <c r="M30" i="50"/>
  <c r="H32" i="50"/>
  <c r="M32" i="50" s="1"/>
  <c r="M40" i="50"/>
  <c r="H42" i="50"/>
  <c r="M20" i="50"/>
  <c r="H22" i="50"/>
  <c r="M22" i="50" s="1"/>
  <c r="I42" i="50"/>
  <c r="L42" i="50" s="1"/>
  <c r="L40" i="50"/>
  <c r="O14" i="55" l="1"/>
  <c r="O15" i="55" s="1"/>
  <c r="M42" i="50"/>
  <c r="O135" i="52"/>
  <c r="O145" i="52"/>
  <c r="P14" i="52" l="1"/>
  <c r="P15" i="52" s="1"/>
  <c r="O14" i="54"/>
</calcChain>
</file>

<file path=xl/comments1.xml><?xml version="1.0" encoding="utf-8"?>
<comments xmlns="http://schemas.openxmlformats.org/spreadsheetml/2006/main">
  <authors>
    <author>vtxhong</author>
  </authors>
  <commentList>
    <comment ref="F3" authorId="0" shapeId="0">
      <text>
        <r>
          <rPr>
            <b/>
            <sz val="9"/>
            <color indexed="81"/>
            <rFont val="Tahoma"/>
            <family val="2"/>
            <charset val="163"/>
          </rPr>
          <t>vtxhong:</t>
        </r>
        <r>
          <rPr>
            <sz val="9"/>
            <color indexed="81"/>
            <rFont val="Tahoma"/>
            <family val="2"/>
            <charset val="163"/>
          </rPr>
          <t xml:space="preserve">
Đánh dấu "x" nếu doanh thu từ dự án, không từ Hợp đồng mới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</rPr>
          <t>vtxhong:</t>
        </r>
        <r>
          <rPr>
            <sz val="9"/>
            <color indexed="81"/>
            <rFont val="Tahoma"/>
            <family val="2"/>
          </rPr>
          <t xml:space="preserve">
Chưa thu tiền nhưng hạch toán ghi doanh thu
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vtxhong:</t>
        </r>
        <r>
          <rPr>
            <sz val="9"/>
            <color indexed="81"/>
            <rFont val="Tahoma"/>
            <family val="2"/>
          </rPr>
          <t xml:space="preserve">
Theo dõi công nợ năm sau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AE221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Giảm 8tr</t>
        </r>
      </text>
    </comment>
  </commentList>
</comments>
</file>

<file path=xl/sharedStrings.xml><?xml version="1.0" encoding="utf-8"?>
<sst xmlns="http://schemas.openxmlformats.org/spreadsheetml/2006/main" count="2521" uniqueCount="811">
  <si>
    <t>STT</t>
  </si>
  <si>
    <t>Doanh thu</t>
  </si>
  <si>
    <t>Thực tế</t>
  </si>
  <si>
    <t>ITO</t>
  </si>
  <si>
    <t>UNI</t>
  </si>
  <si>
    <t>KH đầu năm</t>
  </si>
  <si>
    <t>Năm</t>
  </si>
  <si>
    <t>Hợp đồng</t>
  </si>
  <si>
    <t>BIZ</t>
  </si>
  <si>
    <t>Nhóm UNI</t>
  </si>
  <si>
    <t>KH hiệu chỉnh</t>
  </si>
  <si>
    <t>Tháng 12</t>
  </si>
  <si>
    <t>Tháng 07</t>
  </si>
  <si>
    <t>Tháng 08</t>
  </si>
  <si>
    <t>Tháng 09</t>
  </si>
  <si>
    <t>Tháng 10</t>
  </si>
  <si>
    <t>Tháng 11</t>
  </si>
  <si>
    <t>Kế hoạch đầu năm</t>
  </si>
  <si>
    <t>TỔNG HỢP THEO THÁNG</t>
  </si>
  <si>
    <t>Tháng 01</t>
  </si>
  <si>
    <t>Tháng 02</t>
  </si>
  <si>
    <t>Tháng 03</t>
  </si>
  <si>
    <t>Tháng 04</t>
  </si>
  <si>
    <t>Tháng 05</t>
  </si>
  <si>
    <t>Tháng 06</t>
  </si>
  <si>
    <t>Có cộng dồn</t>
  </si>
  <si>
    <t>Nhóm ITO</t>
  </si>
  <si>
    <t>BPPM</t>
  </si>
  <si>
    <t>Tháng</t>
  </si>
  <si>
    <t>Kế hoạch hiệu chỉnh Doanh thu</t>
  </si>
  <si>
    <t>Kế hoạch hiệu chỉnh Hợp đồng</t>
  </si>
  <si>
    <t>HỢP ĐỒNG</t>
  </si>
  <si>
    <t>DOANH THU</t>
  </si>
  <si>
    <t>NHÓM UNI</t>
  </si>
  <si>
    <t xml:space="preserve">Tên sản phẩm, khách hàng </t>
  </si>
  <si>
    <t>Mã số</t>
  </si>
  <si>
    <t>Ghi doanh thu</t>
  </si>
  <si>
    <t>UNI01</t>
  </si>
  <si>
    <t>Bảo trì</t>
  </si>
  <si>
    <t>UNI02</t>
  </si>
  <si>
    <t>UNI03</t>
  </si>
  <si>
    <t>UNI04</t>
  </si>
  <si>
    <t>UNI05</t>
  </si>
  <si>
    <t>UNI06</t>
  </si>
  <si>
    <t>UNI07</t>
  </si>
  <si>
    <t>UNI08</t>
  </si>
  <si>
    <t>UNI09</t>
  </si>
  <si>
    <t>UNI10</t>
  </si>
  <si>
    <t>UNI11</t>
  </si>
  <si>
    <t>UNI12</t>
  </si>
  <si>
    <t>UNI13</t>
  </si>
  <si>
    <t>UNI14</t>
  </si>
  <si>
    <t>UNI15</t>
  </si>
  <si>
    <t>NHÓM BIZ</t>
  </si>
  <si>
    <t>BIZ01</t>
  </si>
  <si>
    <t>BIZ02</t>
  </si>
  <si>
    <t>BIZ03</t>
  </si>
  <si>
    <t>BIZ04</t>
  </si>
  <si>
    <t>BIZ05</t>
  </si>
  <si>
    <t>BIZ06</t>
  </si>
  <si>
    <t>BIZ07</t>
  </si>
  <si>
    <t>BIZ08</t>
  </si>
  <si>
    <t>BIZ09</t>
  </si>
  <si>
    <t>BIZ10</t>
  </si>
  <si>
    <t>BIZ11</t>
  </si>
  <si>
    <t>BIZ12</t>
  </si>
  <si>
    <t>BIZ13</t>
  </si>
  <si>
    <t>BIZ14</t>
  </si>
  <si>
    <t>BIZ15</t>
  </si>
  <si>
    <t>ITO01</t>
  </si>
  <si>
    <t>NHÓM ITO</t>
  </si>
  <si>
    <t>ĐẦU NĂM</t>
  </si>
  <si>
    <t>Chênh lệch</t>
  </si>
  <si>
    <t>UNI16</t>
  </si>
  <si>
    <t>UNI17</t>
  </si>
  <si>
    <t>UNI18</t>
  </si>
  <si>
    <t>UNI19</t>
  </si>
  <si>
    <t>UNI20</t>
  </si>
  <si>
    <t>UNI21</t>
  </si>
  <si>
    <t>UNI22</t>
  </si>
  <si>
    <t>UNI23</t>
  </si>
  <si>
    <t>UNI24</t>
  </si>
  <si>
    <t>UNI25</t>
  </si>
  <si>
    <t>UNI26</t>
  </si>
  <si>
    <t>UNI27</t>
  </si>
  <si>
    <t>UNI28</t>
  </si>
  <si>
    <t>UNI29</t>
  </si>
  <si>
    <t>UNI30</t>
  </si>
  <si>
    <t>BIZ16</t>
  </si>
  <si>
    <t>BIZ17</t>
  </si>
  <si>
    <t>BIZ18</t>
  </si>
  <si>
    <t>BIZ19</t>
  </si>
  <si>
    <t>BIZ20</t>
  </si>
  <si>
    <t>BIZ21</t>
  </si>
  <si>
    <t>BIZ22</t>
  </si>
  <si>
    <t>BIZ23</t>
  </si>
  <si>
    <t>BIZ24</t>
  </si>
  <si>
    <t>BIZ25</t>
  </si>
  <si>
    <t>BIZ26</t>
  </si>
  <si>
    <t>BIZ27</t>
  </si>
  <si>
    <t>BIZ28</t>
  </si>
  <si>
    <t>BIZ29</t>
  </si>
  <si>
    <t>BIZ30</t>
  </si>
  <si>
    <t>UNI31</t>
  </si>
  <si>
    <t>UNI32</t>
  </si>
  <si>
    <t>UNI33</t>
  </si>
  <si>
    <t>UNI34</t>
  </si>
  <si>
    <t>UNI35</t>
  </si>
  <si>
    <t>UNI36</t>
  </si>
  <si>
    <t>UNI37</t>
  </si>
  <si>
    <t>UNI38</t>
  </si>
  <si>
    <t>UNI39</t>
  </si>
  <si>
    <t>UNI40</t>
  </si>
  <si>
    <t>BIZ31</t>
  </si>
  <si>
    <t>BIZ32</t>
  </si>
  <si>
    <t>BIZ33</t>
  </si>
  <si>
    <t>BIZ34</t>
  </si>
  <si>
    <t>BIZ35</t>
  </si>
  <si>
    <t>BIZ36</t>
  </si>
  <si>
    <t>BIZ37</t>
  </si>
  <si>
    <t>BIZ38</t>
  </si>
  <si>
    <t>BIZ39</t>
  </si>
  <si>
    <t>BIZ40</t>
  </si>
  <si>
    <t>Sheet "Thang xx"</t>
  </si>
  <si>
    <t>Sheet "TH theo khach hang"</t>
  </si>
  <si>
    <t>Sheet "Ke hoach theo thang"</t>
  </si>
  <si>
    <t>HÀNG THÁNG</t>
  </si>
  <si>
    <t>QUẢN LÝ</t>
  </si>
  <si>
    <t>Sheet "Thuc te theo thang"</t>
  </si>
  <si>
    <t>Nhóm</t>
  </si>
  <si>
    <t>NĂM</t>
  </si>
  <si>
    <t>Đến hiện tại</t>
  </si>
  <si>
    <t>Kế hoạch hiệu chỉnh Doanh thu từ HĐ mới</t>
  </si>
  <si>
    <t>Thực tế Năm</t>
  </si>
  <si>
    <t>Công nợ</t>
  </si>
  <si>
    <t>Sheet "Tong hop (TH)"</t>
  </si>
  <si>
    <t>CUỐI NĂM</t>
  </si>
  <si>
    <t>HƯỚNG DẪN SỬ DỤNG</t>
  </si>
  <si>
    <t>MỤC TIÊU</t>
  </si>
  <si>
    <t>THAO TÁC SỬ DỤNG</t>
  </si>
  <si>
    <t xml:space="preserve">- Từ cột B-I là công thức: không nhập liệu, dùng để tham khảo và đối chiếu </t>
  </si>
  <si>
    <t>- Đối chiếu xong, có thể ẩn cột D-G</t>
  </si>
  <si>
    <t>- Lập kế hoạch chi tiết vào từng tháng của năm</t>
  </si>
  <si>
    <t>- Lập kế hoạch doanh thu, hợp đồng cả năm theo khách hàng</t>
  </si>
  <si>
    <t xml:space="preserve">- Tổng hợp số liệu thực tế doanh thu, hợp đồng chi tiết theo khách hàng trong 12 tháng </t>
  </si>
  <si>
    <t xml:space="preserve">- Theo dõi doanh thu, hợp đồng từng tháng </t>
  </si>
  <si>
    <t>- Tổng hợp số liệu doanh thu hợp đồng theo tháng, quý, năm</t>
  </si>
  <si>
    <t>- Doanh thu, hợp đồng theo tháng, theo nhóm</t>
  </si>
  <si>
    <t>- Doanh thu theo tháng, theo nhóm phân biệt thu từ hợp đồng mới hay từ dự án</t>
  </si>
  <si>
    <t>- Doanh thu, hợp đồng theo quý theo nhóm</t>
  </si>
  <si>
    <t>- So sánh doanh thu, hợp đồng so với năm trước</t>
  </si>
  <si>
    <t>- Tất cả các cột (trừ cột A) là công thức: không nhập liệu</t>
  </si>
  <si>
    <t>- Tất cả các cột là công thức: không nhập liệu</t>
  </si>
  <si>
    <t>- Cập nhật các thông tin ghi doanh thu từ Kế toán, các thông tin công nợ cần thu năm sau từ Thu hồi công nợ và thông tin khác</t>
  </si>
  <si>
    <t>Doanh thu còn lại</t>
  </si>
  <si>
    <t>- Cột G, H, J là công thức: không nhập liệu</t>
  </si>
  <si>
    <t>- Báo cáo doanh thu, hợp đồng thực tế trong năm và doanh thu còn lại chuyển sang năm sau theo khách hàng.</t>
  </si>
  <si>
    <t>- Nhập từ cột I, K, L sheet</t>
  </si>
  <si>
    <t>- Nhập từ cột A-F sheet</t>
  </si>
  <si>
    <t>- Cột C, D, E, H là công thức: không nhập liệu</t>
  </si>
  <si>
    <t>- Cột F, I: mặc định theo kế hoạch đầu năm. Có thể nhập số liệu hiệu chỉnh theo tình hình hiện tại</t>
  </si>
  <si>
    <t>- Xác định cột J: Nếu doanh thu từ hợp đồng mới ký thì đánh dấu "x"</t>
  </si>
  <si>
    <t>- Cập nhật số liệu thực tế ở cột G, J và hiện trạng ở cột L</t>
  </si>
  <si>
    <t>LƯU Ý KHI SỬ DỤNG</t>
  </si>
  <si>
    <t>Nếu phát sinh hơn 40 khách hàng (nhóm UNI, BIZ, GOV) hoặc hơn 1 khách hàng (nhóm ITO):</t>
  </si>
  <si>
    <t>Thêm cột cho các sheet</t>
  </si>
  <si>
    <t>Sheet "Du lieu"</t>
  </si>
  <si>
    <t>Thông số sử dụng</t>
  </si>
  <si>
    <t>- Định đúng thông số</t>
  </si>
  <si>
    <t>- Kiểm tra thời gian thiết đặt trên máy có đúng với thực tế</t>
  </si>
  <si>
    <t>- Nhập từ cột J- AG. Nếu D&amp;F khác 0, có nghĩa là chưa phân bổ đầy đủ vào tháng</t>
  </si>
  <si>
    <t>Nếu phát sinh thêm khách hàng so với kế hoạch đầu năm (trong vòng 40 khách hàng của nhóm UNI, BIZ, GOV)</t>
  </si>
  <si>
    <t>- Cần tập trung vào khách hàng đang thực hiện</t>
  </si>
  <si>
    <t>- Sử dụng bộ lọc</t>
  </si>
  <si>
    <t>- Giá trị có hiệu chỉnh theo thời điểm hiện tại khác so với kế hoạch đầu năm</t>
  </si>
  <si>
    <t>- Nhập vào các cột "KH hiệu chỉnh"</t>
  </si>
  <si>
    <t>- Nếu giá trị tháng trước chưa thực hiện được cần chuyển sang tháng sau</t>
  </si>
  <si>
    <t xml:space="preserve">- "KH hiệu chỉnh" của tháng trước không cần xoá số liệu. Chuyển giá trị sang "KH hiệu chỉnh" của tháng sau, có thể hiệu chỉnh giá trị theo tính hình mới </t>
  </si>
  <si>
    <t>- Cập nhật dữ liệu từ sheet "TH theo khach hang" từ đó cập nhật mã số ở tất cả sheet có liên quan đến chi tiết khách hàng</t>
  </si>
  <si>
    <t>- Nếu có nhu cầu thêm cột để ghi nhận thêm thông tin</t>
  </si>
  <si>
    <t>- Thêm phía sau các cột đã định nghĩa</t>
  </si>
  <si>
    <t>- Thông tin công nợ (cột F): theo dõi chi tiết công nợ khách hàng cần thu trong năm sau</t>
  </si>
  <si>
    <t>- Có thể copy thông tin nào để Quản lý công nợ ở năm sau (nếu cần)</t>
  </si>
  <si>
    <t>- Lưu dữ liệu trung gian để tính toán</t>
  </si>
  <si>
    <t>- Nhập thông tin khách hàng duy nhất 1 lần ở sheet "TH theo khach hang"</t>
  </si>
  <si>
    <t>Sheet "KH hieu chinh theo thang"</t>
  </si>
  <si>
    <t xml:space="preserve">- Tổng hợp số liệu của KH hiệu chỉnh doanh thu, hợp đồng chi tiết theo khách hàng trong 12 tháng </t>
  </si>
  <si>
    <t>- Nếu cột H không bằng cột I =&gt; có khả năng chưa lên KH hiệu chỉnh Doanh thu đầy đủ</t>
  </si>
  <si>
    <r>
      <t xml:space="preserve">- </t>
    </r>
    <r>
      <rPr>
        <b/>
        <i/>
        <u/>
        <sz val="12"/>
        <color indexed="8"/>
        <rFont val="Times New Roman"/>
        <family val="1"/>
      </rPr>
      <t>Bước 1</t>
    </r>
    <r>
      <rPr>
        <sz val="12"/>
        <color indexed="8"/>
        <rFont val="Times New Roman"/>
        <family val="1"/>
      </rPr>
      <t xml:space="preserve"> - Sheet "TH theo khach hang":
   </t>
    </r>
    <r>
      <rPr>
        <sz val="12"/>
        <color indexed="8"/>
        <rFont val="Times New Roman"/>
        <family val="1"/>
      </rPr>
      <t xml:space="preserve">   + Nhập cột A, B, C
- </t>
    </r>
    <r>
      <rPr>
        <b/>
        <i/>
        <u/>
        <sz val="12"/>
        <color indexed="8"/>
        <rFont val="Times New Roman"/>
        <family val="1"/>
      </rPr>
      <t>Bước 2</t>
    </r>
    <r>
      <rPr>
        <sz val="12"/>
        <color indexed="8"/>
        <rFont val="Times New Roman"/>
        <family val="1"/>
      </rPr>
      <t xml:space="preserve"> - Các sheet "Thang xx" (từ tháng có phát sinh đến tháng 12):
      + Nhập theo đúng nguyên tắc của sheet này</t>
    </r>
  </si>
  <si>
    <r>
      <t xml:space="preserve">- </t>
    </r>
    <r>
      <rPr>
        <b/>
        <i/>
        <u/>
        <sz val="12"/>
        <color indexed="8"/>
        <rFont val="Times New Roman"/>
        <family val="1"/>
      </rPr>
      <t>Bước 1</t>
    </r>
    <r>
      <rPr>
        <sz val="12"/>
        <color indexed="8"/>
        <rFont val="Times New Roman"/>
        <family val="1"/>
      </rPr>
      <t xml:space="preserve"> - Sheet "TH theo khach hang":
   +</t>
    </r>
    <r>
      <rPr>
        <b/>
        <i/>
        <sz val="12"/>
        <color indexed="8"/>
        <rFont val="Times New Roman"/>
        <family val="1"/>
      </rPr>
      <t xml:space="preserve"> </t>
    </r>
    <r>
      <rPr>
        <b/>
        <i/>
        <sz val="12"/>
        <color indexed="30"/>
        <rFont val="Times New Roman"/>
        <family val="1"/>
      </rPr>
      <t>Thêm dòng dữ liệu trước các dòng có tô màu</t>
    </r>
    <r>
      <rPr>
        <sz val="12"/>
        <color indexed="8"/>
        <rFont val="Times New Roman"/>
        <family val="1"/>
      </rPr>
      <t xml:space="preserve">
   + Tạo mã số mới theo thứ tự trong nhóm dự án
   + Copy công thức cho các dòng mới
   + Tuân thủ theo các nhập liệu của sheet này.   
   + </t>
    </r>
    <r>
      <rPr>
        <b/>
        <i/>
        <sz val="12"/>
        <color indexed="30"/>
        <rFont val="Times New Roman"/>
        <family val="1"/>
      </rPr>
      <t>Nếu khách hàng phát sinh so với kế hoạch đầu năm: không nhập cột D, E, F</t>
    </r>
  </si>
  <si>
    <t>- Sheet "Du lieu" (mặc định ẩn): đặt đúng năm tại ô B1</t>
  </si>
  <si>
    <t>BIZ41</t>
  </si>
  <si>
    <t>BIZ42</t>
  </si>
  <si>
    <t>BIZ43</t>
  </si>
  <si>
    <t>BIZ44</t>
  </si>
  <si>
    <t>BIZ45</t>
  </si>
  <si>
    <t>UNI41</t>
  </si>
  <si>
    <t>UNI42</t>
  </si>
  <si>
    <t>UNI43</t>
  </si>
  <si>
    <t>UNI44</t>
  </si>
  <si>
    <t>UNI45</t>
  </si>
  <si>
    <t>UNI46</t>
  </si>
  <si>
    <t>UNI47</t>
  </si>
  <si>
    <t>UNI48</t>
  </si>
  <si>
    <t>UNI49</t>
  </si>
  <si>
    <t>UNI50</t>
  </si>
  <si>
    <t>UNI51</t>
  </si>
  <si>
    <t>UNI52</t>
  </si>
  <si>
    <t>UNI53</t>
  </si>
  <si>
    <t>UNI54</t>
  </si>
  <si>
    <t>UNI55</t>
  </si>
  <si>
    <t>UNI56</t>
  </si>
  <si>
    <t>UNI57</t>
  </si>
  <si>
    <t>UNI58</t>
  </si>
  <si>
    <t>UNI59</t>
  </si>
  <si>
    <t>UNI60</t>
  </si>
  <si>
    <t>UNI61</t>
  </si>
  <si>
    <t>UNI62</t>
  </si>
  <si>
    <t>UNI63</t>
  </si>
  <si>
    <t>UNI64</t>
  </si>
  <si>
    <t>UNI65</t>
  </si>
  <si>
    <t>UNI66</t>
  </si>
  <si>
    <t>UNI67</t>
  </si>
  <si>
    <t>UNI68</t>
  </si>
  <si>
    <t>UNI69</t>
  </si>
  <si>
    <t>UNI70</t>
  </si>
  <si>
    <t>UNI71</t>
  </si>
  <si>
    <t>UNI72</t>
  </si>
  <si>
    <t>UNI73</t>
  </si>
  <si>
    <t>UNI74</t>
  </si>
  <si>
    <t>UNI75</t>
  </si>
  <si>
    <t>UNI76</t>
  </si>
  <si>
    <t>UNI77</t>
  </si>
  <si>
    <t>UNI78</t>
  </si>
  <si>
    <t>UNI79</t>
  </si>
  <si>
    <t>UNI80</t>
  </si>
  <si>
    <t>UNI81</t>
  </si>
  <si>
    <t>UNI82</t>
  </si>
  <si>
    <t>UNI83</t>
  </si>
  <si>
    <t>UNI84</t>
  </si>
  <si>
    <t>UNI85</t>
  </si>
  <si>
    <t>UNI86</t>
  </si>
  <si>
    <t>UNI87</t>
  </si>
  <si>
    <t>UNI88</t>
  </si>
  <si>
    <t>UNI89</t>
  </si>
  <si>
    <t>UNI90</t>
  </si>
  <si>
    <t>UNI91</t>
  </si>
  <si>
    <t>UNI92</t>
  </si>
  <si>
    <t>UNI93</t>
  </si>
  <si>
    <t>UNI94</t>
  </si>
  <si>
    <t>UNI95</t>
  </si>
  <si>
    <t>UNI96</t>
  </si>
  <si>
    <t>UNI97</t>
  </si>
  <si>
    <t>UNI98</t>
  </si>
  <si>
    <t>UNI99</t>
  </si>
  <si>
    <t>UNI100</t>
  </si>
  <si>
    <t>BIZ46</t>
  </si>
  <si>
    <t>BIZ47</t>
  </si>
  <si>
    <t>BIZ48</t>
  </si>
  <si>
    <t>BIZ49</t>
  </si>
  <si>
    <t>BIZ50</t>
  </si>
  <si>
    <t>BIZ51</t>
  </si>
  <si>
    <t>BIZ52</t>
  </si>
  <si>
    <t>BIZ53</t>
  </si>
  <si>
    <t>BIZ54</t>
  </si>
  <si>
    <t>BIZ55</t>
  </si>
  <si>
    <t>BIZ56</t>
  </si>
  <si>
    <t>BIZ57</t>
  </si>
  <si>
    <t>BIZ58</t>
  </si>
  <si>
    <t>BIZ59</t>
  </si>
  <si>
    <t>BIZ60</t>
  </si>
  <si>
    <t>BIZ61</t>
  </si>
  <si>
    <t>BIZ62</t>
  </si>
  <si>
    <t>BIZ63</t>
  </si>
  <si>
    <t>BIZ64</t>
  </si>
  <si>
    <t>BIZ65</t>
  </si>
  <si>
    <t>BIZ66</t>
  </si>
  <si>
    <t>BIZ67</t>
  </si>
  <si>
    <t>BIZ68</t>
  </si>
  <si>
    <t>BIZ69</t>
  </si>
  <si>
    <t>BIZ70</t>
  </si>
  <si>
    <t>BIZ71</t>
  </si>
  <si>
    <t>BIZ72</t>
  </si>
  <si>
    <t>BIZ73</t>
  </si>
  <si>
    <t>BIZ74</t>
  </si>
  <si>
    <t>BIZ75</t>
  </si>
  <si>
    <t>BIZ76</t>
  </si>
  <si>
    <t>BIZ77</t>
  </si>
  <si>
    <t>BIZ78</t>
  </si>
  <si>
    <t>BIZ79</t>
  </si>
  <si>
    <t>BIZ80</t>
  </si>
  <si>
    <t>BIZ81</t>
  </si>
  <si>
    <t>BIZ82</t>
  </si>
  <si>
    <t>BIZ83</t>
  </si>
  <si>
    <t>BIZ84</t>
  </si>
  <si>
    <t>BIZ85</t>
  </si>
  <si>
    <t>BIZ86</t>
  </si>
  <si>
    <t>BIZ87</t>
  </si>
  <si>
    <t>BIZ88</t>
  </si>
  <si>
    <t>BIZ89</t>
  </si>
  <si>
    <t>BIZ90</t>
  </si>
  <si>
    <t>BIZ91</t>
  </si>
  <si>
    <t>BIZ92</t>
  </si>
  <si>
    <t>BIZ93</t>
  </si>
  <si>
    <t>BIZ94</t>
  </si>
  <si>
    <t>BIZ95</t>
  </si>
  <si>
    <t>BIZ96</t>
  </si>
  <si>
    <t>BIZ97</t>
  </si>
  <si>
    <t>BIZ98</t>
  </si>
  <si>
    <t>BIZ99</t>
  </si>
  <si>
    <t>BIZ100</t>
  </si>
  <si>
    <r>
      <t xml:space="preserve">- </t>
    </r>
    <r>
      <rPr>
        <b/>
        <i/>
        <u/>
        <sz val="12"/>
        <color indexed="8"/>
        <rFont val="Times New Roman"/>
        <family val="1"/>
      </rPr>
      <t>Bước 2</t>
    </r>
    <r>
      <rPr>
        <sz val="12"/>
        <color indexed="8"/>
        <rFont val="Times New Roman"/>
        <family val="1"/>
      </rPr>
      <t xml:space="preserve"> - Các sheet "Ke hoach theo thang", "Thuc te theo thang", "KH hieu chinh theo thang", các sheet "Thang xx" (từ tháng có phát sinh đến tháng 12):
   + Copy từ các dòng trước đó  
   + Insert copied cells vào trước các dòng có tô màu
   + Kéo tạo mã phù hợp với sheet "TH theo khach hang"
   + Cập nhật thông tin phù hợp</t>
    </r>
  </si>
  <si>
    <t>Là DT từ dự án</t>
  </si>
  <si>
    <t>Tổng cộng</t>
  </si>
  <si>
    <t>- Đầu năm cung cấp thông số "Năm".
- Không nhập dữ liệu vào đây. Thường ở trạng thái Hide</t>
  </si>
  <si>
    <t>Hợp đồng Outsource</t>
  </si>
  <si>
    <t>QUÝ I</t>
  </si>
  <si>
    <t>Kế hoạch năm</t>
  </si>
  <si>
    <t>Kế hoạch hiệu chỉnh theo quý</t>
  </si>
  <si>
    <t>KẾT QUẢ HỢP ĐỒNG</t>
  </si>
  <si>
    <t>QUÝ II</t>
  </si>
  <si>
    <t>Tỷ lệ theo quý</t>
  </si>
  <si>
    <t>Tỷ lệ theo năm</t>
  </si>
  <si>
    <t>Tỷ lệ lũy kế theo năm</t>
  </si>
  <si>
    <t>Lũy kế đạt được theo quý</t>
  </si>
  <si>
    <t>QUÝ III</t>
  </si>
  <si>
    <t>KẾT QUẢ DOANH THU</t>
  </si>
  <si>
    <t>QUÝ IV</t>
  </si>
  <si>
    <t>NHÓM G2B</t>
  </si>
  <si>
    <t>G2B</t>
  </si>
  <si>
    <t>Nhóm G2B</t>
  </si>
  <si>
    <t>G2B01</t>
  </si>
  <si>
    <t>G2B02</t>
  </si>
  <si>
    <t>G2B03</t>
  </si>
  <si>
    <t>G2B04</t>
  </si>
  <si>
    <t>G2B05</t>
  </si>
  <si>
    <t>G2B06</t>
  </si>
  <si>
    <t>G2B07</t>
  </si>
  <si>
    <t>G2B08</t>
  </si>
  <si>
    <t>G2B09</t>
  </si>
  <si>
    <t>G2B10</t>
  </si>
  <si>
    <t>G2B11</t>
  </si>
  <si>
    <t>G2B12</t>
  </si>
  <si>
    <t>G2B13</t>
  </si>
  <si>
    <t>G2B14</t>
  </si>
  <si>
    <t>G2B15</t>
  </si>
  <si>
    <t>G2B16</t>
  </si>
  <si>
    <t>G2B17</t>
  </si>
  <si>
    <t>G2B18</t>
  </si>
  <si>
    <t>G2B19</t>
  </si>
  <si>
    <t>G2B20</t>
  </si>
  <si>
    <t>G2B21</t>
  </si>
  <si>
    <t>G2B22</t>
  </si>
  <si>
    <t>G2B23</t>
  </si>
  <si>
    <t>G2B24</t>
  </si>
  <si>
    <t>G2B25</t>
  </si>
  <si>
    <t>G2B26</t>
  </si>
  <si>
    <t>G2B27</t>
  </si>
  <si>
    <t>G2B28</t>
  </si>
  <si>
    <t>G2B29</t>
  </si>
  <si>
    <t>G2B30</t>
  </si>
  <si>
    <t>G2B31</t>
  </si>
  <si>
    <t>G2B32</t>
  </si>
  <si>
    <t>G2B33</t>
  </si>
  <si>
    <t>G2B34</t>
  </si>
  <si>
    <t>G2B35</t>
  </si>
  <si>
    <t>G2B36</t>
  </si>
  <si>
    <t>G2B37</t>
  </si>
  <si>
    <t>G2B38</t>
  </si>
  <si>
    <t>G2B39</t>
  </si>
  <si>
    <t>G2B40</t>
  </si>
  <si>
    <t>G2B41</t>
  </si>
  <si>
    <t>G2B42</t>
  </si>
  <si>
    <t>G2B43</t>
  </si>
  <si>
    <t>G2B44</t>
  </si>
  <si>
    <t>G2B45</t>
  </si>
  <si>
    <t>G2B46</t>
  </si>
  <si>
    <t>G2B47</t>
  </si>
  <si>
    <t>G2B48</t>
  </si>
  <si>
    <t>G2B49</t>
  </si>
  <si>
    <t>G2B50</t>
  </si>
  <si>
    <t>G2B51</t>
  </si>
  <si>
    <t>G2B52</t>
  </si>
  <si>
    <t>G2B53</t>
  </si>
  <si>
    <t>G2B54</t>
  </si>
  <si>
    <t>G2B55</t>
  </si>
  <si>
    <t>G2B56</t>
  </si>
  <si>
    <t>G2B57</t>
  </si>
  <si>
    <t>G2B58</t>
  </si>
  <si>
    <t>G2B59</t>
  </si>
  <si>
    <t>G2B60</t>
  </si>
  <si>
    <t>G2B61</t>
  </si>
  <si>
    <t>G2B62</t>
  </si>
  <si>
    <t>G2B63</t>
  </si>
  <si>
    <t>G2B64</t>
  </si>
  <si>
    <t>G2B65</t>
  </si>
  <si>
    <t>G2B66</t>
  </si>
  <si>
    <t>G2B67</t>
  </si>
  <si>
    <t>G2B68</t>
  </si>
  <si>
    <t>G2B69</t>
  </si>
  <si>
    <t>G2B70</t>
  </si>
  <si>
    <t>G2B71</t>
  </si>
  <si>
    <t>G2B72</t>
  </si>
  <si>
    <t>G2B73</t>
  </si>
  <si>
    <t>G2B74</t>
  </si>
  <si>
    <t>G2B75</t>
  </si>
  <si>
    <t>G2B76</t>
  </si>
  <si>
    <t>G2B77</t>
  </si>
  <si>
    <t>G2B78</t>
  </si>
  <si>
    <t>G2B79</t>
  </si>
  <si>
    <t>G2B80</t>
  </si>
  <si>
    <t>G2B81</t>
  </si>
  <si>
    <t>G2B82</t>
  </si>
  <si>
    <t>G2B83</t>
  </si>
  <si>
    <t>G2B84</t>
  </si>
  <si>
    <t>G2B85</t>
  </si>
  <si>
    <t>G2B86</t>
  </si>
  <si>
    <t>G2B87</t>
  </si>
  <si>
    <t>G2B88</t>
  </si>
  <si>
    <t>G2B89</t>
  </si>
  <si>
    <t>G2B90</t>
  </si>
  <si>
    <t>G2B91</t>
  </si>
  <si>
    <t>G2B92</t>
  </si>
  <si>
    <t>G2B93</t>
  </si>
  <si>
    <t>G2B94</t>
  </si>
  <si>
    <t>G2B95</t>
  </si>
  <si>
    <t>G2B96</t>
  </si>
  <si>
    <t>G2B97</t>
  </si>
  <si>
    <t>G2B98</t>
  </si>
  <si>
    <t>G2B99</t>
  </si>
  <si>
    <t>G2B100</t>
  </si>
  <si>
    <t>X</t>
  </si>
  <si>
    <t>Mức 2: Đạt 50-79%</t>
  </si>
  <si>
    <t>Mức 1: Đạt 80-100%</t>
  </si>
  <si>
    <t>Mức 3: Dưới 50%</t>
  </si>
  <si>
    <t>TT</t>
  </si>
  <si>
    <t>I. TỔNG HỢP SỐ LIỆU KINH DOANH - BPPM</t>
  </si>
  <si>
    <t>đồng</t>
  </si>
  <si>
    <t>Dự kiến tổng giá trị hợp đồng:</t>
  </si>
  <si>
    <t>Kế hoạch còn lại</t>
  </si>
  <si>
    <t>Hạng mục</t>
  </si>
  <si>
    <t>Dự kiến đạt được</t>
  </si>
  <si>
    <t>KẾ HOẠCH NĂM</t>
  </si>
  <si>
    <t>DỰ KIẾN ĐẠT ĐƯỢC</t>
  </si>
  <si>
    <t>HỢP ĐỒNG SO VỚI KẾ HOẠCH NĂM 2023</t>
  </si>
  <si>
    <t>Dự kiến tổng giá trị doanh thu:</t>
  </si>
  <si>
    <t>DOANH THU SO VỚI KẾ HOẠCH NĂM 2023</t>
  </si>
  <si>
    <t>I.1. Kết quả đạt được</t>
  </si>
  <si>
    <t>II. NHÓM ITO</t>
  </si>
  <si>
    <t>III.NHÓM UNI</t>
  </si>
  <si>
    <t>III.1. Kết quả đạt được</t>
  </si>
  <si>
    <t>III.2. Kế hoạch tiếp theo</t>
  </si>
  <si>
    <t>IV.NHÓM G2B</t>
  </si>
  <si>
    <t>IV.1. Kết quả đạt được</t>
  </si>
  <si>
    <t>IV.2. Kế hoạch tiếp theo</t>
  </si>
  <si>
    <t>II.2. Kết quả đạt được</t>
  </si>
  <si>
    <t xml:space="preserve">Kế hoạch </t>
  </si>
  <si>
    <t>Nhón G2B</t>
  </si>
  <si>
    <t xml:space="preserve">Tỉ lệ </t>
  </si>
  <si>
    <t xml:space="preserve">Hạng mục </t>
  </si>
  <si>
    <t>Chuyển doanh thu từ ITO</t>
  </si>
  <si>
    <t>KH dự kiến</t>
  </si>
  <si>
    <t>Tổng năm (1+2)</t>
  </si>
  <si>
    <t>Nhàn chỉnh</t>
  </si>
  <si>
    <t xml:space="preserve"> SO VỚI KẾ HOẠCH NĂM 2024</t>
  </si>
  <si>
    <t>SO VỚI KẾ HOẠCH NĂM 2024</t>
  </si>
  <si>
    <t>KH năm</t>
  </si>
  <si>
    <t>KH còn lại</t>
  </si>
  <si>
    <t>Thực tế (đạt)</t>
  </si>
  <si>
    <t>DỰ KIẾN ĐẠT HỢP ĐỒNG NĂM 2024</t>
  </si>
  <si>
    <t>KẾ HOẠCH HỢP ĐỒNG NĂM 2024</t>
  </si>
  <si>
    <t>KẾ HOẠCH DOANH THU NĂM 2024</t>
  </si>
  <si>
    <t>DỰ KIẾN ĐẠT DOANH THU NĂM 2024</t>
  </si>
  <si>
    <t>Nguồn thu (HĐ đã ký)</t>
  </si>
  <si>
    <t>KH Hợp đồng:</t>
  </si>
  <si>
    <t>KH Doanh thu:</t>
  </si>
  <si>
    <t>II.NHÓM UNI</t>
  </si>
  <si>
    <t>III.NHÓM G2B</t>
  </si>
  <si>
    <t>IV. NHÓM ITO</t>
  </si>
  <si>
    <t>GIÁ TRỊ ĐẠT ĐƯỢC SO VỚI KẾ HOẠCH</t>
  </si>
  <si>
    <t>II.1. Báo cáo kết quả thực hiện Quý I (1,2,3)</t>
  </si>
  <si>
    <t>II.QUÝ I: Báo cáo kết quả thực hiện Quý I và dự kiến kế hoạch thực hiện quý II</t>
  </si>
  <si>
    <t>Quý I</t>
  </si>
  <si>
    <t>KH DOANH THU</t>
  </si>
  <si>
    <t>KH HỢP ĐỒNG:</t>
  </si>
  <si>
    <t>KH DOANH THU:</t>
  </si>
  <si>
    <t>Dự kiến (còn lại)</t>
  </si>
  <si>
    <t>Nguồn HĐ dự kiến</t>
  </si>
  <si>
    <t>Nguồn DT dự kiến</t>
  </si>
  <si>
    <t>DT CÒN LẠI (ĐÃ KÝ HĐ)</t>
  </si>
  <si>
    <t>KH DT ĐIỀU CHỈNH</t>
  </si>
  <si>
    <t>Thời gian HĐ</t>
  </si>
  <si>
    <t>Thời gian DT</t>
  </si>
  <si>
    <t>G2B+UNI</t>
  </si>
  <si>
    <t>GIÁ TRỊ ĐẠT ĐƯỢC SO VỚI KẾ HOẠCH NĂM</t>
  </si>
  <si>
    <t>TỈ LỆ</t>
  </si>
  <si>
    <t>HẠNG MỤC</t>
  </si>
  <si>
    <t>TỔNG CỘNG</t>
  </si>
  <si>
    <t>ĐIỀU CHỈNH</t>
  </si>
  <si>
    <t>Dữ liệu vẽ biểu đồ</t>
  </si>
  <si>
    <t>KH HĐ ĐIỀU CHỈNH</t>
  </si>
  <si>
    <t>Đạt</t>
  </si>
  <si>
    <t xml:space="preserve">Điều chỉnh </t>
  </si>
  <si>
    <t>Tổng</t>
  </si>
  <si>
    <t>Tỉ lệ</t>
  </si>
  <si>
    <t xml:space="preserve">Mức </t>
  </si>
  <si>
    <t>Mức 1: Đạt 80-100% (HĐ đã ký)</t>
  </si>
  <si>
    <t>Đánh giá mức đột đạt được</t>
  </si>
  <si>
    <t>Tỷ lệ thực tế</t>
  </si>
  <si>
    <t xml:space="preserve">KH hiệu chỉnh (còn lại) </t>
  </si>
  <si>
    <t>Tỷ lệ KH</t>
  </si>
  <si>
    <t>DIỄN GIẢI CHI TIẾT KẾ HOẠCH HIỆU CHỈNH THEO MỨC ĐỘ</t>
  </si>
  <si>
    <t>Giá trị</t>
  </si>
  <si>
    <t>Tỷ lệ</t>
  </si>
  <si>
    <t>Thực tế + Mức 1</t>
  </si>
  <si>
    <t>Thực tế + Mức 1+2</t>
  </si>
  <si>
    <t>Thực tế + Mức 1+2+3</t>
  </si>
  <si>
    <t>DỰ KIẾN KẾT QUẢ ĐẠT ĐƯỢC SO VỚI KẾ HOẠCH NĂM</t>
  </si>
  <si>
    <t>CÙNG KỲ 2023</t>
  </si>
  <si>
    <t>2025</t>
  </si>
  <si>
    <t>-</t>
  </si>
  <si>
    <t>ĐHSP ĐN:Báo giá Nâng cấp Nghị định 116</t>
  </si>
  <si>
    <t>ĐHYD Thái Nguyên: Phần mềm UIIS</t>
  </si>
  <si>
    <t>ĐH Luật Huế: Chuẩn đầu ra</t>
  </si>
  <si>
    <t>Khác</t>
  </si>
  <si>
    <t>Mới</t>
  </si>
  <si>
    <t>CĐ Cộng đồng Sóc Trăng: Bổ sung QL Xét TKB và 2 App</t>
  </si>
  <si>
    <t>ĐHSP Huế: Báo giá phần mềm CUSC-UIIS</t>
  </si>
  <si>
    <t>UED: báo giá quản lý hỏi đáp sinh viên</t>
  </si>
  <si>
    <t>Trường Cao đẳng Cộng đồng Sóc Trăng</t>
  </si>
  <si>
    <t>Trung tâm đào tạo và sát hạch lái xe Trường Cao đẳng Kiên Giang</t>
  </si>
  <si>
    <t>Trường Đại học Sư phạm Đà Nẵng</t>
  </si>
  <si>
    <t>Trường Cao đẳng nghề Sóc Trăng</t>
  </si>
  <si>
    <t>Trường Cao đẳng Y tế An Giang</t>
  </si>
  <si>
    <t>Đại học Sư phạm, Đại học Huế</t>
  </si>
  <si>
    <t>Trường Đại học Y Dược, Đại học Thái Nguyên</t>
  </si>
  <si>
    <t>Trường Cao đẳng Thống kê II</t>
  </si>
  <si>
    <t>Trường Đại học Phú Yên</t>
  </si>
  <si>
    <t>Trường Đại học Luật - Đại học Huế</t>
  </si>
  <si>
    <t>Trường Đại học Nam Cần Thơ</t>
  </si>
  <si>
    <t>Thực tế + Đến hết Quý III</t>
  </si>
  <si>
    <t>Thực tế + Đến hết Quý VI</t>
  </si>
  <si>
    <t>PP1: Tính theo mức độ</t>
  </si>
  <si>
    <t>PP2: Tính theo thời gian</t>
  </si>
  <si>
    <t>Thông tin mới nhất</t>
  </si>
  <si>
    <t>ĐH Luật Huế: Báo giá nâng cấp 2025</t>
  </si>
  <si>
    <t>TT Sát hạch KG: Kết nối thu phí ngân hàng VCB</t>
  </si>
  <si>
    <t>DNC: Báo giá phần mềm OJS phiên bản tiếng Việt</t>
  </si>
  <si>
    <t>CĐ Nghề Sóc Trăng: Phần mềm Đánh giá NSLD và Đảng viên</t>
  </si>
  <si>
    <t>CĐ XD CT ĐT Hà Nội: Phần mềm UIIS</t>
  </si>
  <si>
    <t>Sở KHCN Đồng Tháp: Đào tạo QLSK</t>
  </si>
  <si>
    <t>Trường Cao đẳng Xây dựng Công trình Đô thị Hà Nội</t>
  </si>
  <si>
    <t>Sở Khoa học và Công nghệ tỉnh Đồng Tháp</t>
  </si>
  <si>
    <t>Đơn vị</t>
  </si>
  <si>
    <t>Dự án/Cơ hội</t>
  </si>
  <si>
    <t>Kế hoạch</t>
  </si>
  <si>
    <t>Liên hệ theo dõi, chưa phản hồi</t>
  </si>
  <si>
    <t>Bệnh viện Đa khoa Khu vực Ba Tri</t>
  </si>
  <si>
    <t>Kinh doanh</t>
  </si>
  <si>
    <t>Hải Phong JSC - Trường Cao Đẳng Kỹ Thuật - Công nghệ Bách Khoa - CTECH</t>
  </si>
  <si>
    <t>Huyện ủy Cù Lao Dung</t>
  </si>
  <si>
    <t>Trường Cao đẳng Gia Lai</t>
  </si>
  <si>
    <t>Trường Cao đẳng Đắk Lắk</t>
  </si>
  <si>
    <t>Trường Cao Đẳng Đắk Nông</t>
  </si>
  <si>
    <t>Ngân hàng Thương mại Cổ phần Kiên Long (KienLongbank)</t>
  </si>
  <si>
    <t>Phường Bạc Liêu - Cà Mau</t>
  </si>
  <si>
    <t>Sở Khoa học và Công nghệ tỉnh Cà Mau</t>
  </si>
  <si>
    <t>Sở Khoa học và Công nghệ tỉnh Sóc Trăng</t>
  </si>
  <si>
    <t>Sở Khoa học và Công nghệ tỉnh Vĩnh Long</t>
  </si>
  <si>
    <t>Sở Khoa học và Công nghệ tỉnh Ninh Bình</t>
  </si>
  <si>
    <t>Trung tâm Y tế Huyện Châu Thành - Bến Tre</t>
  </si>
  <si>
    <t>Ngân hàng phát triển Việt Nam - Chi nhánh Cần Thơ</t>
  </si>
  <si>
    <t>VKU - Đại học Công nghệ thông tin và Truyền thông Việt - Hàn</t>
  </si>
  <si>
    <t>ĐH Bắc Sài Gòn</t>
  </si>
  <si>
    <t>Trường Đại học Kinh tế - Đại học Huế</t>
  </si>
  <si>
    <t>Trường Đại học Ngoại ngữ - Đại học Huế</t>
  </si>
  <si>
    <t>Trường Đại học Nông Lâm TP. Hồ Chí Minh</t>
  </si>
  <si>
    <t>Trường Đại học Phú Xuân</t>
  </si>
  <si>
    <t>Trường Đại học Tiền Giang</t>
  </si>
  <si>
    <t>Trường Đại học Y Dược - Đại học Huế</t>
  </si>
  <si>
    <t>Trường Đại học Y dược Buôn Ma Thuột</t>
  </si>
  <si>
    <t>BV Ba Tri: Triển khai phần mềm quản lý bệnh án điện tử</t>
  </si>
  <si>
    <t>Z Chưa xác định</t>
  </si>
  <si>
    <t>Ghi nhận theo dõi</t>
  </si>
  <si>
    <t>Cho thuê phần mềm QKSL</t>
  </si>
  <si>
    <t>CTECH: Thực hiện API chia sẻ dữ liệu từ phân hệ Quản lý Thời khóa biểu và  Quản lý điểm danh</t>
  </si>
  <si>
    <t>Cù Lao Dung: Dự án CĐS</t>
  </si>
  <si>
    <t>CĐ Gia Lai: Phần mềm UIIS</t>
  </si>
  <si>
    <t>CĐ Thống kê II: Báo giá các phân hệ phần mềm QLĐT</t>
  </si>
  <si>
    <t>CĐ Đắk Lắk: Phần mềm QLĐT</t>
  </si>
  <si>
    <t>CĐ Đắk Nông: Phần mềm QLĐT</t>
  </si>
  <si>
    <t>CĐYT An Giang: Nâng cấp UIIS</t>
  </si>
  <si>
    <t>DNC: Báo giá phần mềm UIIS</t>
  </si>
  <si>
    <t>Học viện IV: Báo giá OJS tiếng Việt</t>
  </si>
  <si>
    <t>Kiểm thử phần mềm 1</t>
  </si>
  <si>
    <t>Kiểm thử phần mềm 2</t>
  </si>
  <si>
    <t>Kiểm thử phần mềm 3</t>
  </si>
  <si>
    <t>KienLongbank: Báo giá UIIS cho trường Cao đẳng</t>
  </si>
  <si>
    <t>KienLongbank: Báo giá UIIS cho trường Đại học</t>
  </si>
  <si>
    <t>P. Bạc Liêu: Đề xuất các nghiệm vụ KHCN</t>
  </si>
  <si>
    <t>Phần mềm Quản lý lái xe 1</t>
  </si>
  <si>
    <t>Phần mềm Quản lý lái xe 2</t>
  </si>
  <si>
    <t>Sở KHCN Cà Mau: Dự án QLDA, QLSK</t>
  </si>
  <si>
    <t>Sở KHCN Cà Mau: Nâng cấp và nhân rộng ISO điện tử</t>
  </si>
  <si>
    <t>Sở KHCN Sóc Trăng: Nâng cấp QLSK</t>
  </si>
  <si>
    <t>Sở KHCN VL: Triển khai ISO điện tử</t>
  </si>
  <si>
    <t>Sở KHCN: Nhân rộng ISO Điện tử</t>
  </si>
  <si>
    <t>Triển khai 1 Trường Khu vực ĐNB: Chuyển đổi số</t>
  </si>
  <si>
    <t>TTYT Châu Thành: Phần mềm HRM</t>
  </si>
  <si>
    <t>VDB: Phần mềm Quản lý lưu trữ</t>
  </si>
  <si>
    <t>VKU - Báo giá phần mềm Quản lý đạo tạo UIIS</t>
  </si>
  <si>
    <t>ĐH Bắc Sài Gòn: Phần mềm Quản lý đào tạo</t>
  </si>
  <si>
    <t>ĐH Kinh tế Huế: Phần mềm UIIS</t>
  </si>
  <si>
    <t>ĐH Luật Huế: Báo giá nâng cấp 4 phân hệ =&gt; Rà soát UIIS</t>
  </si>
  <si>
    <t>ĐH Luật Huế: Báo giá phần mềm Quản lý văn bản, lịch biểu công tác (e-Office)</t>
  </si>
  <si>
    <t>ĐH Ngoại ngữ - ĐH Huế: Phần mềm UIIS</t>
  </si>
  <si>
    <t>ĐH Nông Lâm TP. HCM: Báo giá phần mềm QLĐT</t>
  </si>
  <si>
    <t>ĐH Phú Xuân: Phần mềm UIIS</t>
  </si>
  <si>
    <t>ĐH Phú Yên: Nâng cấp UIIS</t>
  </si>
  <si>
    <t>ĐH Tiền Giang: Tích hợp với moodle, bổ sung hệ đào tạo từ xa</t>
  </si>
  <si>
    <t>ĐH Y dược Huế: Nâng cấp UIIS (Cải tiến CTĐT, CĐR, QLSK,..)</t>
  </si>
  <si>
    <t>ĐHSP ĐN - Nâng cấp UIIS (Kiểm tra nề nếp, Đăng ký lịch dạy SĐH)</t>
  </si>
  <si>
    <t>ĐHSP ĐN: Phần mềm HRM</t>
  </si>
  <si>
    <t>ĐHSP ĐN: Triển khai App SV (GĐ2)</t>
  </si>
  <si>
    <t>ĐHYD BMT: Bổ sung chức năng tính điểm tương đương/ thay thế</t>
  </si>
  <si>
    <t>x</t>
  </si>
  <si>
    <t>Bệnh viện Lao và Bệnh Phổi tỉnh Bạc Liêu</t>
  </si>
  <si>
    <t>BV Lao phổi BL: Tích hợp tra cứu BHYT</t>
  </si>
  <si>
    <t>Đã gửi thuyết minh và báo giá</t>
  </si>
  <si>
    <t>Kỳ hợp trước:</t>
  </si>
  <si>
    <t>Tăng/Giảm:</t>
  </si>
  <si>
    <t>DT - Lần 1</t>
  </si>
  <si>
    <t>Mức độ đạt được</t>
  </si>
  <si>
    <t>Tháng DT - Lần 1</t>
  </si>
  <si>
    <t>Giá trị DT - Lần 2</t>
  </si>
  <si>
    <t>Tháng DT - Lần 2</t>
  </si>
  <si>
    <t xml:space="preserve"> Loại cơ hội</t>
  </si>
  <si>
    <t>#</t>
  </si>
  <si>
    <t>Tập Đoàn CT Group</t>
  </si>
  <si>
    <t>CT Group: Báo giá web</t>
  </si>
  <si>
    <t>TT sát hạch CĐKG: Liên kết học phí với BIDV</t>
  </si>
  <si>
    <t>Trung tâm GDNN Sát hạch lái xe Đồng Bằng (tư thục)</t>
  </si>
  <si>
    <t>Trung tâm GDNN Sát hạch lái xe Đồng Bằng: Báo giá phần mềm QL lái xe + kết nối  KLBank</t>
  </si>
  <si>
    <t>Nguồn năm 2026</t>
  </si>
  <si>
    <t xml:space="preserve">Đã gửi thuyết minh. Đã liên hệ nhưng không có thông tin </t>
  </si>
  <si>
    <t>xx</t>
  </si>
  <si>
    <t xml:space="preserve">Đã gửi báo giá. Không có thông tin </t>
  </si>
  <si>
    <t>Đã gửi báo giá. Liên hệ Anh Dũng nhưng không có phản hồi</t>
  </si>
  <si>
    <t>Chưa có chủ trương chính thức thực hiện nhân rộng</t>
  </si>
  <si>
    <t xml:space="preserve">Chưa có nguồn kinh phí thực hiện </t>
  </si>
  <si>
    <t>Bệnh viện tập trung triển khai Bệnh Án điện tử</t>
  </si>
  <si>
    <t>Không có thông tin mới</t>
  </si>
  <si>
    <t>Thầy Lân nói trường chưa hoạt động, chắc phải sang năm sau</t>
  </si>
  <si>
    <t>Sử dụng phần mềm cũ. Không có thông tin mới</t>
  </si>
  <si>
    <t>Gửi báo giá cho trường tham khảo. Không có thông tin mới</t>
  </si>
  <si>
    <t>Trường đầu tư phần cứng trước; phần mềm qua năm 2026.</t>
  </si>
  <si>
    <t>Học viện Chính trị Khu vực IV</t>
  </si>
  <si>
    <t xml:space="preserve">Nhờ nhóm dự án cho ý kiến về các nội dung Nâng cấp năm 2025 có thực hiện không. </t>
  </si>
  <si>
    <t>Sở KHCN Cà Mau: Website AI hỗ trợ nuôi tôm theo mô hình RAS-IMTA</t>
  </si>
  <si>
    <t>01/12/2025</t>
  </si>
  <si>
    <t>Báo giá lại Lần 2</t>
  </si>
  <si>
    <t>Chủ trương thực hiện năm 2026</t>
  </si>
  <si>
    <t>ĐH Huế đang thẩm định, phê duyệt. Chưa có kết quả, đánh giá khả năng không thực hiện được trong năm 2025.</t>
  </si>
  <si>
    <t>Chờ Anh Tuấn thống nhất yêu cầu bên Phòng Truyền thông, sau đó mới xúc tiến ký hợp đồng được. Vẫn chưa có thông tin</t>
  </si>
  <si>
    <t>Tiếp tục trình Sở TC thẩm định, trình UBND tỉnh phê duyệt BC</t>
  </si>
  <si>
    <t>Qua năm 2026 mới thực hiện. VCB hết nguồn kinh phí tài trợ.</t>
  </si>
  <si>
    <t>Anh Sơn hẹn trong tháng 12 này sẽ ck trước 50tr tiền mặt (không ký HĐ)</t>
  </si>
  <si>
    <t>Sở KHCN Cà Mau: Dự án QLDA</t>
  </si>
  <si>
    <t>Trường Đại học Cần Thơ - CTU</t>
  </si>
  <si>
    <t>155/HĐ-CNPM-PM</t>
  </si>
  <si>
    <t>310/HĐ-CNPM-PM</t>
  </si>
  <si>
    <t>Công ty Cổ phần May Meko</t>
  </si>
  <si>
    <t>34/HĐ-CNPM-PM</t>
  </si>
  <si>
    <t>Trường Đại học Việt Đức</t>
  </si>
  <si>
    <t>41/HĐ-CNPM-PM</t>
  </si>
  <si>
    <t>Sở Khoa học và Công nghệ tỉnh Quảng Ninh</t>
  </si>
  <si>
    <t>1806/2025/HĐDV-CUSC</t>
  </si>
  <si>
    <t>Công ty Cổ phần Thủy sản Sóc Trăng</t>
  </si>
  <si>
    <t>51/HĐ-CNPM-PM</t>
  </si>
  <si>
    <t>Trường Đại học Kiên Giang</t>
  </si>
  <si>
    <t>54/HĐ-CNPM-PM</t>
  </si>
  <si>
    <t>Trường Cao đẳng Nông nghiệp Nam Bộ - Tiền Giang</t>
  </si>
  <si>
    <t>62/HĐ-CĐNB-CUSC</t>
  </si>
  <si>
    <t>Công ty Cổ phần Chứng nhận và Giám định MekongCert</t>
  </si>
  <si>
    <t>71/HĐ-CNPM-PM</t>
  </si>
  <si>
    <t>Công ty Cổ phần Cấp nước Cần Thơ 2</t>
  </si>
  <si>
    <t>78/HĐ-CNPM-PM</t>
  </si>
  <si>
    <t>Trường Cao đẳng Kiên Giang</t>
  </si>
  <si>
    <t>82/HĐ-CNPM-PM</t>
  </si>
  <si>
    <t>Trường Đại học Văn Hiến</t>
  </si>
  <si>
    <t>268/HĐ-CNPM-PM</t>
  </si>
  <si>
    <t>29.09/HĐ-BIDV-CUSC-KGC</t>
  </si>
  <si>
    <t>Trường Đại học Nha Trang</t>
  </si>
  <si>
    <t>143/HĐ-CNPM-PM</t>
  </si>
  <si>
    <t>21.11/HĐKT/SP-CUSC</t>
  </si>
  <si>
    <t>172/HĐ-CNPM-PM</t>
  </si>
  <si>
    <t>0212-25/HĐ-CNPM-PM</t>
  </si>
  <si>
    <t>11.12/HĐ-VIETIN-CUSC-UED</t>
  </si>
  <si>
    <t>Trường Đại học Nông Lâm - Đại học Huế</t>
  </si>
  <si>
    <t>KHÁCH HÀNG</t>
  </si>
  <si>
    <t>NỘI DUNG</t>
  </si>
  <si>
    <t>NHÓM</t>
  </si>
  <si>
    <t>GIÁ TRỊ</t>
  </si>
  <si>
    <t>NGÀY HĐ</t>
  </si>
  <si>
    <t>SỐ HĐ</t>
  </si>
  <si>
    <t>310/HĐ-CNPM-PM: Thanh toán lần cuối</t>
  </si>
  <si>
    <t>34/HĐ-CNPM-PM: Thanh toán đợt cuối</t>
  </si>
  <si>
    <t>71/HĐ-CNPM-PM: Thanh toán lần cuối</t>
  </si>
  <si>
    <t>143/HĐ-CNPM-PM: Thanh toán 100%</t>
  </si>
  <si>
    <t>21.11/HĐKT/SP-CUSC: Thanh toán 100%</t>
  </si>
  <si>
    <t>0212-25/HĐ-CNPM-PM: Tạm ứng 40%</t>
  </si>
  <si>
    <t>29.09/HĐ-BIDV-CUSC-KGC: Thanh toán lần cuối 70%</t>
  </si>
  <si>
    <t>54/HĐ-CNPM-PM: Thanh toán 100%</t>
  </si>
  <si>
    <t>82/HĐ-CNPM-PM: Thanh toán 100%</t>
  </si>
  <si>
    <t>172/HĐ-CNPM-PM: Thanh toán lần cuối</t>
  </si>
  <si>
    <t>11.12/HĐ-VIETIN-CUSC-UED: Thanh toán 100%</t>
  </si>
  <si>
    <t>78/HĐ-CNPM-PM: Thanh toán lần cuối</t>
  </si>
  <si>
    <t>41/HĐ-CNPM-PM: Thanh toán</t>
  </si>
  <si>
    <t>1806/2025/HĐDV-CUSC: Thanh toán đợt cuối</t>
  </si>
  <si>
    <t>155/HĐ-CNPM-PM: Thanh toán lần cuối 60%</t>
  </si>
  <si>
    <t>51/HĐ-CNPM-PM: Thanh toán</t>
  </si>
  <si>
    <t>62/HĐ-CĐNB-CUSC: Thanh toán 100%</t>
  </si>
  <si>
    <t>268/HĐ-CNPM-PM: Thanh toán 100%</t>
  </si>
  <si>
    <t>0212-25/HĐ-CNPM-PM: Thanh toán lần cuối 60%</t>
  </si>
  <si>
    <t>.../HĐ-CNPM-PM: Thanh toán 100%</t>
  </si>
  <si>
    <t xml:space="preserve">LOẠI </t>
  </si>
  <si>
    <t>CƠ HỘI/DỰ ÁN</t>
  </si>
  <si>
    <t>MỨC ĐỘ</t>
  </si>
  <si>
    <t>THÁNG HĐ</t>
  </si>
  <si>
    <t>GIÁ TRỊ HĐ</t>
  </si>
  <si>
    <t>Giá trị DT - Lần 1</t>
  </si>
  <si>
    <t>DT - Lần 3</t>
  </si>
  <si>
    <t>Tháng DT - Lần 3</t>
  </si>
  <si>
    <t>UED: Quản lý ký túc xá + nhận dạng vào/ra KTX</t>
  </si>
  <si>
    <t>Bệnh viện Trường Đại học Y Dược Cần Thơ</t>
  </si>
  <si>
    <t>Trường Đại học Thủ Dầu Một</t>
  </si>
  <si>
    <t>ĐH Thủ Dầu Một: Phần mềm UIIS</t>
  </si>
  <si>
    <t>Ngân hàng TMCP Phát triển Thành phố Hồ Chí Minh - Chi nhánh Cần Thơ</t>
  </si>
  <si>
    <t>01/HĐ-CNPM-PM</t>
  </si>
  <si>
    <t>01/HĐ-CNPM-PM: Thanh toán hợp đồng</t>
  </si>
  <si>
    <t>Template Row</t>
  </si>
  <si>
    <t>BVĐK Khu vực Ba Tri: Bảo trì kỹ thuật phần mềm Quản lý tổng thể bệnh viện</t>
  </si>
  <si>
    <t>Trường Đại học Nông Lâm HCM: OJS</t>
  </si>
  <si>
    <t>ĐH Luật Huế: Bảo trì kỹ thuật phần mềm Hệ thống Tích hợp thông tin Quản lý đào tạo</t>
  </si>
  <si>
    <t>Trường Cao đẳng Nghề Kiên Giang</t>
  </si>
  <si>
    <t>CĐ Nghề Kiên Giang: Bảo trì kỹ thuật phần mềm Hệ thống tích hợp thông tin Quản lý đào tạo</t>
  </si>
  <si>
    <t>Đại học Sư phạm - Đại học Huế</t>
  </si>
  <si>
    <t>ĐHSP Huế: Triển khai CUSC-UIIS</t>
  </si>
  <si>
    <t>ĐHYD Buôn Ma Thuột: Bảo trì UIIS</t>
  </si>
  <si>
    <t>Ngân hàng Sacombank chi nhánh Cần Thơ</t>
  </si>
  <si>
    <t>CTU - Liên thông Sacombank: Bảo trì liên thông học phí</t>
  </si>
  <si>
    <t>Trường Đại học Bạc Liêu</t>
  </si>
  <si>
    <t>ĐH Bạc Liêu: Bảo trì phần mềm UIIS</t>
  </si>
  <si>
    <t>Sở Khoa học Công nghệ thành phố Cần Thơ</t>
  </si>
  <si>
    <t>Sở KHCN Cần Thơ: Nâng cấp ISO điện tử</t>
  </si>
  <si>
    <t>Sở Y tế thành phố Cần Thơ</t>
  </si>
  <si>
    <t>Sở YT Cần Thơ: Bảo trì Website</t>
  </si>
  <si>
    <t>Trung tâm Khuyến nông và Dịch vụ Nông Nghiệp Thành phố Cần Thơ</t>
  </si>
  <si>
    <t>TT Khuyến nông DVNN Cần Thơ: Bảo trì Website</t>
  </si>
  <si>
    <t>ĐH Phú Yên: Bảo trì kỹ thuật UIIS</t>
  </si>
  <si>
    <t>Trường Đại học Đồng Tháp</t>
  </si>
  <si>
    <t>ĐH Đồng Tháp:  Bảo trì kỹ thuật UIIS</t>
  </si>
  <si>
    <t>Sở KHCN Quảng Ninh: Bảo trì phần mềm ISO điện tử</t>
  </si>
  <si>
    <t>Stapimex: Bảo trì phần mềm Quản lý nhân sự tiền lương</t>
  </si>
  <si>
    <t>TT sát hạch CĐKG: Báo giá GĐ 2</t>
  </si>
  <si>
    <t>ĐH Kiên Giang: Dự toán nâng cấp 2026</t>
  </si>
  <si>
    <t>ĐH Việt Đức: Bảo trì Website</t>
  </si>
  <si>
    <t>Trường Đại học Sư phạm Hà Nội 2</t>
  </si>
  <si>
    <t>HPU2: Triển khai quản lý chuẩn đầu ra</t>
  </si>
  <si>
    <t>Trường Cao đẳng Cần Thơ</t>
  </si>
  <si>
    <t>CĐ Cần Thơ: Bảo trì phần mềm UIIS</t>
  </si>
  <si>
    <t>CĐNN Nam Bộ: Bảo trì UIIS</t>
  </si>
  <si>
    <t>Trường Cao đẳng cộng đồng Hậu Giang</t>
  </si>
  <si>
    <t>Trường CĐCĐ Hậu Giang: Bảo trì UIIS</t>
  </si>
  <si>
    <t>CĐCĐ Sóc Trăng: Bảo trì phần mềm UIIS</t>
  </si>
  <si>
    <t>ĐH Văn Hiến: Bảo trì OJS</t>
  </si>
  <si>
    <t>Bệnh viện Tâm thần thành phố Cần Thơ</t>
  </si>
  <si>
    <t>BV Tâm thần TPCT: Bảo trì Website</t>
  </si>
  <si>
    <t>CTECH: Bảo trfi phần mềm UIIS</t>
  </si>
  <si>
    <t>SKHCN Đồng Tháp: Phần mềm QLSK</t>
  </si>
  <si>
    <t>3112-25/HĐ-CNPM-PM</t>
  </si>
  <si>
    <t>3112-25/HĐ-CNPM-PM_Tạm ứng 40%</t>
  </si>
  <si>
    <t>3112-25/HĐ-CNPM-PM: Thanh toán lần cuối 60%</t>
  </si>
  <si>
    <t>Cơ hội</t>
  </si>
  <si>
    <t>Đang thực hiện</t>
  </si>
  <si>
    <t>07/HĐ-CNPM-PM</t>
  </si>
  <si>
    <t>07/HĐ-CNPM-PM: Thanh toán 100%</t>
  </si>
  <si>
    <t>04/HĐ-CNPM-PM</t>
  </si>
  <si>
    <t>CTU: Liên thông thu học phí với VietinBank</t>
  </si>
  <si>
    <t>Bảo trì phần mềm UIIS năm 2026</t>
  </si>
  <si>
    <t>04/HĐ-CNPM-PM: Thanh toán 40%</t>
  </si>
  <si>
    <t>04/HĐ-CNPM-PM: Thanh toán 60%</t>
  </si>
  <si>
    <t>078/BVTĐHYDCT-ĐHCT</t>
  </si>
  <si>
    <t>Gói thầu: Phần mềm hệ thống quản lý tăng huyết áp bằng trí tuệ nhân tạo</t>
  </si>
  <si>
    <t>078/BVTĐHYDCT-ĐHCT: Tạm ứng 50 %</t>
  </si>
  <si>
    <t>078/BVTĐHYDCT-ĐHCT: Thanh toán 50 % còn lại</t>
  </si>
  <si>
    <t>01/ĐHKG/2025</t>
  </si>
  <si>
    <t>01/ĐHKG/2025: Thanh toán 100%</t>
  </si>
  <si>
    <t>012026_ITO</t>
  </si>
  <si>
    <t>Hợp đồng ITO tháng 01/2026</t>
  </si>
  <si>
    <t>012026_ITO: Doanh thu 100%</t>
  </si>
  <si>
    <t>HD2600035092_2602121108</t>
  </si>
  <si>
    <t>Thuê dịch vụ cập nhật, hiệu chỉnh phần mềm ISO điện tử; tích hợp trí tuệ nhân tạo (AI) phục vụ xây dựng, vận hành và cải tiến Hệ thống quản lý chất lượng theo tiêu chuẩn Quốc gia TCVN ISO 9001:2015</t>
  </si>
  <si>
    <t>06/HĐ-CNPM-PM</t>
  </si>
  <si>
    <t>Bảo trì QLSK 2026</t>
  </si>
  <si>
    <t>Bảo trì kỹ thuật phần mềm liên thông dữ liệu học phí và thu học phí qua Qrcode với HDBank</t>
  </si>
  <si>
    <t>03/HĐ-CNPM-PM</t>
  </si>
  <si>
    <t>Bảo trì phần mềm UIIS 2026</t>
  </si>
  <si>
    <t>08/HĐ-CNPM-PM</t>
  </si>
  <si>
    <t>Nguồn Cơ hội tiềm năng</t>
  </si>
  <si>
    <t>HD2600035092_2602121108: Tạm ứng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</si>
</sst>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_-* #,##0.00\ _₫_-;\-* #,##0.00\ _₫_-;_-* &quot;-&quot;??\ _₫_-;_-@_-"/>
    <numFmt numFmtId="166" formatCode="_ * #,##0_ ;_ * \-#,##0_ ;_ * &quot;-&quot;_ ;_ @_ "/>
    <numFmt numFmtId="167" formatCode="_(* #,##0_);_(* \(#,##0\);_(* &quot;-&quot;??_);_(@_)"/>
    <numFmt numFmtId="168" formatCode="0.0%"/>
    <numFmt numFmtId="169" formatCode="#,##0;[Red]#,##0"/>
    <numFmt numFmtId="170" formatCode="_(* #,##0.0_);_(* \(#,##0.0\);_(* &quot;-&quot;??_);_(@_)"/>
  </numFmts>
  <fonts count="100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8"/>
      <name val="Times New Roman"/>
      <family val="1"/>
    </font>
    <font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indexed="8"/>
      <name val="Times New Roman"/>
      <family val="1"/>
    </font>
    <font>
      <b/>
      <i/>
      <u/>
      <sz val="12"/>
      <color indexed="8"/>
      <name val="Times New Roman"/>
      <family val="1"/>
    </font>
    <font>
      <b/>
      <i/>
      <sz val="12"/>
      <color indexed="30"/>
      <name val="Times New Roman"/>
      <family val="1"/>
    </font>
    <font>
      <sz val="6"/>
      <name val="ＭＳ Ｐゴシック"/>
      <family val="3"/>
      <charset val="128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30"/>
      <name val="Times New Roman"/>
      <family val="1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4"/>
      <name val="Times New Roman"/>
      <family val="1"/>
      <charset val="163"/>
    </font>
    <font>
      <sz val="11"/>
      <color indexed="8"/>
      <name val="Calibri"/>
      <family val="3"/>
      <charset val="128"/>
    </font>
    <font>
      <u/>
      <sz val="8.25"/>
      <color indexed="12"/>
      <name val="Calibri"/>
      <family val="2"/>
    </font>
    <font>
      <b/>
      <sz val="14"/>
      <name val="Times New Roman"/>
      <family val="1"/>
      <charset val="163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63"/>
    </font>
    <font>
      <sz val="11"/>
      <color theme="1"/>
      <name val="Calibri"/>
      <family val="3"/>
      <charset val="128"/>
      <scheme val="minor"/>
    </font>
    <font>
      <sz val="14"/>
      <color theme="1"/>
      <name val="Times New Roman"/>
      <family val="2"/>
      <charset val="163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4"/>
      <color rgb="FF0070C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4"/>
      <color rgb="FFFF0000"/>
      <name val="Times New Roman"/>
      <family val="1"/>
    </font>
    <font>
      <sz val="14"/>
      <color rgb="FF0000FF"/>
      <name val="Times New Roman"/>
      <family val="1"/>
    </font>
    <font>
      <b/>
      <sz val="11"/>
      <color theme="1"/>
      <name val="Calibri"/>
      <family val="2"/>
      <charset val="163"/>
    </font>
    <font>
      <b/>
      <sz val="14"/>
      <color theme="1"/>
      <name val="Calibri"/>
      <family val="2"/>
      <charset val="163"/>
    </font>
    <font>
      <b/>
      <sz val="24"/>
      <color theme="1"/>
      <name val="Calibri"/>
      <family val="2"/>
      <charset val="163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6"/>
      <color theme="1"/>
      <name val="Calibri"/>
      <family val="2"/>
      <charset val="163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charset val="163"/>
      <scheme val="minor"/>
    </font>
    <font>
      <sz val="16"/>
      <color theme="1"/>
      <name val="Calibri"/>
      <family val="2"/>
      <charset val="163"/>
      <scheme val="minor"/>
    </font>
    <font>
      <sz val="11"/>
      <color indexed="8"/>
      <name val="Calibri"/>
      <family val="2"/>
      <charset val="163"/>
    </font>
    <font>
      <sz val="9"/>
      <color rgb="FF2B2B2B"/>
      <name val="Verdana"/>
      <family val="2"/>
      <charset val="163"/>
    </font>
    <font>
      <sz val="11"/>
      <color indexed="8"/>
      <name val="Calibri"/>
      <family val="2"/>
      <charset val="163"/>
    </font>
    <font>
      <sz val="11"/>
      <color theme="1"/>
      <name val="Calibri"/>
      <family val="2"/>
      <charset val="163"/>
    </font>
    <font>
      <sz val="12"/>
      <color theme="1"/>
      <name val="Calibri"/>
      <family val="2"/>
    </font>
    <font>
      <b/>
      <sz val="12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b/>
      <sz val="13"/>
      <color theme="1"/>
      <name val="Times New Roman"/>
      <family val="1"/>
      <charset val="163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Calibri"/>
      <family val="2"/>
      <charset val="163"/>
      <scheme val="minor"/>
    </font>
    <font>
      <b/>
      <sz val="12"/>
      <name val="Times New Roman"/>
      <family val="1"/>
      <charset val="163"/>
    </font>
    <font>
      <sz val="11"/>
      <color indexed="8"/>
      <name val="Calibri"/>
      <family val="2"/>
      <charset val="163"/>
    </font>
    <font>
      <i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4"/>
      <color rgb="FF000000"/>
      <name val="Times New Roman"/>
      <family val="1"/>
      <charset val="163"/>
    </font>
    <font>
      <sz val="14"/>
      <color rgb="FF000000"/>
      <name val="Times New Roman"/>
      <family val="1"/>
      <charset val="163"/>
    </font>
    <font>
      <b/>
      <sz val="12"/>
      <color rgb="FFFF0000"/>
      <name val="Times New Roman"/>
      <family val="1"/>
    </font>
    <font>
      <sz val="11"/>
      <color rgb="FF0000FF"/>
      <name val="Calibri"/>
      <family val="2"/>
    </font>
    <font>
      <sz val="11"/>
      <color theme="1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sz val="11"/>
      <color rgb="FF0000FF"/>
      <name val="Cambria"/>
      <family val="1"/>
      <charset val="163"/>
      <scheme val="major"/>
    </font>
    <font>
      <strike/>
      <sz val="11"/>
      <color rgb="FFFF0000"/>
      <name val="Cambria"/>
      <family val="1"/>
      <charset val="163"/>
      <scheme val="major"/>
    </font>
    <font>
      <sz val="11"/>
      <color rgb="FFFF0000"/>
      <name val="Cambria"/>
      <family val="1"/>
      <charset val="163"/>
      <scheme val="major"/>
    </font>
    <font>
      <strike/>
      <sz val="11"/>
      <color rgb="FFFF0000"/>
      <name val="Calibri"/>
      <family val="2"/>
    </font>
    <font>
      <sz val="13"/>
      <color rgb="FFFF0000"/>
      <name val="Times New Roman"/>
      <family val="1"/>
    </font>
    <font>
      <strike/>
      <sz val="11"/>
      <name val="Cambria"/>
      <family val="1"/>
      <charset val="163"/>
      <scheme val="major"/>
    </font>
    <font>
      <strike/>
      <sz val="11"/>
      <color theme="1"/>
      <name val="Cambria"/>
      <family val="1"/>
      <charset val="163"/>
      <scheme val="major"/>
    </font>
    <font>
      <sz val="13"/>
      <color rgb="FF0000FF"/>
      <name val="Times New Roman"/>
      <family val="1"/>
    </font>
    <font>
      <sz val="14"/>
      <color theme="0"/>
      <name val="Times New Roman"/>
      <family val="1"/>
    </font>
    <font>
      <b/>
      <sz val="11"/>
      <color indexed="8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9" tint="0.79998168889431442"/>
        <bgColor indexed="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3">
    <xf numFmtId="0" fontId="0" fillId="0" borderId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4" fillId="0" borderId="0" applyFill="0" applyBorder="0" applyAlignment="0" applyProtection="0"/>
    <xf numFmtId="165" fontId="4" fillId="0" borderId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6" fillId="0" borderId="0" applyFill="0" applyBorder="0" applyAlignment="0" applyProtection="0"/>
    <xf numFmtId="164" fontId="4" fillId="0" borderId="0" applyFill="0" applyBorder="0" applyAlignment="0" applyProtection="0"/>
    <xf numFmtId="165" fontId="4" fillId="0" borderId="0" applyFill="0" applyBorder="0" applyAlignment="0" applyProtection="0"/>
    <xf numFmtId="165" fontId="4" fillId="0" borderId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27" fillId="0" borderId="0"/>
    <xf numFmtId="0" fontId="24" fillId="0" borderId="0"/>
    <xf numFmtId="0" fontId="4" fillId="0" borderId="0"/>
    <xf numFmtId="0" fontId="27" fillId="0" borderId="0"/>
    <xf numFmtId="0" fontId="25" fillId="0" borderId="0"/>
    <xf numFmtId="0" fontId="26" fillId="0" borderId="0"/>
    <xf numFmtId="0" fontId="24" fillId="0" borderId="0"/>
    <xf numFmtId="0" fontId="28" fillId="0" borderId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ill="0" applyBorder="0" applyAlignment="0" applyProtection="0"/>
    <xf numFmtId="9" fontId="4" fillId="0" borderId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ill="0" applyProtection="0"/>
    <xf numFmtId="0" fontId="60" fillId="0" borderId="0" applyFill="0" applyProtection="0"/>
    <xf numFmtId="0" fontId="62" fillId="0" borderId="0" applyFill="0" applyProtection="0"/>
    <xf numFmtId="0" fontId="78" fillId="0" borderId="0" applyFill="0" applyProtection="0"/>
  </cellStyleXfs>
  <cellXfs count="538">
    <xf numFmtId="0" fontId="0" fillId="0" borderId="0" xfId="0"/>
    <xf numFmtId="0" fontId="29" fillId="0" borderId="0" xfId="0" applyFont="1"/>
    <xf numFmtId="0" fontId="29" fillId="0" borderId="0" xfId="0" applyFont="1" applyAlignment="1">
      <alignment vertical="top"/>
    </xf>
    <xf numFmtId="0" fontId="30" fillId="0" borderId="0" xfId="0" applyFont="1"/>
    <xf numFmtId="167" fontId="24" fillId="0" borderId="0" xfId="1" applyNumberFormat="1" applyFont="1"/>
    <xf numFmtId="0" fontId="0" fillId="0" borderId="0" xfId="0" applyAlignment="1">
      <alignment horizontal="center"/>
    </xf>
    <xf numFmtId="0" fontId="0" fillId="4" borderId="1" xfId="0" applyFill="1" applyBorder="1"/>
    <xf numFmtId="0" fontId="30" fillId="5" borderId="0" xfId="0" applyFont="1" applyFill="1"/>
    <xf numFmtId="167" fontId="30" fillId="5" borderId="0" xfId="1" applyNumberFormat="1" applyFont="1" applyFill="1"/>
    <xf numFmtId="0" fontId="31" fillId="0" borderId="0" xfId="0" applyFont="1"/>
    <xf numFmtId="0" fontId="29" fillId="0" borderId="0" xfId="0" applyFont="1" applyAlignment="1">
      <alignment wrapText="1"/>
    </xf>
    <xf numFmtId="0" fontId="32" fillId="0" borderId="0" xfId="0" applyFont="1"/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/>
    </xf>
    <xf numFmtId="0" fontId="29" fillId="0" borderId="0" xfId="0" quotePrefix="1" applyFont="1" applyAlignment="1">
      <alignment horizontal="left" vertical="top" wrapText="1"/>
    </xf>
    <xf numFmtId="0" fontId="29" fillId="0" borderId="0" xfId="0" quotePrefix="1" applyFont="1" applyAlignment="1">
      <alignment wrapText="1"/>
    </xf>
    <xf numFmtId="0" fontId="29" fillId="0" borderId="0" xfId="0" applyFont="1" applyAlignment="1">
      <alignment vertical="top" wrapText="1"/>
    </xf>
    <xf numFmtId="0" fontId="29" fillId="0" borderId="0" xfId="0" quotePrefix="1" applyFont="1" applyAlignment="1">
      <alignment vertical="top" wrapText="1"/>
    </xf>
    <xf numFmtId="0" fontId="33" fillId="6" borderId="0" xfId="0" applyFont="1" applyFill="1" applyAlignment="1">
      <alignment horizontal="center" wrapText="1"/>
    </xf>
    <xf numFmtId="0" fontId="33" fillId="7" borderId="0" xfId="0" applyFont="1" applyFill="1" applyAlignment="1">
      <alignment horizontal="left" vertical="top" wrapText="1"/>
    </xf>
    <xf numFmtId="0" fontId="29" fillId="7" borderId="0" xfId="0" applyFont="1" applyFill="1" applyAlignment="1">
      <alignment horizontal="left" vertical="top" wrapText="1"/>
    </xf>
    <xf numFmtId="0" fontId="29" fillId="6" borderId="0" xfId="0" applyFont="1" applyFill="1" applyAlignment="1">
      <alignment horizontal="left" vertical="top"/>
    </xf>
    <xf numFmtId="0" fontId="29" fillId="6" borderId="0" xfId="0" quotePrefix="1" applyFont="1" applyFill="1" applyAlignment="1">
      <alignment horizontal="left" vertical="top" wrapText="1"/>
    </xf>
    <xf numFmtId="0" fontId="29" fillId="6" borderId="0" xfId="0" applyFont="1" applyFill="1" applyAlignment="1">
      <alignment horizontal="left" vertical="top" wrapText="1"/>
    </xf>
    <xf numFmtId="0" fontId="29" fillId="6" borderId="0" xfId="0" applyFont="1" applyFill="1"/>
    <xf numFmtId="0" fontId="29" fillId="6" borderId="0" xfId="0" quotePrefix="1" applyFont="1" applyFill="1" applyAlignment="1">
      <alignment wrapText="1"/>
    </xf>
    <xf numFmtId="0" fontId="8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/>
    </xf>
    <xf numFmtId="0" fontId="34" fillId="0" borderId="0" xfId="0" applyFont="1" applyAlignment="1">
      <alignment vertical="top"/>
    </xf>
    <xf numFmtId="0" fontId="34" fillId="9" borderId="1" xfId="0" applyFont="1" applyFill="1" applyBorder="1" applyAlignment="1">
      <alignment horizontal="left" vertical="top"/>
    </xf>
    <xf numFmtId="0" fontId="34" fillId="9" borderId="1" xfId="0" applyFont="1" applyFill="1" applyBorder="1" applyAlignment="1">
      <alignment horizontal="center" vertical="top"/>
    </xf>
    <xf numFmtId="0" fontId="35" fillId="0" borderId="0" xfId="0" applyFont="1" applyAlignment="1">
      <alignment vertical="top"/>
    </xf>
    <xf numFmtId="167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1" xfId="0" applyFont="1" applyBorder="1" applyAlignment="1">
      <alignment horizontal="center" vertical="top"/>
    </xf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 applyAlignment="1">
      <alignment horizontal="center" vertical="top"/>
    </xf>
    <xf numFmtId="0" fontId="35" fillId="0" borderId="0" xfId="0" applyFont="1" applyAlignment="1">
      <alignment horizontal="center" vertical="top"/>
    </xf>
    <xf numFmtId="167" fontId="34" fillId="10" borderId="2" xfId="1" applyNumberFormat="1" applyFont="1" applyFill="1" applyBorder="1" applyAlignment="1">
      <alignment horizontal="center" vertical="top"/>
    </xf>
    <xf numFmtId="167" fontId="34" fillId="10" borderId="1" xfId="1" applyNumberFormat="1" applyFont="1" applyFill="1" applyBorder="1" applyAlignment="1">
      <alignment horizontal="center" vertical="top"/>
    </xf>
    <xf numFmtId="167" fontId="34" fillId="9" borderId="1" xfId="1" applyNumberFormat="1" applyFont="1" applyFill="1" applyBorder="1" applyAlignment="1">
      <alignment horizontal="center" vertical="top"/>
    </xf>
    <xf numFmtId="167" fontId="35" fillId="9" borderId="1" xfId="1" applyNumberFormat="1" applyFont="1" applyFill="1" applyBorder="1" applyAlignment="1">
      <alignment horizontal="center" vertical="top"/>
    </xf>
    <xf numFmtId="167" fontId="8" fillId="6" borderId="1" xfId="0" applyNumberFormat="1" applyFont="1" applyFill="1" applyBorder="1" applyAlignment="1">
      <alignment horizontal="center" vertical="top" wrapText="1"/>
    </xf>
    <xf numFmtId="167" fontId="8" fillId="8" borderId="1" xfId="0" applyNumberFormat="1" applyFont="1" applyFill="1" applyBorder="1" applyAlignment="1">
      <alignment horizontal="center" vertical="top" wrapText="1"/>
    </xf>
    <xf numFmtId="167" fontId="8" fillId="6" borderId="1" xfId="1" applyNumberFormat="1" applyFont="1" applyFill="1" applyBorder="1" applyAlignment="1">
      <alignment horizontal="center" vertical="top" wrapText="1"/>
    </xf>
    <xf numFmtId="167" fontId="8" fillId="0" borderId="1" xfId="1" applyNumberFormat="1" applyFont="1" applyFill="1" applyBorder="1" applyAlignment="1">
      <alignment vertical="top"/>
    </xf>
    <xf numFmtId="167" fontId="8" fillId="8" borderId="1" xfId="1" applyNumberFormat="1" applyFont="1" applyFill="1" applyBorder="1" applyAlignment="1">
      <alignment horizontal="center" vertical="top" wrapText="1"/>
    </xf>
    <xf numFmtId="167" fontId="35" fillId="0" borderId="0" xfId="1" applyNumberFormat="1" applyFont="1" applyAlignment="1">
      <alignment horizontal="center" vertical="top"/>
    </xf>
    <xf numFmtId="167" fontId="35" fillId="0" borderId="0" xfId="1" applyNumberFormat="1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5" fillId="9" borderId="1" xfId="0" applyFont="1" applyFill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top" wrapText="1"/>
    </xf>
    <xf numFmtId="3" fontId="16" fillId="0" borderId="0" xfId="0" applyNumberFormat="1" applyFont="1" applyAlignment="1">
      <alignment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36" fillId="0" borderId="0" xfId="0" applyFont="1" applyAlignment="1">
      <alignment vertical="top"/>
    </xf>
    <xf numFmtId="0" fontId="16" fillId="0" borderId="1" xfId="0" applyFont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top"/>
    </xf>
    <xf numFmtId="167" fontId="16" fillId="11" borderId="1" xfId="25" applyNumberFormat="1" applyFont="1" applyFill="1" applyBorder="1" applyAlignment="1">
      <alignment vertical="top"/>
    </xf>
    <xf numFmtId="167" fontId="16" fillId="11" borderId="1" xfId="1" applyNumberFormat="1" applyFont="1" applyFill="1" applyBorder="1" applyAlignment="1">
      <alignment vertical="top"/>
    </xf>
    <xf numFmtId="167" fontId="16" fillId="6" borderId="1" xfId="1" applyNumberFormat="1" applyFont="1" applyFill="1" applyBorder="1" applyAlignment="1">
      <alignment vertical="top"/>
    </xf>
    <xf numFmtId="167" fontId="16" fillId="0" borderId="0" xfId="0" applyNumberFormat="1" applyFont="1" applyAlignment="1">
      <alignment vertical="top"/>
    </xf>
    <xf numFmtId="0" fontId="16" fillId="8" borderId="1" xfId="151" applyFont="1" applyFill="1" applyBorder="1" applyAlignment="1">
      <alignment horizontal="center" vertical="top" wrapText="1"/>
    </xf>
    <xf numFmtId="0" fontId="16" fillId="0" borderId="1" xfId="151" applyFont="1" applyBorder="1" applyAlignment="1">
      <alignment horizontal="center" vertical="top"/>
    </xf>
    <xf numFmtId="0" fontId="16" fillId="0" borderId="1" xfId="151" applyFont="1" applyBorder="1" applyAlignment="1">
      <alignment horizontal="center" vertical="top" wrapText="1"/>
    </xf>
    <xf numFmtId="0" fontId="16" fillId="0" borderId="1" xfId="151" applyFont="1" applyBorder="1" applyAlignment="1">
      <alignment vertical="top" wrapText="1"/>
    </xf>
    <xf numFmtId="0" fontId="16" fillId="8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32" fillId="0" borderId="0" xfId="0" applyFont="1" applyAlignment="1">
      <alignment vertical="top"/>
    </xf>
    <xf numFmtId="167" fontId="36" fillId="0" borderId="0" xfId="0" applyNumberFormat="1" applyFont="1" applyAlignment="1">
      <alignment vertical="top"/>
    </xf>
    <xf numFmtId="0" fontId="17" fillId="0" borderId="0" xfId="150" applyFont="1" applyAlignment="1">
      <alignment vertical="top"/>
    </xf>
    <xf numFmtId="0" fontId="16" fillId="0" borderId="0" xfId="150" applyFont="1" applyAlignment="1">
      <alignment vertical="top"/>
    </xf>
    <xf numFmtId="167" fontId="16" fillId="0" borderId="0" xfId="150" applyNumberFormat="1" applyFont="1" applyAlignment="1">
      <alignment vertical="top"/>
    </xf>
    <xf numFmtId="10" fontId="16" fillId="0" borderId="0" xfId="163" applyNumberFormat="1" applyFont="1" applyFill="1" applyAlignment="1">
      <alignment vertical="top"/>
    </xf>
    <xf numFmtId="0" fontId="16" fillId="2" borderId="1" xfId="150" applyFont="1" applyFill="1" applyBorder="1" applyAlignment="1">
      <alignment horizontal="center" vertical="top"/>
    </xf>
    <xf numFmtId="0" fontId="16" fillId="2" borderId="1" xfId="150" applyFont="1" applyFill="1" applyBorder="1" applyAlignment="1">
      <alignment vertical="top"/>
    </xf>
    <xf numFmtId="167" fontId="16" fillId="8" borderId="1" xfId="23" applyNumberFormat="1" applyFont="1" applyFill="1" applyBorder="1" applyAlignment="1">
      <alignment vertical="top"/>
    </xf>
    <xf numFmtId="0" fontId="16" fillId="10" borderId="1" xfId="150" applyFont="1" applyFill="1" applyBorder="1" applyAlignment="1">
      <alignment horizontal="center" vertical="top"/>
    </xf>
    <xf numFmtId="0" fontId="15" fillId="10" borderId="1" xfId="150" applyFont="1" applyFill="1" applyBorder="1" applyAlignment="1">
      <alignment vertical="top"/>
    </xf>
    <xf numFmtId="167" fontId="15" fillId="10" borderId="1" xfId="23" applyNumberFormat="1" applyFont="1" applyFill="1" applyBorder="1" applyAlignment="1">
      <alignment vertical="top"/>
    </xf>
    <xf numFmtId="0" fontId="15" fillId="0" borderId="0" xfId="150" applyFont="1" applyAlignment="1">
      <alignment vertical="top"/>
    </xf>
    <xf numFmtId="9" fontId="16" fillId="0" borderId="0" xfId="163" applyFont="1" applyFill="1" applyAlignment="1">
      <alignment vertical="top"/>
    </xf>
    <xf numFmtId="0" fontId="16" fillId="0" borderId="0" xfId="150" applyFont="1" applyAlignment="1">
      <alignment horizontal="center" vertical="top"/>
    </xf>
    <xf numFmtId="0" fontId="37" fillId="0" borderId="0" xfId="150" applyFont="1" applyAlignment="1">
      <alignment vertical="top"/>
    </xf>
    <xf numFmtId="0" fontId="38" fillId="0" borderId="0" xfId="0" applyFont="1" applyAlignment="1">
      <alignment vertical="top"/>
    </xf>
    <xf numFmtId="167" fontId="35" fillId="4" borderId="1" xfId="1" applyNumberFormat="1" applyFont="1" applyFill="1" applyBorder="1" applyAlignment="1">
      <alignment horizontal="center" vertical="top"/>
    </xf>
    <xf numFmtId="167" fontId="35" fillId="4" borderId="1" xfId="1" applyNumberFormat="1" applyFont="1" applyFill="1" applyBorder="1" applyAlignment="1">
      <alignment vertical="top"/>
    </xf>
    <xf numFmtId="0" fontId="15" fillId="9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8" borderId="1" xfId="0" applyFont="1" applyFill="1" applyBorder="1" applyAlignment="1">
      <alignment vertical="top" wrapText="1"/>
    </xf>
    <xf numFmtId="167" fontId="16" fillId="11" borderId="1" xfId="23" applyNumberFormat="1" applyFont="1" applyFill="1" applyBorder="1" applyAlignment="1">
      <alignment vertical="top"/>
    </xf>
    <xf numFmtId="167" fontId="15" fillId="11" borderId="1" xfId="23" applyNumberFormat="1" applyFont="1" applyFill="1" applyBorder="1" applyAlignment="1">
      <alignment vertical="top"/>
    </xf>
    <xf numFmtId="167" fontId="16" fillId="7" borderId="1" xfId="23" applyNumberFormat="1" applyFont="1" applyFill="1" applyBorder="1" applyAlignment="1">
      <alignment vertical="top"/>
    </xf>
    <xf numFmtId="0" fontId="16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horizontal="center" vertical="top"/>
    </xf>
    <xf numFmtId="0" fontId="15" fillId="9" borderId="1" xfId="0" applyFont="1" applyFill="1" applyBorder="1" applyAlignment="1">
      <alignment horizontal="left" vertical="top" wrapText="1"/>
    </xf>
    <xf numFmtId="167" fontId="16" fillId="11" borderId="1" xfId="0" applyNumberFormat="1" applyFont="1" applyFill="1" applyBorder="1" applyAlignment="1">
      <alignment vertical="top"/>
    </xf>
    <xf numFmtId="0" fontId="16" fillId="0" borderId="1" xfId="0" applyFont="1" applyBorder="1" applyAlignment="1">
      <alignment vertical="top"/>
    </xf>
    <xf numFmtId="3" fontId="16" fillId="11" borderId="1" xfId="0" applyNumberFormat="1" applyFont="1" applyFill="1" applyBorder="1" applyAlignment="1">
      <alignment vertical="top"/>
    </xf>
    <xf numFmtId="0" fontId="16" fillId="4" borderId="1" xfId="0" applyFont="1" applyFill="1" applyBorder="1" applyAlignment="1">
      <alignment vertical="top"/>
    </xf>
    <xf numFmtId="0" fontId="15" fillId="5" borderId="2" xfId="0" applyFont="1" applyFill="1" applyBorder="1" applyAlignment="1">
      <alignment horizontal="center" vertical="top"/>
    </xf>
    <xf numFmtId="0" fontId="15" fillId="5" borderId="2" xfId="0" applyFont="1" applyFill="1" applyBorder="1" applyAlignment="1">
      <alignment horizontal="center" vertical="top" wrapText="1"/>
    </xf>
    <xf numFmtId="0" fontId="15" fillId="5" borderId="3" xfId="0" applyFont="1" applyFill="1" applyBorder="1" applyAlignment="1">
      <alignment vertical="top"/>
    </xf>
    <xf numFmtId="0" fontId="15" fillId="5" borderId="3" xfId="0" applyFont="1" applyFill="1" applyBorder="1" applyAlignment="1">
      <alignment horizontal="center" vertical="top"/>
    </xf>
    <xf numFmtId="0" fontId="16" fillId="5" borderId="4" xfId="0" applyFont="1" applyFill="1" applyBorder="1" applyAlignment="1">
      <alignment vertical="top"/>
    </xf>
    <xf numFmtId="0" fontId="15" fillId="5" borderId="5" xfId="0" applyFont="1" applyFill="1" applyBorder="1" applyAlignment="1">
      <alignment vertical="top"/>
    </xf>
    <xf numFmtId="0" fontId="15" fillId="5" borderId="5" xfId="0" applyFont="1" applyFill="1" applyBorder="1" applyAlignment="1">
      <alignment horizontal="center" vertical="top"/>
    </xf>
    <xf numFmtId="0" fontId="15" fillId="5" borderId="4" xfId="0" applyFont="1" applyFill="1" applyBorder="1" applyAlignment="1">
      <alignment vertical="top"/>
    </xf>
    <xf numFmtId="0" fontId="16" fillId="5" borderId="6" xfId="0" applyFont="1" applyFill="1" applyBorder="1" applyAlignment="1">
      <alignment vertical="top"/>
    </xf>
    <xf numFmtId="0" fontId="16" fillId="5" borderId="6" xfId="0" applyFont="1" applyFill="1" applyBorder="1" applyAlignment="1">
      <alignment vertical="top" wrapText="1"/>
    </xf>
    <xf numFmtId="0" fontId="16" fillId="5" borderId="6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/>
    </xf>
    <xf numFmtId="167" fontId="16" fillId="11" borderId="1" xfId="25" applyNumberFormat="1" applyFont="1" applyFill="1" applyBorder="1" applyAlignment="1">
      <alignment horizontal="center" vertical="top"/>
    </xf>
    <xf numFmtId="167" fontId="16" fillId="11" borderId="1" xfId="1" applyNumberFormat="1" applyFont="1" applyFill="1" applyBorder="1" applyAlignment="1">
      <alignment horizontal="center" vertical="top"/>
    </xf>
    <xf numFmtId="3" fontId="16" fillId="11" borderId="1" xfId="0" applyNumberFormat="1" applyFont="1" applyFill="1" applyBorder="1" applyAlignment="1">
      <alignment horizontal="center" vertical="top"/>
    </xf>
    <xf numFmtId="0" fontId="39" fillId="0" borderId="0" xfId="0" applyFont="1" applyAlignment="1">
      <alignment vertical="top"/>
    </xf>
    <xf numFmtId="167" fontId="16" fillId="0" borderId="0" xfId="1" applyNumberFormat="1" applyFont="1" applyFill="1" applyAlignment="1">
      <alignment vertical="top"/>
    </xf>
    <xf numFmtId="168" fontId="16" fillId="0" borderId="0" xfId="163" applyNumberFormat="1" applyFont="1" applyFill="1" applyAlignment="1">
      <alignment vertical="top"/>
    </xf>
    <xf numFmtId="168" fontId="20" fillId="0" borderId="0" xfId="163" applyNumberFormat="1" applyFont="1" applyFill="1" applyBorder="1" applyAlignment="1">
      <alignment vertical="top"/>
    </xf>
    <xf numFmtId="167" fontId="16" fillId="0" borderId="0" xfId="150" applyNumberFormat="1" applyFont="1" applyAlignment="1">
      <alignment horizontal="center" vertical="top"/>
    </xf>
    <xf numFmtId="167" fontId="8" fillId="4" borderId="1" xfId="1" applyNumberFormat="1" applyFont="1" applyFill="1" applyBorder="1" applyAlignment="1">
      <alignment vertical="top"/>
    </xf>
    <xf numFmtId="167" fontId="37" fillId="0" borderId="0" xfId="150" applyNumberFormat="1" applyFont="1" applyAlignment="1">
      <alignment vertical="top"/>
    </xf>
    <xf numFmtId="167" fontId="15" fillId="12" borderId="1" xfId="0" applyNumberFormat="1" applyFont="1" applyFill="1" applyBorder="1" applyAlignment="1">
      <alignment horizontal="center" vertical="top"/>
    </xf>
    <xf numFmtId="167" fontId="15" fillId="9" borderId="1" xfId="25" applyNumberFormat="1" applyFont="1" applyFill="1" applyBorder="1" applyAlignment="1">
      <alignment horizontal="right" vertical="top"/>
    </xf>
    <xf numFmtId="167" fontId="15" fillId="9" borderId="1" xfId="1" applyNumberFormat="1" applyFont="1" applyFill="1" applyBorder="1" applyAlignment="1">
      <alignment horizontal="center" vertical="top"/>
    </xf>
    <xf numFmtId="167" fontId="16" fillId="9" borderId="1" xfId="1" applyNumberFormat="1" applyFont="1" applyFill="1" applyBorder="1" applyAlignment="1">
      <alignment horizontal="center" vertical="top"/>
    </xf>
    <xf numFmtId="167" fontId="16" fillId="0" borderId="0" xfId="1" applyNumberFormat="1" applyFont="1" applyAlignment="1">
      <alignment vertical="top"/>
    </xf>
    <xf numFmtId="9" fontId="36" fillId="0" borderId="0" xfId="163" applyFont="1" applyAlignment="1">
      <alignment vertical="top"/>
    </xf>
    <xf numFmtId="167" fontId="36" fillId="0" borderId="0" xfId="163" applyNumberFormat="1" applyFont="1" applyAlignment="1">
      <alignment vertical="top"/>
    </xf>
    <xf numFmtId="0" fontId="40" fillId="0" borderId="1" xfId="0" applyFont="1" applyBorder="1" applyAlignment="1">
      <alignment horizontal="left" vertical="center" wrapText="1"/>
    </xf>
    <xf numFmtId="168" fontId="41" fillId="0" borderId="0" xfId="163" applyNumberFormat="1" applyFont="1" applyFill="1" applyBorder="1" applyAlignment="1">
      <alignment vertical="top"/>
    </xf>
    <xf numFmtId="167" fontId="15" fillId="13" borderId="1" xfId="0" applyNumberFormat="1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left" vertical="center" wrapText="1"/>
    </xf>
    <xf numFmtId="0" fontId="42" fillId="9" borderId="1" xfId="0" applyFont="1" applyFill="1" applyBorder="1" applyAlignment="1">
      <alignment horizontal="center" vertical="center" wrapText="1"/>
    </xf>
    <xf numFmtId="167" fontId="39" fillId="0" borderId="1" xfId="1" applyNumberFormat="1" applyFont="1" applyBorder="1" applyAlignment="1">
      <alignment vertical="top"/>
    </xf>
    <xf numFmtId="167" fontId="38" fillId="0" borderId="0" xfId="0" applyNumberFormat="1" applyFont="1" applyAlignment="1">
      <alignment vertical="top"/>
    </xf>
    <xf numFmtId="168" fontId="38" fillId="0" borderId="0" xfId="163" applyNumberFormat="1" applyFont="1" applyFill="1" applyAlignment="1">
      <alignment vertical="top"/>
    </xf>
    <xf numFmtId="0" fontId="42" fillId="0" borderId="0" xfId="0" applyFont="1" applyAlignment="1">
      <alignment vertical="top"/>
    </xf>
    <xf numFmtId="0" fontId="42" fillId="5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top"/>
    </xf>
    <xf numFmtId="0" fontId="39" fillId="0" borderId="3" xfId="0" applyFont="1" applyBorder="1" applyAlignment="1">
      <alignment horizontal="center" vertical="top"/>
    </xf>
    <xf numFmtId="3" fontId="42" fillId="14" borderId="6" xfId="0" applyNumberFormat="1" applyFont="1" applyFill="1" applyBorder="1" applyAlignment="1">
      <alignment vertical="top"/>
    </xf>
    <xf numFmtId="3" fontId="42" fillId="15" borderId="6" xfId="0" applyNumberFormat="1" applyFont="1" applyFill="1" applyBorder="1" applyAlignment="1">
      <alignment vertical="top"/>
    </xf>
    <xf numFmtId="3" fontId="39" fillId="0" borderId="3" xfId="0" applyNumberFormat="1" applyFont="1" applyBorder="1" applyAlignment="1">
      <alignment horizontal="right" vertical="top" wrapText="1"/>
    </xf>
    <xf numFmtId="3" fontId="39" fillId="0" borderId="1" xfId="0" applyNumberFormat="1" applyFont="1" applyBorder="1" applyAlignment="1">
      <alignment horizontal="right" vertical="top" wrapText="1"/>
    </xf>
    <xf numFmtId="167" fontId="42" fillId="15" borderId="1" xfId="0" applyNumberFormat="1" applyFont="1" applyFill="1" applyBorder="1" applyAlignment="1">
      <alignment vertical="top"/>
    </xf>
    <xf numFmtId="168" fontId="39" fillId="0" borderId="1" xfId="163" applyNumberFormat="1" applyFont="1" applyBorder="1" applyAlignment="1">
      <alignment vertical="top"/>
    </xf>
    <xf numFmtId="168" fontId="42" fillId="14" borderId="1" xfId="163" applyNumberFormat="1" applyFont="1" applyFill="1" applyBorder="1" applyAlignment="1">
      <alignment vertical="top"/>
    </xf>
    <xf numFmtId="168" fontId="42" fillId="15" borderId="1" xfId="163" applyNumberFormat="1" applyFont="1" applyFill="1" applyBorder="1" applyAlignment="1">
      <alignment vertical="top"/>
    </xf>
    <xf numFmtId="0" fontId="42" fillId="11" borderId="0" xfId="0" applyFont="1" applyFill="1" applyAlignment="1">
      <alignment vertical="top"/>
    </xf>
    <xf numFmtId="0" fontId="39" fillId="11" borderId="0" xfId="0" applyFont="1" applyFill="1" applyAlignment="1">
      <alignment vertical="top"/>
    </xf>
    <xf numFmtId="167" fontId="41" fillId="0" borderId="0" xfId="163" applyNumberFormat="1" applyFont="1" applyFill="1" applyBorder="1" applyAlignment="1">
      <alignment vertical="top"/>
    </xf>
    <xf numFmtId="168" fontId="38" fillId="0" borderId="0" xfId="163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 indent="1"/>
    </xf>
    <xf numFmtId="167" fontId="41" fillId="0" borderId="0" xfId="150" applyNumberFormat="1" applyFont="1" applyAlignment="1">
      <alignment vertical="top"/>
    </xf>
    <xf numFmtId="0" fontId="16" fillId="8" borderId="1" xfId="0" applyFont="1" applyFill="1" applyBorder="1" applyAlignment="1">
      <alignment horizontal="left" vertical="top" wrapText="1" indent="1"/>
    </xf>
    <xf numFmtId="168" fontId="43" fillId="0" borderId="0" xfId="163" applyNumberFormat="1" applyFont="1" applyAlignment="1">
      <alignment vertical="top"/>
    </xf>
    <xf numFmtId="164" fontId="15" fillId="9" borderId="1" xfId="1" applyFont="1" applyFill="1" applyBorder="1" applyAlignment="1">
      <alignment horizontal="center" vertical="top"/>
    </xf>
    <xf numFmtId="167" fontId="36" fillId="11" borderId="1" xfId="25" applyNumberFormat="1" applyFont="1" applyFill="1" applyBorder="1" applyAlignment="1">
      <alignment vertical="top"/>
    </xf>
    <xf numFmtId="167" fontId="39" fillId="0" borderId="0" xfId="1" applyNumberFormat="1" applyFont="1" applyAlignment="1">
      <alignment vertical="top"/>
    </xf>
    <xf numFmtId="167" fontId="39" fillId="0" borderId="0" xfId="0" applyNumberFormat="1" applyFont="1" applyAlignment="1">
      <alignment vertical="top"/>
    </xf>
    <xf numFmtId="0" fontId="20" fillId="0" borderId="1" xfId="0" applyFont="1" applyBorder="1" applyAlignment="1">
      <alignment horizontal="center" vertical="top"/>
    </xf>
    <xf numFmtId="167" fontId="20" fillId="11" borderId="1" xfId="25" applyNumberFormat="1" applyFont="1" applyFill="1" applyBorder="1" applyAlignment="1">
      <alignment vertical="top"/>
    </xf>
    <xf numFmtId="168" fontId="36" fillId="0" borderId="0" xfId="163" applyNumberFormat="1" applyFont="1" applyAlignment="1">
      <alignment vertical="top"/>
    </xf>
    <xf numFmtId="3" fontId="39" fillId="0" borderId="0" xfId="0" applyNumberFormat="1" applyFont="1" applyAlignment="1">
      <alignment vertical="top"/>
    </xf>
    <xf numFmtId="0" fontId="43" fillId="0" borderId="1" xfId="0" applyFont="1" applyBorder="1" applyAlignment="1">
      <alignment vertical="top" wrapText="1"/>
    </xf>
    <xf numFmtId="0" fontId="44" fillId="8" borderId="1" xfId="0" applyFont="1" applyFill="1" applyBorder="1" applyAlignment="1">
      <alignment horizontal="center" vertical="top" wrapText="1"/>
    </xf>
    <xf numFmtId="167" fontId="44" fillId="11" borderId="1" xfId="25" applyNumberFormat="1" applyFont="1" applyFill="1" applyBorder="1" applyAlignment="1">
      <alignment vertical="top"/>
    </xf>
    <xf numFmtId="164" fontId="20" fillId="0" borderId="0" xfId="1" applyFont="1" applyFill="1" applyBorder="1" applyAlignment="1">
      <alignment vertical="top"/>
    </xf>
    <xf numFmtId="165" fontId="41" fillId="0" borderId="0" xfId="163" applyNumberFormat="1" applyFont="1" applyFill="1" applyBorder="1" applyAlignment="1">
      <alignment vertical="top"/>
    </xf>
    <xf numFmtId="9" fontId="37" fillId="0" borderId="0" xfId="163" applyFont="1" applyFill="1" applyBorder="1" applyAlignment="1">
      <alignment vertical="top"/>
    </xf>
    <xf numFmtId="0" fontId="45" fillId="0" borderId="0" xfId="0" applyFont="1"/>
    <xf numFmtId="3" fontId="0" fillId="0" borderId="0" xfId="0" applyNumberFormat="1"/>
    <xf numFmtId="3" fontId="46" fillId="15" borderId="0" xfId="0" applyNumberFormat="1" applyFont="1" applyFill="1"/>
    <xf numFmtId="0" fontId="46" fillId="15" borderId="0" xfId="0" applyFont="1" applyFill="1"/>
    <xf numFmtId="3" fontId="46" fillId="14" borderId="0" xfId="0" applyNumberFormat="1" applyFont="1" applyFill="1"/>
    <xf numFmtId="0" fontId="46" fillId="14" borderId="0" xfId="0" applyFont="1" applyFill="1"/>
    <xf numFmtId="0" fontId="33" fillId="0" borderId="1" xfId="0" applyFont="1" applyBorder="1" applyAlignment="1">
      <alignment horizontal="center"/>
    </xf>
    <xf numFmtId="3" fontId="33" fillId="0" borderId="1" xfId="0" applyNumberFormat="1" applyFont="1" applyBorder="1"/>
    <xf numFmtId="0" fontId="48" fillId="0" borderId="0" xfId="0" applyFont="1"/>
    <xf numFmtId="0" fontId="1" fillId="0" borderId="0" xfId="0" applyFont="1"/>
    <xf numFmtId="0" fontId="49" fillId="0" borderId="1" xfId="0" applyFont="1" applyBorder="1" applyAlignment="1">
      <alignment horizontal="center"/>
    </xf>
    <xf numFmtId="0" fontId="50" fillId="14" borderId="1" xfId="0" applyFont="1" applyFill="1" applyBorder="1" applyAlignment="1">
      <alignment horizontal="center"/>
    </xf>
    <xf numFmtId="0" fontId="50" fillId="15" borderId="1" xfId="0" applyFont="1" applyFill="1" applyBorder="1" applyAlignment="1">
      <alignment horizontal="center"/>
    </xf>
    <xf numFmtId="0" fontId="49" fillId="0" borderId="1" xfId="0" applyFont="1" applyBorder="1"/>
    <xf numFmtId="0" fontId="52" fillId="0" borderId="1" xfId="0" applyFont="1" applyBorder="1"/>
    <xf numFmtId="0" fontId="51" fillId="0" borderId="1" xfId="0" applyFont="1" applyBorder="1" applyAlignment="1">
      <alignment horizontal="center"/>
    </xf>
    <xf numFmtId="168" fontId="53" fillId="0" borderId="1" xfId="163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54" fillId="0" borderId="1" xfId="0" applyNumberFormat="1" applyFont="1" applyBorder="1"/>
    <xf numFmtId="3" fontId="55" fillId="0" borderId="1" xfId="0" applyNumberFormat="1" applyFont="1" applyBorder="1"/>
    <xf numFmtId="0" fontId="51" fillId="0" borderId="1" xfId="0" applyFont="1" applyBorder="1" applyAlignment="1">
      <alignment horizontal="left" indent="1"/>
    </xf>
    <xf numFmtId="0" fontId="56" fillId="12" borderId="0" xfId="0" applyFont="1" applyFill="1"/>
    <xf numFmtId="0" fontId="0" fillId="12" borderId="0" xfId="0" applyFill="1"/>
    <xf numFmtId="0" fontId="56" fillId="19" borderId="0" xfId="0" applyFont="1" applyFill="1"/>
    <xf numFmtId="0" fontId="0" fillId="19" borderId="0" xfId="0" applyFill="1"/>
    <xf numFmtId="0" fontId="49" fillId="14" borderId="1" xfId="0" applyFont="1" applyFill="1" applyBorder="1" applyAlignment="1">
      <alignment horizontal="center"/>
    </xf>
    <xf numFmtId="0" fontId="49" fillId="14" borderId="1" xfId="0" applyFont="1" applyFill="1" applyBorder="1"/>
    <xf numFmtId="0" fontId="51" fillId="16" borderId="1" xfId="0" applyFont="1" applyFill="1" applyBorder="1" applyAlignment="1">
      <alignment horizontal="center"/>
    </xf>
    <xf numFmtId="0" fontId="51" fillId="16" borderId="1" xfId="0" applyFont="1" applyFill="1" applyBorder="1" applyAlignment="1">
      <alignment horizontal="left" indent="1"/>
    </xf>
    <xf numFmtId="3" fontId="55" fillId="16" borderId="1" xfId="0" applyNumberFormat="1" applyFont="1" applyFill="1" applyBorder="1"/>
    <xf numFmtId="0" fontId="51" fillId="17" borderId="1" xfId="0" applyFont="1" applyFill="1" applyBorder="1" applyAlignment="1">
      <alignment horizontal="center"/>
    </xf>
    <xf numFmtId="0" fontId="51" fillId="17" borderId="1" xfId="0" applyFont="1" applyFill="1" applyBorder="1" applyAlignment="1">
      <alignment horizontal="left" indent="1"/>
    </xf>
    <xf numFmtId="3" fontId="55" fillId="17" borderId="1" xfId="0" applyNumberFormat="1" applyFont="1" applyFill="1" applyBorder="1"/>
    <xf numFmtId="0" fontId="49" fillId="18" borderId="1" xfId="0" applyFont="1" applyFill="1" applyBorder="1" applyAlignment="1">
      <alignment horizontal="center"/>
    </xf>
    <xf numFmtId="0" fontId="50" fillId="18" borderId="1" xfId="0" applyFont="1" applyFill="1" applyBorder="1" applyAlignment="1">
      <alignment horizontal="center"/>
    </xf>
    <xf numFmtId="0" fontId="49" fillId="10" borderId="1" xfId="0" applyFont="1" applyFill="1" applyBorder="1" applyAlignment="1">
      <alignment horizontal="center"/>
    </xf>
    <xf numFmtId="0" fontId="52" fillId="10" borderId="1" xfId="0" applyFont="1" applyFill="1" applyBorder="1"/>
    <xf numFmtId="168" fontId="57" fillId="15" borderId="1" xfId="163" applyNumberFormat="1" applyFont="1" applyFill="1" applyBorder="1" applyAlignment="1">
      <alignment horizontal="center"/>
    </xf>
    <xf numFmtId="3" fontId="53" fillId="15" borderId="1" xfId="0" applyNumberFormat="1" applyFont="1" applyFill="1" applyBorder="1"/>
    <xf numFmtId="3" fontId="53" fillId="14" borderId="1" xfId="0" applyNumberFormat="1" applyFont="1" applyFill="1" applyBorder="1"/>
    <xf numFmtId="3" fontId="53" fillId="10" borderId="1" xfId="0" applyNumberFormat="1" applyFont="1" applyFill="1" applyBorder="1"/>
    <xf numFmtId="168" fontId="57" fillId="10" borderId="1" xfId="163" applyNumberFormat="1" applyFont="1" applyFill="1" applyBorder="1" applyAlignment="1">
      <alignment horizontal="center"/>
    </xf>
    <xf numFmtId="0" fontId="58" fillId="10" borderId="1" xfId="0" applyFont="1" applyFill="1" applyBorder="1" applyAlignment="1">
      <alignment horizontal="center"/>
    </xf>
    <xf numFmtId="3" fontId="59" fillId="10" borderId="1" xfId="0" applyNumberFormat="1" applyFont="1" applyFill="1" applyBorder="1"/>
    <xf numFmtId="167" fontId="23" fillId="9" borderId="1" xfId="0" applyNumberFormat="1" applyFont="1" applyFill="1" applyBorder="1" applyAlignment="1">
      <alignment horizontal="center" vertical="top"/>
    </xf>
    <xf numFmtId="3" fontId="61" fillId="0" borderId="0" xfId="0" applyNumberFormat="1" applyFont="1"/>
    <xf numFmtId="170" fontId="16" fillId="0" borderId="0" xfId="1" applyNumberFormat="1" applyFont="1" applyFill="1" applyBorder="1" applyAlignment="1">
      <alignment horizontal="center" vertical="top"/>
    </xf>
    <xf numFmtId="164" fontId="16" fillId="11" borderId="1" xfId="1" applyFont="1" applyFill="1" applyBorder="1" applyAlignment="1">
      <alignment horizontal="center" vertical="top"/>
    </xf>
    <xf numFmtId="167" fontId="16" fillId="11" borderId="1" xfId="0" applyNumberFormat="1" applyFont="1" applyFill="1" applyBorder="1" applyAlignment="1">
      <alignment horizontal="center" vertical="top"/>
    </xf>
    <xf numFmtId="9" fontId="0" fillId="0" borderId="0" xfId="0" applyNumberFormat="1"/>
    <xf numFmtId="3" fontId="63" fillId="0" borderId="0" xfId="0" applyNumberFormat="1" applyFont="1"/>
    <xf numFmtId="167" fontId="43" fillId="6" borderId="1" xfId="1" applyNumberFormat="1" applyFont="1" applyFill="1" applyBorder="1" applyAlignment="1">
      <alignment vertical="top"/>
    </xf>
    <xf numFmtId="167" fontId="20" fillId="0" borderId="0" xfId="1" applyNumberFormat="1" applyFont="1" applyFill="1" applyBorder="1" applyAlignment="1">
      <alignment vertical="top"/>
    </xf>
    <xf numFmtId="0" fontId="0" fillId="9" borderId="0" xfId="0" applyFill="1"/>
    <xf numFmtId="0" fontId="0" fillId="20" borderId="0" xfId="0" applyFill="1"/>
    <xf numFmtId="167" fontId="65" fillId="9" borderId="0" xfId="1" applyNumberFormat="1" applyFont="1" applyFill="1"/>
    <xf numFmtId="0" fontId="64" fillId="10" borderId="0" xfId="0" applyFont="1" applyFill="1" applyAlignment="1">
      <alignment horizontal="right"/>
    </xf>
    <xf numFmtId="0" fontId="56" fillId="11" borderId="0" xfId="0" applyFont="1" applyFill="1"/>
    <xf numFmtId="0" fontId="0" fillId="11" borderId="0" xfId="0" applyFill="1"/>
    <xf numFmtId="0" fontId="56" fillId="20" borderId="0" xfId="0" applyFont="1" applyFill="1"/>
    <xf numFmtId="0" fontId="56" fillId="21" borderId="0" xfId="0" applyFont="1" applyFill="1"/>
    <xf numFmtId="0" fontId="0" fillId="21" borderId="0" xfId="0" applyFill="1"/>
    <xf numFmtId="0" fontId="56" fillId="9" borderId="0" xfId="0" applyFont="1" applyFill="1"/>
    <xf numFmtId="0" fontId="65" fillId="10" borderId="0" xfId="0" applyFont="1" applyFill="1"/>
    <xf numFmtId="0" fontId="66" fillId="10" borderId="0" xfId="0" applyFont="1" applyFill="1"/>
    <xf numFmtId="0" fontId="15" fillId="10" borderId="1" xfId="150" applyFont="1" applyFill="1" applyBorder="1" applyAlignment="1">
      <alignment horizontal="center" vertical="top"/>
    </xf>
    <xf numFmtId="167" fontId="67" fillId="9" borderId="1" xfId="1" applyNumberFormat="1" applyFont="1" applyFill="1" applyBorder="1" applyAlignment="1">
      <alignment horizontal="center" vertical="top"/>
    </xf>
    <xf numFmtId="0" fontId="68" fillId="11" borderId="0" xfId="0" applyFont="1" applyFill="1" applyAlignment="1">
      <alignment horizontal="right"/>
    </xf>
    <xf numFmtId="3" fontId="69" fillId="11" borderId="0" xfId="0" applyNumberFormat="1" applyFont="1" applyFill="1" applyAlignment="1">
      <alignment horizontal="left"/>
    </xf>
    <xf numFmtId="0" fontId="33" fillId="0" borderId="0" xfId="0" applyFont="1"/>
    <xf numFmtId="0" fontId="36" fillId="0" borderId="0" xfId="0" applyFont="1"/>
    <xf numFmtId="0" fontId="33" fillId="0" borderId="1" xfId="0" applyFont="1" applyBorder="1"/>
    <xf numFmtId="0" fontId="29" fillId="0" borderId="1" xfId="0" applyFont="1" applyBorder="1"/>
    <xf numFmtId="0" fontId="70" fillId="0" borderId="1" xfId="0" applyFont="1" applyBorder="1" applyAlignment="1">
      <alignment horizontal="center" vertical="center" wrapText="1"/>
    </xf>
    <xf numFmtId="0" fontId="70" fillId="0" borderId="1" xfId="150" applyFont="1" applyBorder="1" applyAlignment="1">
      <alignment horizontal="center" vertical="top"/>
    </xf>
    <xf numFmtId="0" fontId="71" fillId="16" borderId="1" xfId="150" applyFont="1" applyFill="1" applyBorder="1" applyAlignment="1">
      <alignment horizontal="center" vertical="top"/>
    </xf>
    <xf numFmtId="0" fontId="71" fillId="17" borderId="1" xfId="150" applyFont="1" applyFill="1" applyBorder="1" applyAlignment="1">
      <alignment horizontal="center" vertical="top"/>
    </xf>
    <xf numFmtId="0" fontId="36" fillId="0" borderId="1" xfId="0" applyFont="1" applyBorder="1"/>
    <xf numFmtId="0" fontId="29" fillId="0" borderId="1" xfId="0" applyFont="1" applyBorder="1" applyAlignment="1">
      <alignment horizontal="center"/>
    </xf>
    <xf numFmtId="0" fontId="72" fillId="0" borderId="1" xfId="150" applyFont="1" applyBorder="1" applyAlignment="1">
      <alignment vertical="top"/>
    </xf>
    <xf numFmtId="167" fontId="72" fillId="0" borderId="1" xfId="23" applyNumberFormat="1" applyFont="1" applyFill="1" applyBorder="1" applyAlignment="1">
      <alignment vertical="top"/>
    </xf>
    <xf numFmtId="167" fontId="70" fillId="0" borderId="1" xfId="23" applyNumberFormat="1" applyFont="1" applyFill="1" applyBorder="1" applyAlignment="1">
      <alignment vertical="top"/>
    </xf>
    <xf numFmtId="0" fontId="33" fillId="16" borderId="1" xfId="0" applyFont="1" applyFill="1" applyBorder="1" applyAlignment="1">
      <alignment horizontal="center"/>
    </xf>
    <xf numFmtId="0" fontId="33" fillId="17" borderId="1" xfId="0" applyFont="1" applyFill="1" applyBorder="1" applyAlignment="1">
      <alignment horizontal="center"/>
    </xf>
    <xf numFmtId="3" fontId="29" fillId="0" borderId="1" xfId="0" applyNumberFormat="1" applyFont="1" applyBorder="1"/>
    <xf numFmtId="0" fontId="74" fillId="0" borderId="1" xfId="0" applyFont="1" applyBorder="1"/>
    <xf numFmtId="3" fontId="72" fillId="0" borderId="1" xfId="0" applyNumberFormat="1" applyFont="1" applyBorder="1"/>
    <xf numFmtId="0" fontId="70" fillId="16" borderId="1" xfId="150" applyFont="1" applyFill="1" applyBorder="1" applyAlignment="1">
      <alignment horizontal="center" vertical="top"/>
    </xf>
    <xf numFmtId="0" fontId="70" fillId="17" borderId="1" xfId="150" applyFont="1" applyFill="1" applyBorder="1" applyAlignment="1">
      <alignment horizontal="center" vertical="top"/>
    </xf>
    <xf numFmtId="167" fontId="72" fillId="16" borderId="1" xfId="23" applyNumberFormat="1" applyFont="1" applyFill="1" applyBorder="1" applyAlignment="1">
      <alignment vertical="top"/>
    </xf>
    <xf numFmtId="167" fontId="72" fillId="17" borderId="1" xfId="23" applyNumberFormat="1" applyFont="1" applyFill="1" applyBorder="1" applyAlignment="1">
      <alignment vertical="top"/>
    </xf>
    <xf numFmtId="167" fontId="70" fillId="16" borderId="1" xfId="23" applyNumberFormat="1" applyFont="1" applyFill="1" applyBorder="1" applyAlignment="1">
      <alignment vertical="top"/>
    </xf>
    <xf numFmtId="167" fontId="70" fillId="17" borderId="1" xfId="23" applyNumberFormat="1" applyFont="1" applyFill="1" applyBorder="1" applyAlignment="1">
      <alignment vertical="top"/>
    </xf>
    <xf numFmtId="0" fontId="33" fillId="0" borderId="0" xfId="0" applyFont="1" applyAlignment="1">
      <alignment horizontal="center"/>
    </xf>
    <xf numFmtId="167" fontId="70" fillId="0" borderId="0" xfId="23" applyNumberFormat="1" applyFont="1" applyFill="1" applyBorder="1" applyAlignment="1">
      <alignment vertical="top"/>
    </xf>
    <xf numFmtId="3" fontId="75" fillId="0" borderId="1" xfId="0" applyNumberFormat="1" applyFont="1" applyBorder="1"/>
    <xf numFmtId="167" fontId="36" fillId="0" borderId="0" xfId="0" applyNumberFormat="1" applyFont="1"/>
    <xf numFmtId="0" fontId="36" fillId="0" borderId="0" xfId="0" applyFont="1" applyAlignment="1">
      <alignment horizontal="right"/>
    </xf>
    <xf numFmtId="3" fontId="20" fillId="0" borderId="1" xfId="0" applyNumberFormat="1" applyFont="1" applyBorder="1" applyAlignment="1">
      <alignment horizontal="right" vertical="top" wrapText="1"/>
    </xf>
    <xf numFmtId="3" fontId="20" fillId="23" borderId="1" xfId="0" applyNumberFormat="1" applyFont="1" applyFill="1" applyBorder="1" applyAlignment="1">
      <alignment horizontal="right" vertical="center" wrapText="1"/>
    </xf>
    <xf numFmtId="167" fontId="39" fillId="23" borderId="1" xfId="1" applyNumberFormat="1" applyFont="1" applyFill="1" applyBorder="1" applyAlignment="1">
      <alignment vertical="center"/>
    </xf>
    <xf numFmtId="168" fontId="39" fillId="23" borderId="1" xfId="163" applyNumberFormat="1" applyFont="1" applyFill="1" applyBorder="1" applyAlignment="1">
      <alignment vertical="center"/>
    </xf>
    <xf numFmtId="3" fontId="39" fillId="22" borderId="1" xfId="0" applyNumberFormat="1" applyFont="1" applyFill="1" applyBorder="1" applyAlignment="1">
      <alignment horizontal="right" vertical="center" wrapText="1"/>
    </xf>
    <xf numFmtId="167" fontId="39" fillId="22" borderId="1" xfId="1" applyNumberFormat="1" applyFont="1" applyFill="1" applyBorder="1" applyAlignment="1">
      <alignment vertical="center"/>
    </xf>
    <xf numFmtId="168" fontId="39" fillId="22" borderId="1" xfId="163" applyNumberFormat="1" applyFont="1" applyFill="1" applyBorder="1" applyAlignment="1">
      <alignment vertical="center"/>
    </xf>
    <xf numFmtId="0" fontId="42" fillId="0" borderId="1" xfId="0" applyFont="1" applyBorder="1" applyAlignment="1">
      <alignment horizontal="center" vertical="top" wrapText="1"/>
    </xf>
    <xf numFmtId="3" fontId="39" fillId="23" borderId="1" xfId="0" applyNumberFormat="1" applyFont="1" applyFill="1" applyBorder="1" applyAlignment="1">
      <alignment horizontal="right" vertical="center" wrapText="1"/>
    </xf>
    <xf numFmtId="167" fontId="72" fillId="23" borderId="1" xfId="23" applyNumberFormat="1" applyFont="1" applyFill="1" applyBorder="1" applyAlignment="1">
      <alignment vertical="top"/>
    </xf>
    <xf numFmtId="167" fontId="70" fillId="23" borderId="1" xfId="23" applyNumberFormat="1" applyFont="1" applyFill="1" applyBorder="1" applyAlignment="1">
      <alignment vertical="top"/>
    </xf>
    <xf numFmtId="0" fontId="42" fillId="23" borderId="1" xfId="0" applyFont="1" applyFill="1" applyBorder="1" applyAlignment="1">
      <alignment horizontal="center"/>
    </xf>
    <xf numFmtId="0" fontId="36" fillId="23" borderId="1" xfId="0" applyFont="1" applyFill="1" applyBorder="1" applyAlignment="1">
      <alignment horizontal="right"/>
    </xf>
    <xf numFmtId="0" fontId="42" fillId="23" borderId="1" xfId="0" applyFont="1" applyFill="1" applyBorder="1" applyAlignment="1">
      <alignment horizontal="right"/>
    </xf>
    <xf numFmtId="167" fontId="77" fillId="23" borderId="1" xfId="23" applyNumberFormat="1" applyFont="1" applyFill="1" applyBorder="1" applyAlignment="1">
      <alignment vertical="top"/>
    </xf>
    <xf numFmtId="168" fontId="72" fillId="23" borderId="1" xfId="163" applyNumberFormat="1" applyFont="1" applyFill="1" applyBorder="1" applyAlignment="1">
      <alignment vertical="top"/>
    </xf>
    <xf numFmtId="0" fontId="16" fillId="0" borderId="0" xfId="0" applyFont="1" applyAlignment="1">
      <alignment horizontal="right" vertical="top"/>
    </xf>
    <xf numFmtId="168" fontId="23" fillId="0" borderId="0" xfId="163" applyNumberFormat="1" applyFont="1" applyFill="1" applyBorder="1" applyAlignment="1">
      <alignment vertical="top"/>
    </xf>
    <xf numFmtId="0" fontId="79" fillId="0" borderId="0" xfId="0" applyFont="1"/>
    <xf numFmtId="0" fontId="42" fillId="0" borderId="0" xfId="0" applyFont="1"/>
    <xf numFmtId="0" fontId="80" fillId="0" borderId="1" xfId="0" applyFont="1" applyBorder="1" applyAlignment="1">
      <alignment horizontal="center" vertical="top"/>
    </xf>
    <xf numFmtId="0" fontId="80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 vertical="top"/>
    </xf>
    <xf numFmtId="0" fontId="81" fillId="0" borderId="1" xfId="0" applyFont="1" applyBorder="1" applyAlignment="1">
      <alignment vertical="top" wrapText="1"/>
    </xf>
    <xf numFmtId="0" fontId="81" fillId="0" borderId="1" xfId="0" applyFont="1" applyBorder="1" applyAlignment="1">
      <alignment vertical="top"/>
    </xf>
    <xf numFmtId="0" fontId="80" fillId="0" borderId="1" xfId="0" applyFont="1" applyBorder="1" applyAlignment="1">
      <alignment horizontal="center" vertical="top" wrapText="1"/>
    </xf>
    <xf numFmtId="0" fontId="81" fillId="0" borderId="1" xfId="0" applyFont="1" applyBorder="1" applyAlignment="1">
      <alignment horizontal="right" vertical="top"/>
    </xf>
    <xf numFmtId="167" fontId="81" fillId="0" borderId="1" xfId="0" applyNumberFormat="1" applyFont="1" applyBorder="1" applyAlignment="1">
      <alignment horizontal="right" vertical="top"/>
    </xf>
    <xf numFmtId="167" fontId="80" fillId="0" borderId="1" xfId="0" applyNumberFormat="1" applyFont="1" applyBorder="1" applyAlignment="1">
      <alignment horizontal="right" vertical="top"/>
    </xf>
    <xf numFmtId="0" fontId="82" fillId="0" borderId="1" xfId="0" applyFont="1" applyBorder="1" applyAlignment="1">
      <alignment horizontal="center" vertical="center" wrapText="1"/>
    </xf>
    <xf numFmtId="3" fontId="83" fillId="0" borderId="1" xfId="0" applyNumberFormat="1" applyFont="1" applyBorder="1" applyAlignment="1">
      <alignment horizontal="right" vertical="center" wrapText="1"/>
    </xf>
    <xf numFmtId="3" fontId="39" fillId="0" borderId="1" xfId="0" applyNumberFormat="1" applyFont="1" applyBorder="1" applyAlignment="1">
      <alignment horizontal="right" vertical="center" wrapText="1"/>
    </xf>
    <xf numFmtId="3" fontId="39" fillId="0" borderId="1" xfId="0" applyNumberFormat="1" applyFont="1" applyBorder="1" applyAlignment="1">
      <alignment horizontal="right" vertical="center"/>
    </xf>
    <xf numFmtId="3" fontId="82" fillId="0" borderId="1" xfId="0" applyNumberFormat="1" applyFont="1" applyBorder="1" applyAlignment="1">
      <alignment horizontal="right" vertical="center"/>
    </xf>
    <xf numFmtId="168" fontId="82" fillId="0" borderId="1" xfId="0" applyNumberFormat="1" applyFont="1" applyBorder="1" applyAlignment="1">
      <alignment horizontal="right" vertical="center"/>
    </xf>
    <xf numFmtId="168" fontId="83" fillId="0" borderId="1" xfId="0" applyNumberFormat="1" applyFont="1" applyBorder="1" applyAlignment="1">
      <alignment horizontal="right" vertical="center"/>
    </xf>
    <xf numFmtId="0" fontId="82" fillId="0" borderId="3" xfId="0" applyFont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71" fillId="0" borderId="1" xfId="150" applyFont="1" applyBorder="1" applyAlignment="1">
      <alignment horizontal="center" vertical="top"/>
    </xf>
    <xf numFmtId="168" fontId="15" fillId="0" borderId="1" xfId="163" applyNumberFormat="1" applyFont="1" applyFill="1" applyBorder="1" applyAlignment="1">
      <alignment horizontal="center" vertical="top"/>
    </xf>
    <xf numFmtId="167" fontId="15" fillId="0" borderId="1" xfId="0" applyNumberFormat="1" applyFont="1" applyBorder="1" applyAlignment="1">
      <alignment horizontal="center" vertical="top"/>
    </xf>
    <xf numFmtId="167" fontId="15" fillId="0" borderId="1" xfId="150" applyNumberFormat="1" applyFont="1" applyBorder="1" applyAlignment="1">
      <alignment horizontal="center" vertical="top"/>
    </xf>
    <xf numFmtId="167" fontId="15" fillId="0" borderId="1" xfId="150" applyNumberFormat="1" applyFont="1" applyBorder="1" applyAlignment="1">
      <alignment vertical="top"/>
    </xf>
    <xf numFmtId="167" fontId="15" fillId="0" borderId="1" xfId="0" applyNumberFormat="1" applyFont="1" applyBorder="1" applyAlignment="1">
      <alignment vertical="top"/>
    </xf>
    <xf numFmtId="168" fontId="15" fillId="0" borderId="1" xfId="163" applyNumberFormat="1" applyFont="1" applyBorder="1" applyAlignment="1">
      <alignment vertical="top"/>
    </xf>
    <xf numFmtId="167" fontId="15" fillId="0" borderId="1" xfId="0" applyNumberFormat="1" applyFont="1" applyBorder="1" applyAlignment="1">
      <alignment horizontal="right" vertical="top"/>
    </xf>
    <xf numFmtId="168" fontId="15" fillId="0" borderId="1" xfId="163" applyNumberFormat="1" applyFont="1" applyFill="1" applyBorder="1" applyAlignment="1">
      <alignment vertical="top"/>
    </xf>
    <xf numFmtId="3" fontId="36" fillId="0" borderId="0" xfId="0" applyNumberFormat="1" applyFont="1"/>
    <xf numFmtId="3" fontId="36" fillId="0" borderId="0" xfId="0" applyNumberFormat="1" applyFont="1" applyAlignment="1">
      <alignment vertical="top"/>
    </xf>
    <xf numFmtId="167" fontId="32" fillId="11" borderId="1" xfId="23" applyNumberFormat="1" applyFont="1" applyFill="1" applyBorder="1" applyAlignment="1">
      <alignment vertical="top"/>
    </xf>
    <xf numFmtId="167" fontId="23" fillId="9" borderId="1" xfId="25" applyNumberFormat="1" applyFont="1" applyFill="1" applyBorder="1" applyAlignment="1">
      <alignment horizontal="right" vertical="top"/>
    </xf>
    <xf numFmtId="167" fontId="23" fillId="9" borderId="1" xfId="1" applyNumberFormat="1" applyFont="1" applyFill="1" applyBorder="1" applyAlignment="1">
      <alignment horizontal="center" vertical="top"/>
    </xf>
    <xf numFmtId="0" fontId="23" fillId="9" borderId="1" xfId="0" applyFont="1" applyFill="1" applyBorder="1" applyAlignment="1">
      <alignment horizontal="center" vertical="top"/>
    </xf>
    <xf numFmtId="0" fontId="36" fillId="23" borderId="1" xfId="0" applyFont="1" applyFill="1" applyBorder="1"/>
    <xf numFmtId="0" fontId="36" fillId="23" borderId="1" xfId="0" applyFont="1" applyFill="1" applyBorder="1" applyAlignment="1">
      <alignment horizontal="center"/>
    </xf>
    <xf numFmtId="167" fontId="33" fillId="0" borderId="4" xfId="0" applyNumberFormat="1" applyFont="1" applyBorder="1"/>
    <xf numFmtId="167" fontId="84" fillId="0" borderId="4" xfId="0" applyNumberFormat="1" applyFont="1" applyBorder="1"/>
    <xf numFmtId="167" fontId="23" fillId="0" borderId="0" xfId="0" applyNumberFormat="1" applyFont="1" applyAlignment="1">
      <alignment vertical="top"/>
    </xf>
    <xf numFmtId="167" fontId="20" fillId="0" borderId="0" xfId="163" applyNumberFormat="1" applyFont="1" applyFill="1" applyBorder="1" applyAlignment="1">
      <alignment vertical="top"/>
    </xf>
    <xf numFmtId="9" fontId="37" fillId="0" borderId="0" xfId="163" applyFont="1" applyAlignment="1">
      <alignment vertical="top"/>
    </xf>
    <xf numFmtId="0" fontId="0" fillId="0" borderId="0" xfId="0" applyFill="1" applyProtection="1"/>
    <xf numFmtId="167" fontId="15" fillId="0" borderId="1" xfId="0" applyNumberFormat="1" applyFont="1" applyFill="1" applyBorder="1" applyAlignment="1">
      <alignment vertical="top"/>
    </xf>
    <xf numFmtId="167" fontId="15" fillId="0" borderId="1" xfId="0" applyNumberFormat="1" applyFont="1" applyFill="1" applyBorder="1" applyAlignment="1">
      <alignment horizontal="right" vertical="top"/>
    </xf>
    <xf numFmtId="167" fontId="15" fillId="0" borderId="1" xfId="150" applyNumberFormat="1" applyFont="1" applyFill="1" applyBorder="1" applyAlignment="1">
      <alignment vertical="top"/>
    </xf>
    <xf numFmtId="0" fontId="32" fillId="0" borderId="0" xfId="150" applyFont="1" applyAlignment="1">
      <alignment vertical="top"/>
    </xf>
    <xf numFmtId="0" fontId="15" fillId="0" borderId="1" xfId="150" applyFont="1" applyBorder="1" applyAlignment="1">
      <alignment vertical="top"/>
    </xf>
    <xf numFmtId="0" fontId="0" fillId="0" borderId="0" xfId="0" applyFill="1" applyAlignment="1" applyProtection="1">
      <alignment vertical="top"/>
    </xf>
    <xf numFmtId="168" fontId="32" fillId="0" borderId="1" xfId="163" applyNumberFormat="1" applyFont="1" applyFill="1" applyBorder="1" applyAlignment="1">
      <alignment vertical="top"/>
    </xf>
    <xf numFmtId="0" fontId="85" fillId="0" borderId="0" xfId="0" applyFont="1" applyFill="1" applyAlignment="1" applyProtection="1">
      <alignment vertical="top"/>
    </xf>
    <xf numFmtId="0" fontId="85" fillId="0" borderId="0" xfId="0" applyFont="1" applyFill="1" applyProtection="1"/>
    <xf numFmtId="3" fontId="85" fillId="0" borderId="0" xfId="0" applyNumberFormat="1" applyFont="1" applyFill="1" applyProtection="1"/>
    <xf numFmtId="0" fontId="86" fillId="3" borderId="1" xfId="0" applyFont="1" applyFill="1" applyBorder="1" applyProtection="1"/>
    <xf numFmtId="0" fontId="86" fillId="3" borderId="1" xfId="0" applyFont="1" applyFill="1" applyBorder="1" applyAlignment="1" applyProtection="1">
      <alignment horizontal="center"/>
    </xf>
    <xf numFmtId="0" fontId="86" fillId="0" borderId="1" xfId="0" applyFont="1" applyFill="1" applyBorder="1" applyProtection="1"/>
    <xf numFmtId="3" fontId="86" fillId="16" borderId="1" xfId="0" applyNumberFormat="1" applyFont="1" applyFill="1" applyBorder="1" applyAlignment="1" applyProtection="1">
      <alignment vertical="top"/>
    </xf>
    <xf numFmtId="0" fontId="87" fillId="0" borderId="1" xfId="0" applyFont="1" applyFill="1" applyBorder="1" applyAlignment="1" applyProtection="1">
      <alignment vertical="top" wrapText="1"/>
    </xf>
    <xf numFmtId="0" fontId="86" fillId="0" borderId="1" xfId="0" applyFont="1" applyFill="1" applyBorder="1" applyAlignment="1" applyProtection="1">
      <alignment vertical="top"/>
    </xf>
    <xf numFmtId="3" fontId="86" fillId="0" borderId="1" xfId="0" applyNumberFormat="1" applyFont="1" applyFill="1" applyBorder="1" applyAlignment="1" applyProtection="1">
      <alignment vertical="top"/>
    </xf>
    <xf numFmtId="0" fontId="87" fillId="0" borderId="1" xfId="0" applyFont="1" applyFill="1" applyBorder="1" applyAlignment="1" applyProtection="1">
      <alignment vertical="top"/>
    </xf>
    <xf numFmtId="3" fontId="87" fillId="16" borderId="1" xfId="0" applyNumberFormat="1" applyFont="1" applyFill="1" applyBorder="1" applyAlignment="1" applyProtection="1">
      <alignment vertical="top"/>
    </xf>
    <xf numFmtId="0" fontId="87" fillId="0" borderId="1" xfId="0" applyFont="1" applyBorder="1" applyAlignment="1">
      <alignment vertical="top" wrapText="1"/>
    </xf>
    <xf numFmtId="0" fontId="86" fillId="24" borderId="1" xfId="0" applyFont="1" applyFill="1" applyBorder="1" applyProtection="1"/>
    <xf numFmtId="3" fontId="86" fillId="0" borderId="4" xfId="0" applyNumberFormat="1" applyFont="1" applyFill="1" applyBorder="1" applyAlignment="1" applyProtection="1">
      <alignment vertical="top"/>
    </xf>
    <xf numFmtId="3" fontId="87" fillId="0" borderId="1" xfId="0" applyNumberFormat="1" applyFont="1" applyFill="1" applyBorder="1" applyAlignment="1" applyProtection="1">
      <alignment vertical="top"/>
    </xf>
    <xf numFmtId="167" fontId="38" fillId="0" borderId="1" xfId="1" applyNumberFormat="1" applyFont="1" applyFill="1" applyBorder="1" applyAlignment="1">
      <alignment vertical="top"/>
    </xf>
    <xf numFmtId="168" fontId="38" fillId="0" borderId="4" xfId="163" applyNumberFormat="1" applyFont="1" applyFill="1" applyBorder="1" applyAlignment="1">
      <alignment vertical="top"/>
    </xf>
    <xf numFmtId="168" fontId="38" fillId="0" borderId="1" xfId="163" applyNumberFormat="1" applyFont="1" applyBorder="1" applyAlignment="1">
      <alignment vertical="top"/>
    </xf>
    <xf numFmtId="168" fontId="38" fillId="0" borderId="3" xfId="163" applyNumberFormat="1" applyFont="1" applyFill="1" applyBorder="1" applyAlignment="1">
      <alignment horizontal="right" vertical="top"/>
    </xf>
    <xf numFmtId="0" fontId="89" fillId="0" borderId="1" xfId="0" applyFont="1" applyFill="1" applyBorder="1" applyAlignment="1" applyProtection="1">
      <alignment vertical="top"/>
    </xf>
    <xf numFmtId="0" fontId="89" fillId="0" borderId="1" xfId="0" applyFont="1" applyFill="1" applyBorder="1" applyAlignment="1" applyProtection="1">
      <alignment vertical="top" wrapText="1"/>
    </xf>
    <xf numFmtId="3" fontId="89" fillId="17" borderId="1" xfId="0" applyNumberFormat="1" applyFont="1" applyFill="1" applyBorder="1" applyAlignment="1" applyProtection="1">
      <alignment vertical="top"/>
    </xf>
    <xf numFmtId="3" fontId="89" fillId="0" borderId="1" xfId="0" applyNumberFormat="1" applyFont="1" applyFill="1" applyBorder="1" applyAlignment="1" applyProtection="1">
      <alignment vertical="top"/>
    </xf>
    <xf numFmtId="3" fontId="89" fillId="16" borderId="1" xfId="0" applyNumberFormat="1" applyFont="1" applyFill="1" applyBorder="1" applyAlignment="1" applyProtection="1">
      <alignment vertical="top"/>
    </xf>
    <xf numFmtId="0" fontId="89" fillId="0" borderId="1" xfId="0" applyFont="1" applyBorder="1" applyAlignment="1">
      <alignment vertical="top" wrapText="1"/>
    </xf>
    <xf numFmtId="3" fontId="85" fillId="0" borderId="0" xfId="0" applyNumberFormat="1" applyFont="1" applyFill="1" applyAlignment="1" applyProtection="1">
      <alignment vertical="top"/>
    </xf>
    <xf numFmtId="0" fontId="86" fillId="0" borderId="1" xfId="0" applyFont="1" applyFill="1" applyBorder="1" applyAlignment="1" applyProtection="1">
      <alignment vertical="top" wrapText="1"/>
    </xf>
    <xf numFmtId="0" fontId="91" fillId="0" borderId="0" xfId="0" applyFont="1" applyFill="1" applyProtection="1"/>
    <xf numFmtId="0" fontId="88" fillId="0" borderId="0" xfId="0" applyFont="1" applyFill="1" applyBorder="1" applyAlignment="1" applyProtection="1">
      <alignment vertical="top"/>
    </xf>
    <xf numFmtId="0" fontId="88" fillId="0" borderId="0" xfId="0" applyFont="1" applyFill="1" applyBorder="1" applyAlignment="1" applyProtection="1">
      <alignment vertical="top" wrapText="1"/>
    </xf>
    <xf numFmtId="3" fontId="88" fillId="0" borderId="0" xfId="0" applyNumberFormat="1" applyFont="1" applyFill="1" applyBorder="1" applyAlignment="1" applyProtection="1">
      <alignment vertical="top"/>
    </xf>
    <xf numFmtId="3" fontId="87" fillId="0" borderId="1" xfId="0" applyNumberFormat="1" applyFont="1" applyFill="1" applyBorder="1" applyAlignment="1" applyProtection="1">
      <alignment vertical="top" wrapText="1"/>
    </xf>
    <xf numFmtId="3" fontId="86" fillId="16" borderId="1" xfId="0" applyNumberFormat="1" applyFont="1" applyFill="1" applyBorder="1" applyAlignment="1" applyProtection="1">
      <alignment vertical="top" wrapText="1"/>
    </xf>
    <xf numFmtId="0" fontId="90" fillId="0" borderId="1" xfId="0" applyFont="1" applyBorder="1" applyAlignment="1">
      <alignment vertical="top" wrapText="1"/>
    </xf>
    <xf numFmtId="0" fontId="86" fillId="3" borderId="1" xfId="0" applyFont="1" applyFill="1" applyBorder="1" applyAlignment="1" applyProtection="1"/>
    <xf numFmtId="0" fontId="86" fillId="24" borderId="1" xfId="0" applyFont="1" applyFill="1" applyBorder="1" applyAlignment="1" applyProtection="1"/>
    <xf numFmtId="0" fontId="0" fillId="0" borderId="0" xfId="0" applyFill="1" applyAlignment="1" applyProtection="1"/>
    <xf numFmtId="0" fontId="92" fillId="8" borderId="1" xfId="0" applyFont="1" applyFill="1" applyBorder="1" applyAlignment="1">
      <alignment vertical="top" wrapText="1"/>
    </xf>
    <xf numFmtId="167" fontId="32" fillId="0" borderId="1" xfId="0" applyNumberFormat="1" applyFont="1" applyFill="1" applyBorder="1" applyAlignment="1">
      <alignment horizontal="right" vertical="top"/>
    </xf>
    <xf numFmtId="3" fontId="87" fillId="0" borderId="4" xfId="0" applyNumberFormat="1" applyFont="1" applyFill="1" applyBorder="1" applyAlignment="1" applyProtection="1">
      <alignment vertical="top"/>
    </xf>
    <xf numFmtId="0" fontId="87" fillId="0" borderId="1" xfId="0" applyFont="1" applyFill="1" applyBorder="1" applyProtection="1"/>
    <xf numFmtId="0" fontId="36" fillId="0" borderId="0" xfId="0" applyFont="1" applyAlignment="1">
      <alignment horizontal="center"/>
    </xf>
    <xf numFmtId="0" fontId="93" fillId="4" borderId="1" xfId="0" applyFont="1" applyFill="1" applyBorder="1" applyAlignment="1" applyProtection="1">
      <alignment vertical="top"/>
    </xf>
    <xf numFmtId="0" fontId="93" fillId="4" borderId="1" xfId="0" applyFont="1" applyFill="1" applyBorder="1" applyAlignment="1" applyProtection="1">
      <alignment vertical="top" wrapText="1"/>
    </xf>
    <xf numFmtId="3" fontId="16" fillId="0" borderId="0" xfId="0" applyNumberFormat="1" applyFont="1" applyAlignment="1">
      <alignment vertical="top" wrapText="1"/>
    </xf>
    <xf numFmtId="16" fontId="16" fillId="0" borderId="0" xfId="0" quotePrefix="1" applyNumberFormat="1" applyFont="1" applyAlignment="1">
      <alignment vertical="top"/>
    </xf>
    <xf numFmtId="0" fontId="94" fillId="4" borderId="1" xfId="0" applyFont="1" applyFill="1" applyBorder="1" applyAlignment="1" applyProtection="1">
      <alignment vertical="top" wrapText="1"/>
    </xf>
    <xf numFmtId="3" fontId="93" fillId="4" borderId="1" xfId="0" applyNumberFormat="1" applyFont="1" applyFill="1" applyBorder="1" applyAlignment="1" applyProtection="1">
      <alignment vertical="top" wrapText="1"/>
    </xf>
    <xf numFmtId="3" fontId="94" fillId="4" borderId="1" xfId="0" applyNumberFormat="1" applyFont="1" applyFill="1" applyBorder="1" applyAlignment="1" applyProtection="1">
      <alignment vertical="top" wrapText="1"/>
    </xf>
    <xf numFmtId="0" fontId="89" fillId="4" borderId="1" xfId="0" applyFont="1" applyFill="1" applyBorder="1" applyAlignment="1" applyProtection="1">
      <alignment vertical="top" wrapText="1"/>
    </xf>
    <xf numFmtId="0" fontId="89" fillId="4" borderId="1" xfId="0" applyFont="1" applyFill="1" applyBorder="1" applyAlignment="1">
      <alignment vertical="top" wrapText="1"/>
    </xf>
    <xf numFmtId="167" fontId="95" fillId="4" borderId="1" xfId="1" applyNumberFormat="1" applyFont="1" applyFill="1" applyBorder="1" applyAlignment="1">
      <alignment vertical="top"/>
    </xf>
    <xf numFmtId="167" fontId="92" fillId="4" borderId="1" xfId="1" applyNumberFormat="1" applyFont="1" applyFill="1" applyBorder="1" applyAlignment="1">
      <alignment vertical="top"/>
    </xf>
    <xf numFmtId="3" fontId="90" fillId="0" borderId="1" xfId="0" applyNumberFormat="1" applyFont="1" applyFill="1" applyBorder="1" applyAlignment="1" applyProtection="1">
      <alignment vertical="top" wrapText="1"/>
    </xf>
    <xf numFmtId="0" fontId="87" fillId="0" borderId="1" xfId="0" applyFont="1" applyFill="1" applyBorder="1" applyAlignment="1">
      <alignment vertical="top" wrapText="1"/>
    </xf>
    <xf numFmtId="0" fontId="44" fillId="0" borderId="1" xfId="0" applyFont="1" applyBorder="1" applyAlignment="1">
      <alignment vertical="top" wrapText="1"/>
    </xf>
    <xf numFmtId="0" fontId="16" fillId="8" borderId="1" xfId="151" applyFont="1" applyFill="1" applyBorder="1" applyAlignment="1">
      <alignment vertical="top" wrapText="1"/>
    </xf>
    <xf numFmtId="167" fontId="16" fillId="0" borderId="1" xfId="1" applyNumberFormat="1" applyFont="1" applyFill="1" applyBorder="1" applyAlignment="1">
      <alignment vertical="top"/>
    </xf>
    <xf numFmtId="167" fontId="43" fillId="0" borderId="1" xfId="1" applyNumberFormat="1" applyFont="1" applyFill="1" applyBorder="1" applyAlignment="1">
      <alignment vertical="top"/>
    </xf>
    <xf numFmtId="0" fontId="0" fillId="0" borderId="1" xfId="0" applyFill="1" applyBorder="1" applyProtection="1"/>
    <xf numFmtId="3" fontId="0" fillId="0" borderId="1" xfId="0" applyNumberFormat="1" applyFill="1" applyBorder="1" applyProtection="1"/>
    <xf numFmtId="0" fontId="0" fillId="0" borderId="1" xfId="0" applyBorder="1"/>
    <xf numFmtId="0" fontId="30" fillId="26" borderId="1" xfId="0" applyFont="1" applyFill="1" applyBorder="1" applyAlignment="1" applyProtection="1">
      <alignment horizontal="center"/>
    </xf>
    <xf numFmtId="14" fontId="0" fillId="0" borderId="1" xfId="0" applyNumberFormat="1" applyFill="1" applyBorder="1" applyProtection="1"/>
    <xf numFmtId="0" fontId="96" fillId="25" borderId="0" xfId="0" applyNumberFormat="1" applyFont="1" applyFill="1" applyAlignment="1">
      <alignment vertical="top"/>
    </xf>
    <xf numFmtId="0" fontId="33" fillId="0" borderId="3" xfId="0" applyFont="1" applyBorder="1" applyAlignment="1"/>
    <xf numFmtId="0" fontId="33" fillId="0" borderId="5" xfId="0" applyFont="1" applyBorder="1" applyAlignment="1"/>
    <xf numFmtId="0" fontId="80" fillId="10" borderId="3" xfId="0" applyFont="1" applyFill="1" applyBorder="1" applyAlignment="1">
      <alignment horizontal="center"/>
    </xf>
    <xf numFmtId="167" fontId="72" fillId="10" borderId="1" xfId="23" applyNumberFormat="1" applyFont="1" applyFill="1" applyBorder="1" applyAlignment="1">
      <alignment vertical="top"/>
    </xf>
    <xf numFmtId="167" fontId="33" fillId="10" borderId="1" xfId="0" applyNumberFormat="1" applyFont="1" applyFill="1" applyBorder="1" applyAlignment="1">
      <alignment horizontal="center"/>
    </xf>
    <xf numFmtId="0" fontId="80" fillId="17" borderId="3" xfId="0" applyFont="1" applyFill="1" applyBorder="1" applyAlignment="1">
      <alignment horizontal="center"/>
    </xf>
    <xf numFmtId="167" fontId="33" fillId="17" borderId="1" xfId="0" applyNumberFormat="1" applyFont="1" applyFill="1" applyBorder="1" applyAlignment="1">
      <alignment horizontal="center"/>
    </xf>
    <xf numFmtId="0" fontId="98" fillId="0" borderId="0" xfId="0" applyFont="1"/>
    <xf numFmtId="0" fontId="30" fillId="27" borderId="1" xfId="0" applyFont="1" applyFill="1" applyBorder="1" applyAlignment="1" applyProtection="1">
      <alignment horizontal="center"/>
    </xf>
    <xf numFmtId="0" fontId="97" fillId="28" borderId="1" xfId="0" applyFont="1" applyFill="1" applyBorder="1" applyAlignment="1" applyProtection="1">
      <alignment horizontal="center"/>
    </xf>
    <xf numFmtId="0" fontId="0" fillId="0" borderId="1" xfId="0" applyNumberFormat="1" applyFill="1" applyBorder="1" applyProtection="1"/>
    <xf numFmtId="167" fontId="73" fillId="0" borderId="0" xfId="0" applyNumberFormat="1" applyFont="1"/>
    <xf numFmtId="0" fontId="33" fillId="0" borderId="4" xfId="0" applyFont="1" applyBorder="1" applyAlignment="1"/>
    <xf numFmtId="14" fontId="0" fillId="0" borderId="0" xfId="0" applyNumberFormat="1" applyFill="1" applyBorder="1" applyProtection="1"/>
    <xf numFmtId="0" fontId="0" fillId="0" borderId="0" xfId="0" applyBorder="1"/>
    <xf numFmtId="3" fontId="30" fillId="9" borderId="1" xfId="0" applyNumberFormat="1" applyFont="1" applyFill="1" applyBorder="1" applyProtection="1"/>
    <xf numFmtId="3" fontId="30" fillId="23" borderId="1" xfId="0" applyNumberFormat="1" applyFont="1" applyFill="1" applyBorder="1" applyProtection="1"/>
    <xf numFmtId="14" fontId="30" fillId="9" borderId="1" xfId="0" applyNumberFormat="1" applyFont="1" applyFill="1" applyBorder="1" applyAlignment="1" applyProtection="1">
      <alignment horizontal="right"/>
    </xf>
    <xf numFmtId="14" fontId="30" fillId="23" borderId="1" xfId="0" applyNumberFormat="1" applyFont="1" applyFill="1" applyBorder="1" applyAlignment="1" applyProtection="1">
      <alignment horizontal="right"/>
    </xf>
    <xf numFmtId="167" fontId="16" fillId="22" borderId="1" xfId="23" applyNumberFormat="1" applyFont="1" applyFill="1" applyBorder="1" applyAlignment="1">
      <alignment vertical="top"/>
    </xf>
    <xf numFmtId="167" fontId="15" fillId="22" borderId="1" xfId="23" applyNumberFormat="1" applyFont="1" applyFill="1" applyBorder="1" applyAlignment="1">
      <alignment vertical="top"/>
    </xf>
    <xf numFmtId="3" fontId="30" fillId="26" borderId="1" xfId="0" applyNumberFormat="1" applyFont="1" applyFill="1" applyBorder="1" applyAlignment="1" applyProtection="1">
      <alignment horizontal="center"/>
    </xf>
    <xf numFmtId="3" fontId="99" fillId="26" borderId="1" xfId="0" applyNumberFormat="1" applyFont="1" applyFill="1" applyBorder="1" applyAlignment="1" applyProtection="1">
      <alignment horizontal="center"/>
    </xf>
    <xf numFmtId="14" fontId="99" fillId="9" borderId="1" xfId="0" applyNumberFormat="1" applyFont="1" applyFill="1" applyBorder="1" applyAlignment="1" applyProtection="1">
      <alignment horizontal="right"/>
    </xf>
    <xf numFmtId="3" fontId="99" fillId="9" borderId="1" xfId="0" applyNumberFormat="1" applyFont="1" applyFill="1" applyBorder="1" applyProtection="1"/>
    <xf numFmtId="14" fontId="99" fillId="23" borderId="1" xfId="0" applyNumberFormat="1" applyFont="1" applyFill="1" applyBorder="1" applyAlignment="1" applyProtection="1">
      <alignment horizontal="right"/>
    </xf>
    <xf numFmtId="3" fontId="99" fillId="23" borderId="1" xfId="0" applyNumberFormat="1" applyFont="1" applyFill="1" applyBorder="1" applyProtection="1"/>
    <xf numFmtId="3" fontId="99" fillId="10" borderId="1" xfId="0" applyNumberFormat="1" applyFont="1" applyFill="1" applyBorder="1" applyProtection="1"/>
    <xf numFmtId="0" fontId="99" fillId="10" borderId="1" xfId="0" applyFont="1" applyFill="1" applyBorder="1" applyAlignment="1">
      <alignment horizontal="right"/>
    </xf>
    <xf numFmtId="0" fontId="99" fillId="10" borderId="1" xfId="0" applyFont="1" applyFill="1" applyBorder="1" applyAlignment="1">
      <alignment horizontal="center"/>
    </xf>
    <xf numFmtId="14" fontId="0" fillId="0" borderId="1" xfId="0" applyNumberFormat="1" applyBorder="1"/>
    <xf numFmtId="168" fontId="47" fillId="15" borderId="0" xfId="163" applyNumberFormat="1" applyFont="1" applyFill="1" applyAlignment="1">
      <alignment horizontal="center"/>
    </xf>
    <xf numFmtId="0" fontId="45" fillId="5" borderId="0" xfId="0" applyFont="1" applyFill="1" applyAlignment="1">
      <alignment horizontal="right" vertical="center"/>
    </xf>
    <xf numFmtId="3" fontId="46" fillId="15" borderId="0" xfId="0" applyNumberFormat="1" applyFont="1" applyFill="1" applyAlignment="1">
      <alignment horizontal="center" vertical="center"/>
    </xf>
    <xf numFmtId="0" fontId="45" fillId="9" borderId="0" xfId="0" applyFont="1" applyFill="1" applyAlignment="1">
      <alignment horizontal="center"/>
    </xf>
    <xf numFmtId="0" fontId="46" fillId="9" borderId="0" xfId="0" applyFont="1" applyFill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168" fontId="47" fillId="14" borderId="0" xfId="163" applyNumberFormat="1" applyFont="1" applyFill="1" applyAlignment="1">
      <alignment horizontal="center" vertical="center"/>
    </xf>
    <xf numFmtId="0" fontId="45" fillId="9" borderId="0" xfId="0" applyFont="1" applyFill="1" applyAlignment="1">
      <alignment horizontal="right" vertical="center"/>
    </xf>
    <xf numFmtId="0" fontId="45" fillId="5" borderId="0" xfId="0" applyFont="1" applyFill="1" applyAlignment="1">
      <alignment horizontal="center" vertical="center"/>
    </xf>
    <xf numFmtId="3" fontId="46" fillId="14" borderId="0" xfId="0" applyNumberFormat="1" applyFont="1" applyFill="1" applyAlignment="1">
      <alignment horizontal="center" vertical="center"/>
    </xf>
    <xf numFmtId="0" fontId="45" fillId="5" borderId="0" xfId="0" applyFont="1" applyFill="1" applyAlignment="1">
      <alignment horizontal="center"/>
    </xf>
    <xf numFmtId="168" fontId="47" fillId="15" borderId="0" xfId="163" applyNumberFormat="1" applyFont="1" applyFill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49" fillId="0" borderId="6" xfId="0" applyFont="1" applyBorder="1" applyAlignment="1">
      <alignment horizontal="left" vertical="center"/>
    </xf>
    <xf numFmtId="0" fontId="49" fillId="0" borderId="2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68" fillId="11" borderId="0" xfId="0" applyFont="1" applyFill="1" applyAlignment="1">
      <alignment horizontal="right"/>
    </xf>
    <xf numFmtId="3" fontId="69" fillId="11" borderId="0" xfId="0" applyNumberFormat="1" applyFont="1" applyFill="1" applyAlignment="1">
      <alignment horizontal="left"/>
    </xf>
    <xf numFmtId="0" fontId="69" fillId="11" borderId="0" xfId="0" applyFont="1" applyFill="1" applyAlignment="1">
      <alignment horizontal="left"/>
    </xf>
    <xf numFmtId="0" fontId="76" fillId="22" borderId="1" xfId="0" applyFont="1" applyFill="1" applyBorder="1" applyAlignment="1">
      <alignment horizontal="center"/>
    </xf>
    <xf numFmtId="0" fontId="49" fillId="15" borderId="2" xfId="0" applyFont="1" applyFill="1" applyBorder="1" applyAlignment="1">
      <alignment horizontal="center" vertical="center"/>
    </xf>
    <xf numFmtId="0" fontId="49" fillId="15" borderId="6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left" vertical="center"/>
    </xf>
    <xf numFmtId="0" fontId="49" fillId="15" borderId="6" xfId="0" applyFont="1" applyFill="1" applyBorder="1" applyAlignment="1">
      <alignment horizontal="left" vertical="center"/>
    </xf>
    <xf numFmtId="168" fontId="47" fillId="11" borderId="0" xfId="163" applyNumberFormat="1" applyFont="1" applyFill="1" applyAlignment="1">
      <alignment horizontal="center" vertical="center"/>
    </xf>
    <xf numFmtId="0" fontId="45" fillId="23" borderId="0" xfId="0" applyFont="1" applyFill="1" applyAlignment="1">
      <alignment horizontal="center" vertical="center"/>
    </xf>
    <xf numFmtId="3" fontId="46" fillId="11" borderId="0" xfId="0" applyNumberFormat="1" applyFont="1" applyFill="1" applyAlignment="1">
      <alignment horizontal="center" vertical="center"/>
    </xf>
    <xf numFmtId="0" fontId="46" fillId="23" borderId="0" xfId="0" applyFont="1" applyFill="1" applyAlignment="1">
      <alignment horizontal="center" vertical="center" wrapText="1"/>
    </xf>
    <xf numFmtId="0" fontId="56" fillId="22" borderId="7" xfId="0" applyFont="1" applyFill="1" applyBorder="1" applyAlignment="1">
      <alignment horizontal="center"/>
    </xf>
    <xf numFmtId="167" fontId="65" fillId="10" borderId="0" xfId="1" applyNumberFormat="1" applyFont="1" applyFill="1" applyAlignment="1">
      <alignment horizontal="right"/>
    </xf>
    <xf numFmtId="0" fontId="64" fillId="9" borderId="0" xfId="0" applyFont="1" applyFill="1" applyAlignment="1">
      <alignment horizontal="right"/>
    </xf>
    <xf numFmtId="0" fontId="0" fillId="11" borderId="0" xfId="0" applyFill="1" applyAlignment="1">
      <alignment horizontal="center"/>
    </xf>
    <xf numFmtId="0" fontId="15" fillId="0" borderId="3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168" fontId="15" fillId="0" borderId="3" xfId="163" applyNumberFormat="1" applyFont="1" applyFill="1" applyBorder="1" applyAlignment="1">
      <alignment horizontal="center" vertical="top"/>
    </xf>
    <xf numFmtId="168" fontId="15" fillId="0" borderId="4" xfId="163" applyNumberFormat="1" applyFont="1" applyFill="1" applyBorder="1" applyAlignment="1">
      <alignment horizontal="center" vertical="top"/>
    </xf>
    <xf numFmtId="168" fontId="15" fillId="0" borderId="1" xfId="163" applyNumberFormat="1" applyFont="1" applyFill="1" applyBorder="1" applyAlignment="1">
      <alignment horizontal="center" vertical="top"/>
    </xf>
    <xf numFmtId="167" fontId="15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167" fontId="15" fillId="0" borderId="2" xfId="0" applyNumberFormat="1" applyFont="1" applyBorder="1" applyAlignment="1">
      <alignment horizontal="center" vertical="center"/>
    </xf>
    <xf numFmtId="167" fontId="15" fillId="0" borderId="8" xfId="0" applyNumberFormat="1" applyFont="1" applyBorder="1" applyAlignment="1">
      <alignment horizontal="center" vertical="center"/>
    </xf>
    <xf numFmtId="167" fontId="15" fillId="0" borderId="6" xfId="0" applyNumberFormat="1" applyFont="1" applyBorder="1" applyAlignment="1">
      <alignment horizontal="center" vertical="center"/>
    </xf>
    <xf numFmtId="168" fontId="15" fillId="0" borderId="2" xfId="163" applyNumberFormat="1" applyFont="1" applyBorder="1" applyAlignment="1">
      <alignment horizontal="center" vertical="center"/>
    </xf>
    <xf numFmtId="168" fontId="15" fillId="0" borderId="8" xfId="163" applyNumberFormat="1" applyFont="1" applyBorder="1" applyAlignment="1">
      <alignment horizontal="center" vertical="center"/>
    </xf>
    <xf numFmtId="168" fontId="15" fillId="0" borderId="6" xfId="163" applyNumberFormat="1" applyFont="1" applyBorder="1" applyAlignment="1">
      <alignment horizontal="center" vertical="center"/>
    </xf>
    <xf numFmtId="0" fontId="15" fillId="10" borderId="3" xfId="150" applyFont="1" applyFill="1" applyBorder="1" applyAlignment="1">
      <alignment horizontal="center" vertical="top"/>
    </xf>
    <xf numFmtId="0" fontId="15" fillId="10" borderId="5" xfId="150" applyFont="1" applyFill="1" applyBorder="1" applyAlignment="1">
      <alignment horizontal="center" vertical="top"/>
    </xf>
    <xf numFmtId="0" fontId="15" fillId="10" borderId="4" xfId="150" applyFont="1" applyFill="1" applyBorder="1" applyAlignment="1">
      <alignment horizontal="center" vertical="top"/>
    </xf>
    <xf numFmtId="0" fontId="15" fillId="0" borderId="3" xfId="150" applyFont="1" applyBorder="1" applyAlignment="1">
      <alignment horizontal="left" vertical="top"/>
    </xf>
    <xf numFmtId="0" fontId="15" fillId="0" borderId="5" xfId="150" applyFont="1" applyBorder="1" applyAlignment="1">
      <alignment horizontal="left" vertical="top"/>
    </xf>
    <xf numFmtId="0" fontId="15" fillId="0" borderId="4" xfId="150" applyFont="1" applyBorder="1" applyAlignment="1">
      <alignment horizontal="left" vertical="top"/>
    </xf>
    <xf numFmtId="167" fontId="15" fillId="0" borderId="3" xfId="0" applyNumberFormat="1" applyFont="1" applyBorder="1" applyAlignment="1">
      <alignment horizontal="center" vertical="top"/>
    </xf>
    <xf numFmtId="167" fontId="15" fillId="0" borderId="4" xfId="0" applyNumberFormat="1" applyFont="1" applyBorder="1" applyAlignment="1">
      <alignment horizontal="center" vertical="top"/>
    </xf>
    <xf numFmtId="167" fontId="15" fillId="0" borderId="1" xfId="0" applyNumberFormat="1" applyFont="1" applyBorder="1" applyAlignment="1">
      <alignment horizontal="center" vertical="center"/>
    </xf>
    <xf numFmtId="168" fontId="15" fillId="0" borderId="1" xfId="163" applyNumberFormat="1" applyFont="1" applyBorder="1" applyAlignment="1">
      <alignment horizontal="center" vertical="center"/>
    </xf>
    <xf numFmtId="0" fontId="15" fillId="0" borderId="1" xfId="150" applyFont="1" applyBorder="1" applyAlignment="1">
      <alignment horizontal="left" vertical="top"/>
    </xf>
    <xf numFmtId="0" fontId="15" fillId="10" borderId="2" xfId="15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5" fillId="10" borderId="2" xfId="15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167" fontId="34" fillId="10" borderId="3" xfId="1" applyNumberFormat="1" applyFont="1" applyFill="1" applyBorder="1" applyAlignment="1">
      <alignment horizontal="center" vertical="top"/>
    </xf>
    <xf numFmtId="167" fontId="34" fillId="10" borderId="4" xfId="1" applyNumberFormat="1" applyFont="1" applyFill="1" applyBorder="1" applyAlignment="1">
      <alignment horizontal="center" vertical="top"/>
    </xf>
    <xf numFmtId="0" fontId="34" fillId="10" borderId="2" xfId="0" applyFont="1" applyFill="1" applyBorder="1" applyAlignment="1">
      <alignment horizontal="center" vertical="top"/>
    </xf>
    <xf numFmtId="0" fontId="34" fillId="10" borderId="6" xfId="0" applyFont="1" applyFill="1" applyBorder="1" applyAlignment="1">
      <alignment horizontal="center" vertical="top"/>
    </xf>
    <xf numFmtId="0" fontId="73" fillId="0" borderId="1" xfId="0" applyFont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3" fillId="5" borderId="1" xfId="0" applyFont="1" applyFill="1" applyBorder="1" applyAlignment="1">
      <alignment horizontal="center"/>
    </xf>
    <xf numFmtId="0" fontId="73" fillId="9" borderId="1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33" fillId="5" borderId="5" xfId="0" applyFont="1" applyFill="1" applyBorder="1" applyAlignment="1">
      <alignment horizontal="center"/>
    </xf>
    <xf numFmtId="0" fontId="33" fillId="5" borderId="4" xfId="0" applyFont="1" applyFill="1" applyBorder="1" applyAlignment="1">
      <alignment horizontal="center"/>
    </xf>
    <xf numFmtId="0" fontId="33" fillId="9" borderId="3" xfId="0" applyFont="1" applyFill="1" applyBorder="1" applyAlignment="1">
      <alignment horizontal="center"/>
    </xf>
    <xf numFmtId="0" fontId="33" fillId="9" borderId="5" xfId="0" applyFont="1" applyFill="1" applyBorder="1" applyAlignment="1">
      <alignment horizontal="center"/>
    </xf>
    <xf numFmtId="0" fontId="33" fillId="9" borderId="4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2" xfId="0" applyFont="1" applyFill="1" applyBorder="1" applyAlignment="1">
      <alignment horizontal="center" vertical="center"/>
    </xf>
    <xf numFmtId="0" fontId="42" fillId="23" borderId="6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10" borderId="3" xfId="0" applyFont="1" applyFill="1" applyBorder="1" applyAlignment="1">
      <alignment horizontal="center"/>
    </xf>
    <xf numFmtId="0" fontId="33" fillId="10" borderId="5" xfId="0" applyFont="1" applyFill="1" applyBorder="1" applyAlignment="1">
      <alignment horizontal="center"/>
    </xf>
    <xf numFmtId="0" fontId="33" fillId="10" borderId="4" xfId="0" applyFont="1" applyFill="1" applyBorder="1" applyAlignment="1">
      <alignment horizontal="center"/>
    </xf>
    <xf numFmtId="0" fontId="33" fillId="17" borderId="3" xfId="0" applyFont="1" applyFill="1" applyBorder="1" applyAlignment="1">
      <alignment horizontal="center"/>
    </xf>
    <xf numFmtId="0" fontId="33" fillId="17" borderId="5" xfId="0" applyFont="1" applyFill="1" applyBorder="1" applyAlignment="1">
      <alignment horizontal="center"/>
    </xf>
    <xf numFmtId="0" fontId="33" fillId="17" borderId="4" xfId="0" applyFont="1" applyFill="1" applyBorder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0" fontId="42" fillId="14" borderId="3" xfId="0" applyFont="1" applyFill="1" applyBorder="1" applyAlignment="1">
      <alignment horizontal="center" vertical="center"/>
    </xf>
    <xf numFmtId="0" fontId="42" fillId="14" borderId="5" xfId="0" applyFont="1" applyFill="1" applyBorder="1" applyAlignment="1">
      <alignment horizontal="center" vertical="center"/>
    </xf>
    <xf numFmtId="0" fontId="42" fillId="14" borderId="4" xfId="0" applyFont="1" applyFill="1" applyBorder="1" applyAlignment="1">
      <alignment horizontal="center" vertical="center"/>
    </xf>
    <xf numFmtId="0" fontId="42" fillId="15" borderId="3" xfId="0" applyFont="1" applyFill="1" applyBorder="1" applyAlignment="1">
      <alignment horizontal="center" vertical="center"/>
    </xf>
    <xf numFmtId="0" fontId="42" fillId="15" borderId="5" xfId="0" applyFont="1" applyFill="1" applyBorder="1" applyAlignment="1">
      <alignment horizontal="center" vertical="center"/>
    </xf>
    <xf numFmtId="0" fontId="42" fillId="15" borderId="4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/>
    </xf>
  </cellXfs>
  <cellStyles count="183">
    <cellStyle name="Comma" xfId="1" builtinId="3"/>
    <cellStyle name="Comma [0] 2" xfId="2"/>
    <cellStyle name="Comma 10" xfId="3"/>
    <cellStyle name="Comma 10 2" xfId="4"/>
    <cellStyle name="Comma 11" xfId="5"/>
    <cellStyle name="Comma 11 2" xfId="6"/>
    <cellStyle name="Comma 12" xfId="7"/>
    <cellStyle name="Comma 12 2" xfId="8"/>
    <cellStyle name="Comma 13" xfId="9"/>
    <cellStyle name="Comma 13 2" xfId="10"/>
    <cellStyle name="Comma 14" xfId="11"/>
    <cellStyle name="Comma 14 2" xfId="12"/>
    <cellStyle name="Comma 15" xfId="13"/>
    <cellStyle name="Comma 15 2" xfId="14"/>
    <cellStyle name="Comma 16" xfId="15"/>
    <cellStyle name="Comma 16 2" xfId="16"/>
    <cellStyle name="Comma 17" xfId="17"/>
    <cellStyle name="Comma 17 2" xfId="18"/>
    <cellStyle name="Comma 18" xfId="19"/>
    <cellStyle name="Comma 18 2" xfId="20"/>
    <cellStyle name="Comma 19" xfId="21"/>
    <cellStyle name="Comma 19 2" xfId="22"/>
    <cellStyle name="Comma 2" xfId="23"/>
    <cellStyle name="Comma 2 2" xfId="24"/>
    <cellStyle name="Comma 2 2 2" xfId="25"/>
    <cellStyle name="Comma 2 2 2 2" xfId="26"/>
    <cellStyle name="Comma 2 2 3" xfId="27"/>
    <cellStyle name="Comma 2 3" xfId="28"/>
    <cellStyle name="Comma 2 3 2" xfId="29"/>
    <cellStyle name="Comma 2 3 2 2" xfId="30"/>
    <cellStyle name="Comma 2 3 3" xfId="31"/>
    <cellStyle name="Comma 2 4" xfId="32"/>
    <cellStyle name="Comma 2 4 2" xfId="33"/>
    <cellStyle name="Comma 2 4 2 2" xfId="34"/>
    <cellStyle name="Comma 2 4 3" xfId="35"/>
    <cellStyle name="Comma 2 5" xfId="36"/>
    <cellStyle name="Comma 2 5 2" xfId="37"/>
    <cellStyle name="Comma 2 6" xfId="38"/>
    <cellStyle name="Comma 2 7" xfId="39"/>
    <cellStyle name="Comma 20" xfId="40"/>
    <cellStyle name="Comma 20 2" xfId="41"/>
    <cellStyle name="Comma 21" xfId="42"/>
    <cellStyle name="Comma 21 2" xfId="43"/>
    <cellStyle name="Comma 22" xfId="44"/>
    <cellStyle name="Comma 22 2" xfId="45"/>
    <cellStyle name="Comma 23" xfId="46"/>
    <cellStyle name="Comma 23 2" xfId="47"/>
    <cellStyle name="Comma 24" xfId="48"/>
    <cellStyle name="Comma 24 2" xfId="49"/>
    <cellStyle name="Comma 25" xfId="50"/>
    <cellStyle name="Comma 25 2" xfId="51"/>
    <cellStyle name="Comma 26" xfId="52"/>
    <cellStyle name="Comma 26 2" xfId="53"/>
    <cellStyle name="Comma 27" xfId="54"/>
    <cellStyle name="Comma 27 2" xfId="55"/>
    <cellStyle name="Comma 28" xfId="56"/>
    <cellStyle name="Comma 28 2" xfId="57"/>
    <cellStyle name="Comma 29" xfId="58"/>
    <cellStyle name="Comma 29 2" xfId="59"/>
    <cellStyle name="Comma 3" xfId="60"/>
    <cellStyle name="Comma 3 2" xfId="61"/>
    <cellStyle name="Comma 30" xfId="62"/>
    <cellStyle name="Comma 30 2" xfId="63"/>
    <cellStyle name="Comma 31" xfId="64"/>
    <cellStyle name="Comma 31 2" xfId="65"/>
    <cellStyle name="Comma 32" xfId="66"/>
    <cellStyle name="Comma 32 2" xfId="67"/>
    <cellStyle name="Comma 33" xfId="68"/>
    <cellStyle name="Comma 33 2" xfId="69"/>
    <cellStyle name="Comma 34" xfId="70"/>
    <cellStyle name="Comma 34 2" xfId="71"/>
    <cellStyle name="Comma 35" xfId="72"/>
    <cellStyle name="Comma 35 2" xfId="73"/>
    <cellStyle name="Comma 36" xfId="74"/>
    <cellStyle name="Comma 36 2" xfId="75"/>
    <cellStyle name="Comma 37" xfId="76"/>
    <cellStyle name="Comma 37 2" xfId="77"/>
    <cellStyle name="Comma 38" xfId="78"/>
    <cellStyle name="Comma 38 2" xfId="79"/>
    <cellStyle name="Comma 39" xfId="80"/>
    <cellStyle name="Comma 39 2" xfId="81"/>
    <cellStyle name="Comma 4" xfId="82"/>
    <cellStyle name="Comma 4 2" xfId="83"/>
    <cellStyle name="Comma 4 2 2" xfId="84"/>
    <cellStyle name="Comma 4 3" xfId="85"/>
    <cellStyle name="Comma 40" xfId="86"/>
    <cellStyle name="Comma 40 2" xfId="87"/>
    <cellStyle name="Comma 41" xfId="88"/>
    <cellStyle name="Comma 41 2" xfId="89"/>
    <cellStyle name="Comma 42" xfId="90"/>
    <cellStyle name="Comma 42 2" xfId="91"/>
    <cellStyle name="Comma 43" xfId="92"/>
    <cellStyle name="Comma 43 2" xfId="93"/>
    <cellStyle name="Comma 44" xfId="94"/>
    <cellStyle name="Comma 44 2" xfId="95"/>
    <cellStyle name="Comma 45" xfId="96"/>
    <cellStyle name="Comma 45 2" xfId="97"/>
    <cellStyle name="Comma 45 3" xfId="98"/>
    <cellStyle name="Comma 46" xfId="99"/>
    <cellStyle name="Comma 46 2" xfId="100"/>
    <cellStyle name="Comma 47" xfId="101"/>
    <cellStyle name="Comma 47 2" xfId="102"/>
    <cellStyle name="Comma 48" xfId="103"/>
    <cellStyle name="Comma 48 2" xfId="104"/>
    <cellStyle name="Comma 49" xfId="105"/>
    <cellStyle name="Comma 49 2" xfId="106"/>
    <cellStyle name="Comma 5" xfId="107"/>
    <cellStyle name="Comma 5 2" xfId="108"/>
    <cellStyle name="Comma 50" xfId="109"/>
    <cellStyle name="Comma 50 2" xfId="110"/>
    <cellStyle name="Comma 51" xfId="111"/>
    <cellStyle name="Comma 51 2" xfId="112"/>
    <cellStyle name="Comma 52" xfId="113"/>
    <cellStyle name="Comma 52 2" xfId="114"/>
    <cellStyle name="Comma 53" xfId="115"/>
    <cellStyle name="Comma 53 2" xfId="116"/>
    <cellStyle name="Comma 54" xfId="117"/>
    <cellStyle name="Comma 54 2" xfId="118"/>
    <cellStyle name="Comma 55" xfId="119"/>
    <cellStyle name="Comma 55 2" xfId="120"/>
    <cellStyle name="Comma 56" xfId="121"/>
    <cellStyle name="Comma 56 2" xfId="122"/>
    <cellStyle name="Comma 57" xfId="123"/>
    <cellStyle name="Comma 57 2" xfId="124"/>
    <cellStyle name="Comma 57 3" xfId="125"/>
    <cellStyle name="Comma 58" xfId="126"/>
    <cellStyle name="Comma 58 2" xfId="127"/>
    <cellStyle name="Comma 58 3" xfId="128"/>
    <cellStyle name="Comma 59" xfId="129"/>
    <cellStyle name="Comma 59 2" xfId="130"/>
    <cellStyle name="Comma 59 3" xfId="131"/>
    <cellStyle name="Comma 6" xfId="132"/>
    <cellStyle name="Comma 6 2" xfId="133"/>
    <cellStyle name="Comma 60" xfId="134"/>
    <cellStyle name="Comma 61" xfId="135"/>
    <cellStyle name="Comma 62" xfId="136"/>
    <cellStyle name="Comma 7" xfId="137"/>
    <cellStyle name="Comma 7 2" xfId="138"/>
    <cellStyle name="Comma 8" xfId="139"/>
    <cellStyle name="Comma 8 2" xfId="140"/>
    <cellStyle name="Comma 8 2 2" xfId="141"/>
    <cellStyle name="Comma 8 3" xfId="142"/>
    <cellStyle name="Comma 8 3 2" xfId="143"/>
    <cellStyle name="Comma 8 4" xfId="144"/>
    <cellStyle name="Comma 9" xfId="145"/>
    <cellStyle name="Comma 9 2" xfId="146"/>
    <cellStyle name="Excel Built-in Normal" xfId="147"/>
    <cellStyle name="Hyperlink 2" xfId="148"/>
    <cellStyle name="Normal" xfId="0" builtinId="0"/>
    <cellStyle name="Normal 10" xfId="149"/>
    <cellStyle name="Normal 11" xfId="179"/>
    <cellStyle name="Normal 12" xfId="180"/>
    <cellStyle name="Normal 13" xfId="181"/>
    <cellStyle name="Normal 14" xfId="182"/>
    <cellStyle name="Normal 2" xfId="150"/>
    <cellStyle name="Normal 2 2" xfId="151"/>
    <cellStyle name="Normal 2 3" xfId="152"/>
    <cellStyle name="Normal 2 4" xfId="153"/>
    <cellStyle name="Normal 2 5" xfId="154"/>
    <cellStyle name="Normal 2 6" xfId="155"/>
    <cellStyle name="Normal 3" xfId="156"/>
    <cellStyle name="Normal 4" xfId="157"/>
    <cellStyle name="Normal 5" xfId="158"/>
    <cellStyle name="Normal 6" xfId="159"/>
    <cellStyle name="Normal 7" xfId="160"/>
    <cellStyle name="Normal 8" xfId="161"/>
    <cellStyle name="Normal 9" xfId="162"/>
    <cellStyle name="Percent" xfId="163" builtinId="5"/>
    <cellStyle name="Percent 2" xfId="164"/>
    <cellStyle name="Percent 2 2" xfId="165"/>
    <cellStyle name="Percent 2 2 2" xfId="166"/>
    <cellStyle name="Percent 2 3" xfId="167"/>
    <cellStyle name="Percent 2 3 2" xfId="168"/>
    <cellStyle name="Percent 2 4" xfId="169"/>
    <cellStyle name="Percent 2 4 2" xfId="170"/>
    <cellStyle name="Percent 2 5" xfId="171"/>
    <cellStyle name="Percent 3" xfId="172"/>
    <cellStyle name="Percent 3 2" xfId="173"/>
    <cellStyle name="Percent 4" xfId="174"/>
    <cellStyle name="Percent 5" xfId="175"/>
    <cellStyle name="Percent 5 2" xfId="176"/>
    <cellStyle name="Percent 5 3" xfId="177"/>
    <cellStyle name="Percent 6" xfId="178"/>
  </cellStyles>
  <dxfs count="6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5"/>
      <tableStyleElement type="headerRow" dxfId="4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HỢP ĐỒNG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BaoCaoQuy!$B$39:$B$41</c:f>
              <c:numCache>
                <c:formatCode>#,##0</c:formatCode>
                <c:ptCount val="3"/>
                <c:pt idx="0">
                  <c:v>10800000000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F-41E3-BCC6-C40E33BA5E9D}"/>
            </c:ext>
          </c:extLst>
        </c:ser>
        <c:ser>
          <c:idx val="3"/>
          <c:order val="1"/>
          <c:tx>
            <c:v>Thực tế</c:v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273734811785797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1F-41E3-BCC6-C40E33BA5E9D}"/>
                </c:ext>
              </c:extLst>
            </c:dLbl>
            <c:dLbl>
              <c:idx val="1"/>
              <c:layout>
                <c:manualLayout>
                  <c:x val="4.7186048315978238E-2"/>
                  <c:y val="-8.487556272013338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1F-41E3-BCC6-C40E33BA5E9D}"/>
                </c:ext>
              </c:extLst>
            </c:dLbl>
            <c:dLbl>
              <c:idx val="2"/>
              <c:layout>
                <c:manualLayout>
                  <c:x val="2.498084910845917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1F-41E3-BCC6-C40E33BA5E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BaoCaoQuy!$E$39:$E$41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1F-41E3-BCC6-C40E33BA5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52704"/>
        <c:axId val="80974976"/>
      </c:barChart>
      <c:catAx>
        <c:axId val="809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4976"/>
        <c:crosses val="autoZero"/>
        <c:auto val="1"/>
        <c:lblAlgn val="ctr"/>
        <c:lblOffset val="100"/>
        <c:noMultiLvlLbl val="0"/>
      </c:catAx>
      <c:valAx>
        <c:axId val="809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Kế hoạch</c:v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BaoCaoQuy!$H$39:$H$41</c:f>
              <c:numCache>
                <c:formatCode>#,##0</c:formatCode>
                <c:ptCount val="3"/>
                <c:pt idx="0">
                  <c:v>10800000000</c:v>
                </c:pt>
                <c:pt idx="1">
                  <c:v>10000000000</c:v>
                </c:pt>
                <c:pt idx="2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C-4FFC-AE37-CFA0A47CDE22}"/>
            </c:ext>
          </c:extLst>
        </c:ser>
        <c:ser>
          <c:idx val="9"/>
          <c:order val="1"/>
          <c:tx>
            <c:v>Thực tế</c:v>
          </c:tx>
          <c:spPr>
            <a:gradFill rotWithShape="1">
              <a:gsLst>
                <a:gs pos="0">
                  <a:schemeClr val="accent6">
                    <a:lumMod val="8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BaoCaoQuy!$K$39:$K$41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C-4FFC-AE37-CFA0A47CDE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010688"/>
        <c:axId val="81012224"/>
      </c:barChart>
      <c:catAx>
        <c:axId val="810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2224"/>
        <c:crosses val="autoZero"/>
        <c:auto val="1"/>
        <c:lblAlgn val="ctr"/>
        <c:lblOffset val="100"/>
        <c:noMultiLvlLbl val="0"/>
      </c:catAx>
      <c:valAx>
        <c:axId val="81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HỢP</a:t>
            </a:r>
            <a:r>
              <a:rPr lang="en-US" b="1" baseline="0"/>
              <a:t> ĐỒNG - DOANH THU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CE-4A9C-A467-DCE24FA6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96704"/>
        <c:axId val="81098240"/>
      </c:barChart>
      <c:lineChart>
        <c:grouping val="standard"/>
        <c:varyColors val="0"/>
        <c:ser>
          <c:idx val="2"/>
          <c:order val="1"/>
          <c:tx>
            <c:v>Hợp đồng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464969353134018E-2"/>
                  <c:y val="-6.4814814814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CE-4A9C-A467-DCE24FA68027}"/>
                </c:ext>
              </c:extLst>
            </c:dLbl>
            <c:dLbl>
              <c:idx val="1"/>
              <c:layout>
                <c:manualLayout>
                  <c:x val="-3.179390449174818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CE-4A9C-A467-DCE24FA68027}"/>
                </c:ext>
              </c:extLst>
            </c:dLbl>
            <c:dLbl>
              <c:idx val="2"/>
              <c:layout>
                <c:manualLayout>
                  <c:x val="-3.7574614399338721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CE-4A9C-A467-DCE24FA68027}"/>
                </c:ext>
              </c:extLst>
            </c:dLbl>
            <c:dLbl>
              <c:idx val="3"/>
              <c:layout>
                <c:manualLayout>
                  <c:x val="-3.1793904491748154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CE-4A9C-A467-DCE24FA68027}"/>
                </c:ext>
              </c:extLst>
            </c:dLbl>
            <c:dLbl>
              <c:idx val="4"/>
              <c:layout>
                <c:manualLayout>
                  <c:x val="-2.6013194584157535E-2"/>
                  <c:y val="-4.6296296296296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CE-4A9C-A467-DCE24FA6802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1CE-4A9C-A467-DCE24FA68027}"/>
            </c:ext>
          </c:extLst>
        </c:ser>
        <c:ser>
          <c:idx val="1"/>
          <c:order val="2"/>
          <c:tx>
            <c:v>Doanh thu</c:v>
          </c:tx>
          <c:spPr>
            <a:ln w="28575" cap="rnd" cmpd="sng" algn="ctr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prstDash val="solid"/>
                <a:round/>
              </a:ln>
              <a:effectLst/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C-4B11-B4E8-5766B31D0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96704"/>
        <c:axId val="81098240"/>
      </c:lineChart>
      <c:catAx>
        <c:axId val="810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8240"/>
        <c:crosses val="autoZero"/>
        <c:auto val="1"/>
        <c:lblAlgn val="ctr"/>
        <c:lblOffset val="100"/>
        <c:noMultiLvlLbl val="0"/>
      </c:catAx>
      <c:valAx>
        <c:axId val="810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67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80959610302796"/>
          <c:y val="5.989446819625506E-2"/>
          <c:w val="0.84014748006089668"/>
          <c:h val="0.74135529826610791"/>
        </c:manualLayout>
      </c:layout>
      <c:barChart>
        <c:barDir val="col"/>
        <c:grouping val="clustered"/>
        <c:varyColors val="0"/>
        <c:ser>
          <c:idx val="3"/>
          <c:order val="0"/>
          <c:tx>
            <c:v>Kế hoạch năm</c:v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D4-488C-B0FC-F5F22AAD3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74912"/>
        <c:axId val="81176448"/>
      </c:barChart>
      <c:lineChart>
        <c:grouping val="standard"/>
        <c:varyColors val="0"/>
        <c:ser>
          <c:idx val="5"/>
          <c:order val="1"/>
          <c:tx>
            <c:v>Thực tế</c:v>
          </c:tx>
          <c:spPr>
            <a:ln w="28575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accent6">
                    <a:lumMod val="7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D4-488C-B0FC-F5F22AAD3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74912"/>
        <c:axId val="81176448"/>
      </c:lineChart>
      <c:catAx>
        <c:axId val="811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6448"/>
        <c:crosses val="autoZero"/>
        <c:auto val="1"/>
        <c:lblAlgn val="ctr"/>
        <c:lblOffset val="100"/>
        <c:noMultiLvlLbl val="0"/>
      </c:catAx>
      <c:valAx>
        <c:axId val="811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HỢP</a:t>
                </a:r>
                <a:r>
                  <a:rPr lang="en-US" b="1" baseline="0"/>
                  <a:t> ĐỒNG</a:t>
                </a:r>
                <a:endParaRPr lang="vi-VN" b="1"/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49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Kế hoạch năm</c:v>
          </c:tx>
          <c:spPr>
            <a:solidFill>
              <a:schemeClr val="accent6">
                <a:tint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91C-4AEC-8B0E-93C959B4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20352"/>
        <c:axId val="81221888"/>
      </c:barChart>
      <c:lineChart>
        <c:grouping val="standard"/>
        <c:varyColors val="0"/>
        <c:ser>
          <c:idx val="5"/>
          <c:order val="1"/>
          <c:tx>
            <c:v>Thực tế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91C-4AEC-8B0E-93C959B4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20352"/>
        <c:axId val="81221888"/>
      </c:lineChart>
      <c:catAx>
        <c:axId val="81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21888"/>
        <c:crosses val="autoZero"/>
        <c:auto val="1"/>
        <c:lblAlgn val="ctr"/>
        <c:lblOffset val="100"/>
        <c:noMultiLvlLbl val="0"/>
      </c:catAx>
      <c:valAx>
        <c:axId val="812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DOANH THU</a:t>
                </a:r>
                <a:endParaRPr lang="vi-VN" b="1"/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203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5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2D6-424A-8722-8F1D5FA8F9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D6-424A-8722-8F1D5FA8F9E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D6-424A-8722-8F1D5FA8F9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BaoCaoQuy!$G$39:$G$41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D6-424A-8722-8F1D5FA8F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1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0C3-48D1-B16E-3AB122F9BC8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C3-48D1-B16E-3AB122F9BC8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C3-48D1-B16E-3AB122F9BC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BaoCaoQuy!$M$39:$M$41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C3-48D1-B16E-3AB122F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Hợp</a:t>
            </a:r>
            <a:r>
              <a:rPr lang="en-US" sz="1400" b="0" baseline="0"/>
              <a:t> đồng</a:t>
            </a:r>
            <a:endParaRPr lang="vi-VN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4B1-42F0-8781-D5B1DD9E43E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B1-42F0-8781-D5B1DD9E43E8}"/>
              </c:ext>
            </c:extLst>
          </c:dPt>
          <c:dLbls>
            <c:dLbl>
              <c:idx val="0"/>
              <c:layout>
                <c:manualLayout>
                  <c:x val="-6.5192105295901234E-2"/>
                  <c:y val="-1.36348060659084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396392198657327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B1-42F0-8781-D5B1DD9E43E8}"/>
                </c:ext>
              </c:extLst>
            </c:dLbl>
            <c:dLbl>
              <c:idx val="1"/>
              <c:layout>
                <c:manualLayout>
                  <c:x val="0.14719055470675027"/>
                  <c:y val="-2.16673957421989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423820121361275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4B1-42F0-8781-D5B1DD9E43E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BaoCaoQuy!$N$38:$O$38</c:f>
              <c:numCache>
                <c:formatCode>General</c:formatCode>
                <c:ptCount val="2"/>
              </c:numCache>
            </c:numRef>
          </c:cat>
          <c:val>
            <c:numRef>
              <c:f>BaoCaoQuy!$N$39:$O$39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D4B1-42F0-8781-D5B1DD9E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Hợp</a:t>
            </a:r>
            <a:r>
              <a:rPr lang="en-US" baseline="0"/>
              <a:t> đồng</a:t>
            </a:r>
            <a:endParaRPr lang="vi-VN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A21-47B5-9453-4372EC272134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21-47B5-9453-4372EC272134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BaoCaoQuy!$N$38:$O$38</c:f>
              <c:numCache>
                <c:formatCode>General</c:formatCode>
                <c:ptCount val="2"/>
              </c:numCache>
            </c:numRef>
          </c:cat>
          <c:val>
            <c:numRef>
              <c:f>BaoCaoQuy!$N$40:$O$40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6A21-47B5-9453-4372EC272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  <a:endParaRPr lang="vi-VN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95D-428A-B9A8-23B8D0CD208E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5D-428A-B9A8-23B8D0CD208E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BaoCaoQuy!$P$38:$Q$38</c:f>
              <c:numCache>
                <c:formatCode>General</c:formatCode>
                <c:ptCount val="2"/>
              </c:numCache>
            </c:numRef>
          </c:cat>
          <c:val>
            <c:numRef>
              <c:f>BaoCaoQuy!$P$40:$Q$40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A95D-428A-B9A8-23B8D0CD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8.295761986967817E-3"/>
                  <c:y val="-5.89743626952329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C4-4E06-8E85-43F954CC8979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chinh'!$C$10:$C$16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4-4E06-8E85-43F954CC8979}"/>
            </c:ext>
          </c:extLst>
        </c:ser>
        <c:ser>
          <c:idx val="2"/>
          <c:order val="1"/>
          <c:tx>
            <c:v>Mức 1: Đạt 80-100%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chinh'!$E$10:$E$16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4-4E06-8E85-43F954CC8979}"/>
            </c:ext>
          </c:extLst>
        </c:ser>
        <c:ser>
          <c:idx val="3"/>
          <c:order val="2"/>
          <c:tx>
            <c:v>Mức 2: Đạt 50-79%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chinh'!$F$10:$F$16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4-4E06-8E85-43F954CC8979}"/>
            </c:ext>
          </c:extLst>
        </c:ser>
        <c:ser>
          <c:idx val="4"/>
          <c:order val="3"/>
          <c:tx>
            <c:v>Mức 3: Dưới 50%</c:v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chinh'!$G$10:$G$16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C4-4E06-8E85-43F954CC8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66752"/>
        <c:axId val="81868288"/>
      </c:barChart>
      <c:catAx>
        <c:axId val="818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288"/>
        <c:crosses val="autoZero"/>
        <c:auto val="1"/>
        <c:lblAlgn val="ctr"/>
        <c:lblOffset val="100"/>
        <c:noMultiLvlLbl val="0"/>
      </c:catAx>
      <c:valAx>
        <c:axId val="818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HỢP</a:t>
                </a:r>
                <a:r>
                  <a:rPr lang="en-US" baseline="0"/>
                  <a:t> ĐỒNG</a:t>
                </a:r>
                <a:endParaRPr lang="vi-VN"/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67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595-4CE2-9851-23C35A8FEA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95-4CE2-9851-23C35A8FEAA1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95-4CE2-9851-23C35A8FEAA1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595-4CE2-9851-23C35A8FE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(6,7,8,9)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82D-47F9-B63D-0A58107517A3}"/>
              </c:ext>
            </c:extLst>
          </c:dPt>
          <c:dPt>
            <c:idx val="1"/>
            <c:bubble3D val="0"/>
            <c:spPr>
              <a:solidFill>
                <a:schemeClr val="accent5">
                  <a:tint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D-47F9-B63D-0A58107517A3}"/>
              </c:ext>
            </c:extLst>
          </c:dPt>
          <c:dPt>
            <c:idx val="2"/>
            <c:bubble3D val="0"/>
            <c:spPr>
              <a:solidFill>
                <a:schemeClr val="accent5">
                  <a:tint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2D-47F9-B63D-0A58107517A3}"/>
              </c:ext>
            </c:extLst>
          </c:dPt>
          <c:dLbls>
            <c:dLbl>
              <c:idx val="1"/>
              <c:layout>
                <c:manualLayout>
                  <c:x val="3.1949237728563749E-2"/>
                  <c:y val="-1.71861675185339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56852069279175"/>
                      <c:h val="0.115789473684210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82D-47F9-B63D-0A58107517A3}"/>
                </c:ext>
              </c:extLst>
            </c:dLbl>
            <c:dLbl>
              <c:idx val="2"/>
              <c:layout>
                <c:manualLayout>
                  <c:x val="9.1283536367324954E-3"/>
                  <c:y val="1.302684532854445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28520570601167"/>
                      <c:h val="0.119298245614035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82D-47F9-B63D-0A58107517A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82D-47F9-B63D-0A5810751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(10,11,12)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0"/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E3F-404C-B0EE-53695E5CE22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F-404C-B0EE-53695E5CE222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3F-404C-B0EE-53695E5CE222}"/>
              </c:ext>
            </c:extLst>
          </c:dPt>
          <c:dLbls>
            <c:dLbl>
              <c:idx val="0"/>
              <c:layout>
                <c:manualLayout>
                  <c:x val="-4.3998090721522505E-2"/>
                  <c:y val="5.600957775014963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120784959812766"/>
                      <c:h val="0.115789473684210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E3F-404C-B0EE-53695E5CE222}"/>
                </c:ext>
              </c:extLst>
            </c:dLbl>
            <c:dLbl>
              <c:idx val="1"/>
              <c:layout>
                <c:manualLayout>
                  <c:x val="-0.1146182982785699"/>
                  <c:y val="-1.94163098033798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831821821205311"/>
                      <c:h val="0.115789473684210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E3F-404C-B0EE-53695E5CE222}"/>
                </c:ext>
              </c:extLst>
            </c:dLbl>
            <c:dLbl>
              <c:idx val="2"/>
              <c:layout>
                <c:manualLayout>
                  <c:x val="7.8218827949373348E-2"/>
                  <c:y val="-4.34144679283510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31869553167249"/>
                      <c:h val="0.115789473684210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E3F-404C-B0EE-53695E5CE222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E3F-404C-B0EE-53695E5C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HỢP ĐỒNG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'KH hieu chinh'!$B$21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chinh'!$C$21:$E$21</c:f>
              <c:numCache>
                <c:formatCode>#,##0</c:formatCode>
                <c:ptCount val="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0-488A-9A0D-819DD2C02317}"/>
            </c:ext>
          </c:extLst>
        </c:ser>
        <c:ser>
          <c:idx val="1"/>
          <c:order val="1"/>
          <c:tx>
            <c:strRef>
              <c:f>'KH hieu chinh'!$B$22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chinh'!$C$22:$E$22</c:f>
              <c:numCache>
                <c:formatCode>#,##0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0-488A-9A0D-819DD2C02317}"/>
            </c:ext>
          </c:extLst>
        </c:ser>
        <c:ser>
          <c:idx val="2"/>
          <c:order val="2"/>
          <c:tx>
            <c:strRef>
              <c:f>'KH hieu chinh'!$B$23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chinh'!$C$23:$E$23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0-488A-9A0D-819DD2C02317}"/>
            </c:ext>
          </c:extLst>
        </c:ser>
        <c:ser>
          <c:idx val="3"/>
          <c:order val="3"/>
          <c:tx>
            <c:v>Tổng dự kiến đạt được (Mức 1,2)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chinh'!$C$24:$E$24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B0-488A-9A0D-819DD2C0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110336"/>
        <c:axId val="82111872"/>
      </c:barChart>
      <c:catAx>
        <c:axId val="82110336"/>
        <c:scaling>
          <c:orientation val="minMax"/>
        </c:scaling>
        <c:delete val="1"/>
        <c:axPos val="b"/>
        <c:majorTickMark val="out"/>
        <c:minorTickMark val="none"/>
        <c:tickLblPos val="none"/>
        <c:crossAx val="82111872"/>
        <c:crosses val="autoZero"/>
        <c:auto val="1"/>
        <c:lblAlgn val="ctr"/>
        <c:lblOffset val="100"/>
        <c:noMultiLvlLbl val="0"/>
      </c:catAx>
      <c:valAx>
        <c:axId val="821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0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Kế hoạch</c:v>
          </c:tx>
          <c:spPr>
            <a:solidFill>
              <a:schemeClr val="accent6">
                <a:shade val="61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528801657947209E-3"/>
                  <c:y val="4.04192526766600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DB-4E45-95AB-195306708FF2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chinh'!$D$10:$D$16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B-4E45-95AB-195306708FF2}"/>
            </c:ext>
          </c:extLst>
        </c:ser>
        <c:ser>
          <c:idx val="5"/>
          <c:order val="1"/>
          <c:tx>
            <c:v>Mức 1: Đạt 80-100%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235234569075704E-3"/>
                  <c:y val="4.04192526766600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DB-4E45-95AB-195306708FF2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chinh'!$H$10:$H$16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B-4E45-95AB-195306708FF2}"/>
            </c:ext>
          </c:extLst>
        </c:ser>
        <c:ser>
          <c:idx val="6"/>
          <c:order val="2"/>
          <c:tx>
            <c:v>Mức 2: Đạt 50-79%</c:v>
          </c:tx>
          <c:spPr>
            <a:solidFill>
              <a:schemeClr val="accent6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chinh'!$I$10:$I$16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B-4E45-95AB-195306708FF2}"/>
            </c:ext>
          </c:extLst>
        </c:ser>
        <c:ser>
          <c:idx val="7"/>
          <c:order val="3"/>
          <c:tx>
            <c:v>Mức 3: Dưới 50%</c:v>
          </c:tx>
          <c:spPr>
            <a:solidFill>
              <a:schemeClr val="accent6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chinh'!$B$10:$B$16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chinh'!$J$10:$J$16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B-4E45-95AB-19530670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66368"/>
        <c:axId val="82296832"/>
      </c:barChart>
      <c:catAx>
        <c:axId val="822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6832"/>
        <c:crosses val="autoZero"/>
        <c:auto val="1"/>
        <c:lblAlgn val="ctr"/>
        <c:lblOffset val="100"/>
        <c:noMultiLvlLbl val="0"/>
      </c:catAx>
      <c:valAx>
        <c:axId val="822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DOANH THU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63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950-46D2-822B-89727044A30A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50-46D2-822B-89727044A30A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50-46D2-822B-89727044A30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950-46D2-822B-89727044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(6,7,8,9)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4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09D-4344-A0AC-2F9AFE371DA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9D-4344-A0AC-2F9AFE371DAF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9D-4344-A0AC-2F9AFE371DAF}"/>
              </c:ext>
            </c:extLst>
          </c:dPt>
          <c:dLbls>
            <c:dLbl>
              <c:idx val="0"/>
              <c:layout>
                <c:manualLayout>
                  <c:x val="-0.13075290443937115"/>
                  <c:y val="-6.14847623213764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05278453438579"/>
                      <c:h val="0.118055555555555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09D-4344-A0AC-2F9AFE371DAF}"/>
                </c:ext>
              </c:extLst>
            </c:dLbl>
            <c:dLbl>
              <c:idx val="1"/>
              <c:layout>
                <c:manualLayout>
                  <c:x val="0.12035909432224817"/>
                  <c:y val="4.5414114902303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4124865003156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09D-4344-A0AC-2F9AFE371DAF}"/>
                </c:ext>
              </c:extLst>
            </c:dLbl>
            <c:dLbl>
              <c:idx val="2"/>
              <c:layout>
                <c:manualLayout>
                  <c:x val="-1.6517696539714612E-2"/>
                  <c:y val="1.3558982210557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22831886571254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09D-4344-A0AC-2F9AFE371DA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09D-4344-A0AC-2F9AFE371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(10,11,12)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CF9-4FCA-99AE-C733870D946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F9-4FCA-99AE-C733870D946F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F9-4FCA-99AE-C733870D946F}"/>
              </c:ext>
            </c:extLst>
          </c:dPt>
          <c:dLbls>
            <c:dLbl>
              <c:idx val="0"/>
              <c:layout>
                <c:manualLayout>
                  <c:x val="-0.13679446539858245"/>
                  <c:y val="9.4040901137357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45242077476599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F9-4FCA-99AE-C733870D946F}"/>
                </c:ext>
              </c:extLst>
            </c:dLbl>
            <c:dLbl>
              <c:idx val="1"/>
              <c:layout>
                <c:manualLayout>
                  <c:x val="-4.3816297357171873E-2"/>
                  <c:y val="-7.4039807524059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7949146805172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CF9-4FCA-99AE-C733870D946F}"/>
                </c:ext>
              </c:extLst>
            </c:dLbl>
            <c:dLbl>
              <c:idx val="2"/>
              <c:layout>
                <c:manualLayout>
                  <c:x val="0.10710697318530543"/>
                  <c:y val="-1.00641586468358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14354059465457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CF9-4FCA-99AE-C733870D946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CF9-4FCA-99AE-C733870D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DOANH THU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'KH hieu chinh'!$B$21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chinh'!$F$21:$H$21</c:f>
              <c:numCache>
                <c:formatCode>#,##0</c:formatCode>
                <c:ptCount val="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9-411B-9E22-1308EE6064B0}"/>
            </c:ext>
          </c:extLst>
        </c:ser>
        <c:ser>
          <c:idx val="4"/>
          <c:order val="1"/>
          <c:tx>
            <c:strRef>
              <c:f>'KH hieu chinh'!$B$22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chinh'!$F$22:$H$22</c:f>
              <c:numCache>
                <c:formatCode>#,##0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9-411B-9E22-1308EE6064B0}"/>
            </c:ext>
          </c:extLst>
        </c:ser>
        <c:ser>
          <c:idx val="5"/>
          <c:order val="2"/>
          <c:tx>
            <c:strRef>
              <c:f>'KH hieu chinh'!$B$23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chinh'!$F$23:$H$23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29-411B-9E22-1308EE6064B0}"/>
            </c:ext>
          </c:extLst>
        </c:ser>
        <c:ser>
          <c:idx val="0"/>
          <c:order val="3"/>
          <c:tx>
            <c:v>Tổng dự kiến đạt được (Mức 1,2)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chinh'!$F$24:$H$24</c:f>
              <c:numCache>
                <c:formatCode>#,##0</c:formatCode>
                <c:ptCount val="3"/>
                <c:pt idx="2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29-411B-9E22-1308EE606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2997632"/>
        <c:axId val="82999168"/>
      </c:barChart>
      <c:catAx>
        <c:axId val="82997632"/>
        <c:scaling>
          <c:orientation val="minMax"/>
        </c:scaling>
        <c:delete val="1"/>
        <c:axPos val="b"/>
        <c:majorTickMark val="out"/>
        <c:minorTickMark val="none"/>
        <c:tickLblPos val="none"/>
        <c:crossAx val="82999168"/>
        <c:crosses val="autoZero"/>
        <c:auto val="1"/>
        <c:lblAlgn val="ctr"/>
        <c:lblOffset val="100"/>
        <c:noMultiLvlLbl val="0"/>
      </c:catAx>
      <c:valAx>
        <c:axId val="829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76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Kế hoạch</c:v>
          </c:tx>
          <c:spPr>
            <a:solidFill>
              <a:schemeClr val="accent5">
                <a:tint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40C-4867-9B91-40C97E723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066240"/>
        <c:axId val="83068032"/>
      </c:barChart>
      <c:lineChart>
        <c:grouping val="standard"/>
        <c:varyColors val="0"/>
        <c:ser>
          <c:idx val="8"/>
          <c:order val="1"/>
          <c:tx>
            <c:v>Thực tế</c:v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2.3355786187784007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0C-4867-9B91-40C97E723683}"/>
                </c:ext>
              </c:extLst>
            </c:dLbl>
            <c:dLbl>
              <c:idx val="2"/>
              <c:layout>
                <c:manualLayout>
                  <c:x val="-2.6103523300901269E-2"/>
                  <c:y val="-6.4814814814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0C-4867-9B91-40C97E723683}"/>
                </c:ext>
              </c:extLst>
            </c:dLbl>
            <c:dLbl>
              <c:idx val="3"/>
              <c:layout>
                <c:manualLayout>
                  <c:x val="-2.1981311095316671E-2"/>
                  <c:y val="-5.092592592592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0C-4867-9B91-40C97E723683}"/>
                </c:ext>
              </c:extLst>
            </c:dLbl>
            <c:dLbl>
              <c:idx val="4"/>
              <c:layout>
                <c:manualLayout>
                  <c:x val="-1.3732777664059853E-3"/>
                  <c:y val="-5.55555555555554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17-4C32-AE4F-D0D953EC5C7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40C-4867-9B91-40C97E723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69952"/>
        <c:axId val="82576128"/>
      </c:lineChart>
      <c:catAx>
        <c:axId val="8306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8032"/>
        <c:crosses val="autoZero"/>
        <c:auto val="1"/>
        <c:lblAlgn val="ctr"/>
        <c:lblOffset val="100"/>
        <c:noMultiLvlLbl val="0"/>
      </c:catAx>
      <c:valAx>
        <c:axId val="830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HỢP</a:t>
                </a:r>
                <a:r>
                  <a:rPr lang="en-US" baseline="0"/>
                  <a:t> ĐỒNG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6240"/>
        <c:crosses val="autoZero"/>
        <c:crossBetween val="between"/>
      </c:valAx>
      <c:catAx>
        <c:axId val="8306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2576128"/>
        <c:crosses val="autoZero"/>
        <c:auto val="1"/>
        <c:lblAlgn val="ctr"/>
        <c:lblOffset val="100"/>
        <c:noMultiLvlLbl val="0"/>
      </c:catAx>
      <c:valAx>
        <c:axId val="825761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one"/>
        <c:crossAx val="83069952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Hợp</a:t>
            </a:r>
            <a:r>
              <a:rPr lang="en-US" baseline="0"/>
              <a:t> đồng</a:t>
            </a:r>
            <a:endParaRPr lang="en-US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5D5-49C8-A750-5453C2B60579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D5-49C8-A750-5453C2B60579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BaoCaoQuy!$N$38:$O$38</c:f>
              <c:numCache>
                <c:formatCode>General</c:formatCode>
                <c:ptCount val="2"/>
              </c:numCache>
            </c:numRef>
          </c:cat>
          <c:val>
            <c:numRef>
              <c:f>BaoCaoQuy!$N$41:$O$41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05D5-49C8-A750-5453C2B60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Kế hoạch</c:v>
          </c:tx>
          <c:spPr>
            <a:solidFill>
              <a:schemeClr val="accent6">
                <a:tint val="7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EC-43C8-86E8-6468AA70C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396480"/>
        <c:axId val="83398016"/>
      </c:barChart>
      <c:lineChart>
        <c:grouping val="standard"/>
        <c:varyColors val="0"/>
        <c:ser>
          <c:idx val="8"/>
          <c:order val="1"/>
          <c:tx>
            <c:v>Thực tế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6.8522737193073965E-3"/>
                  <c:y val="-6.4814814814814825E-2"/>
                </c:manualLayout>
              </c:layout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91EC-43C8-86E8-6468AA70CBC4}"/>
                </c:ext>
              </c:extLst>
            </c:dLbl>
            <c:dLbl>
              <c:idx val="3"/>
              <c:layout>
                <c:manualLayout>
                  <c:x val="-2.055682115792207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6C-4A6F-95E2-A2F10CC54D8E}"/>
                </c:ext>
              </c:extLst>
            </c:dLbl>
            <c:dLbl>
              <c:idx val="4"/>
              <c:layout>
                <c:manualLayout>
                  <c:x val="-4.1113642315844063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6C-4A6F-95E2-A2F10CC54D8E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1EC-43C8-86E8-6468AA70C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08384"/>
        <c:axId val="83409920"/>
      </c:lineChart>
      <c:catAx>
        <c:axId val="833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8016"/>
        <c:crosses val="autoZero"/>
        <c:auto val="1"/>
        <c:lblAlgn val="ctr"/>
        <c:lblOffset val="100"/>
        <c:noMultiLvlLbl val="0"/>
      </c:catAx>
      <c:valAx>
        <c:axId val="833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DOANH THU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6480"/>
        <c:crosses val="autoZero"/>
        <c:crossBetween val="between"/>
      </c:valAx>
      <c:catAx>
        <c:axId val="8340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3409920"/>
        <c:crosses val="autoZero"/>
        <c:auto val="1"/>
        <c:lblAlgn val="ctr"/>
        <c:lblOffset val="100"/>
        <c:noMultiLvlLbl val="0"/>
      </c:catAx>
      <c:valAx>
        <c:axId val="834099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one"/>
        <c:crossAx val="834083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E78-4F53-8560-27AA15721CD5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8-4F53-8560-27AA15721CD5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BaoCaoQuy!$P$38:$Q$38</c:f>
              <c:numCache>
                <c:formatCode>General</c:formatCode>
                <c:ptCount val="2"/>
              </c:numCache>
            </c:numRef>
          </c:cat>
          <c:val>
            <c:numRef>
              <c:f>BaoCaoQuy!$P$41:$Q$41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DE78-4F53-8560-27AA1572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5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chinh'!$C$35:$C$41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D-4916-A18E-728E45A7E1B5}"/>
            </c:ext>
          </c:extLst>
        </c:ser>
        <c:ser>
          <c:idx val="2"/>
          <c:order val="1"/>
          <c:tx>
            <c:v>Mức 1: Đạt 80-100%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chinh'!$E$35:$E$41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D-4916-A18E-728E45A7E1B5}"/>
            </c:ext>
          </c:extLst>
        </c:ser>
        <c:ser>
          <c:idx val="3"/>
          <c:order val="2"/>
          <c:tx>
            <c:v>Mức 2: Đạt 50-79%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chinh'!$F$35:$F$41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D-4916-A18E-728E45A7E1B5}"/>
            </c:ext>
          </c:extLst>
        </c:ser>
        <c:ser>
          <c:idx val="4"/>
          <c:order val="3"/>
          <c:tx>
            <c:v>Mức 3: Dưới 50%</c:v>
          </c:tx>
          <c:spPr>
            <a:solidFill>
              <a:schemeClr val="accent5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chinh'!$G$35:$G$41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AD-4916-A18E-728E45A7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11264"/>
        <c:axId val="85612800"/>
      </c:barChart>
      <c:catAx>
        <c:axId val="856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2800"/>
        <c:crosses val="autoZero"/>
        <c:auto val="1"/>
        <c:lblAlgn val="ctr"/>
        <c:lblOffset val="100"/>
        <c:noMultiLvlLbl val="0"/>
      </c:catAx>
      <c:valAx>
        <c:axId val="85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HỢP</a:t>
                </a:r>
                <a:r>
                  <a:rPr lang="en-US" baseline="0"/>
                  <a:t> ĐỒNG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2F-427A-8ED5-795515FEE93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2F-427A-8ED5-795515FEE93E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2F-427A-8ED5-795515FEE9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E2F-427A-8ED5-795515FEE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(6,7,8,9)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spPr>
            <a:ln w="0">
              <a:noFill/>
            </a:ln>
          </c:spPr>
          <c:dPt>
            <c:idx val="0"/>
            <c:bubble3D val="0"/>
            <c:spPr>
              <a:solidFill>
                <a:schemeClr val="accent5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2D-494B-B5EA-51A669152F67}"/>
              </c:ext>
            </c:extLst>
          </c:dPt>
          <c:dPt>
            <c:idx val="1"/>
            <c:bubble3D val="0"/>
            <c:spPr>
              <a:solidFill>
                <a:schemeClr val="accent5">
                  <a:tint val="3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2D-494B-B5EA-51A669152F67}"/>
              </c:ext>
            </c:extLst>
          </c:dPt>
          <c:dPt>
            <c:idx val="2"/>
            <c:bubble3D val="0"/>
            <c:spPr>
              <a:solidFill>
                <a:schemeClr val="accent5">
                  <a:tint val="6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2D-494B-B5EA-51A669152F67}"/>
              </c:ext>
            </c:extLst>
          </c:dPt>
          <c:dLbls>
            <c:dLbl>
              <c:idx val="0"/>
              <c:layout>
                <c:manualLayout>
                  <c:x val="-0.19446330867999231"/>
                  <c:y val="-1.00944152814231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07072942729099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52D-494B-B5EA-51A669152F67}"/>
                </c:ext>
              </c:extLst>
            </c:dLbl>
            <c:dLbl>
              <c:idx val="1"/>
              <c:layout>
                <c:manualLayout>
                  <c:x val="0.13385887795221468"/>
                  <c:y val="2.7399387576552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816495284704845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52D-494B-B5EA-51A669152F67}"/>
                </c:ext>
              </c:extLst>
            </c:dLbl>
            <c:dLbl>
              <c:idx val="2"/>
              <c:layout>
                <c:manualLayout>
                  <c:x val="-0.12278154298754504"/>
                  <c:y val="4.4251603966170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06854361991698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52D-494B-B5EA-51A669152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52D-494B-B5EA-51A66915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(10,11,12)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62-4D9E-9560-E4BF88F68F2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62-4D9E-9560-E4BF88F68F2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62-4D9E-9560-E4BF88F68F2C}"/>
              </c:ext>
            </c:extLst>
          </c:dPt>
          <c:dLbls>
            <c:dLbl>
              <c:idx val="0"/>
              <c:layout>
                <c:manualLayout>
                  <c:x val="-3.6845089874717372E-2"/>
                  <c:y val="1.5577427821522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79364828928203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862-4D9E-9560-E4BF88F68F2C}"/>
                </c:ext>
              </c:extLst>
            </c:dLbl>
            <c:dLbl>
              <c:idx val="1"/>
              <c:layout>
                <c:manualLayout>
                  <c:x val="-8.6572732731999488E-2"/>
                  <c:y val="-0.161226305045202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855695134262366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862-4D9E-9560-E4BF88F68F2C}"/>
                </c:ext>
              </c:extLst>
            </c:dLbl>
            <c:dLbl>
              <c:idx val="2"/>
              <c:layout>
                <c:manualLayout>
                  <c:x val="5.3299006280660276E-2"/>
                  <c:y val="8.3665791776028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4847660986272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862-4D9E-9560-E4BF88F68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62-4D9E-9560-E4BF88F6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HỢP ĐỒNG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chinh'!$C$46:$E$46</c:f>
              <c:numCache>
                <c:formatCode>#,##0</c:formatCode>
                <c:ptCount val="3"/>
                <c:pt idx="0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6-4440-AFE9-1B2881656DD8}"/>
            </c:ext>
          </c:extLst>
        </c:ser>
        <c:ser>
          <c:idx val="1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chinh'!$C$47:$E$47</c:f>
              <c:numCache>
                <c:formatCode>#,##0</c:formatCode>
                <c:ptCount val="3"/>
                <c:pt idx="1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6-4440-AFE9-1B2881656DD8}"/>
            </c:ext>
          </c:extLst>
        </c:ser>
        <c:ser>
          <c:idx val="2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chinh'!$C$48:$E$48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6-4440-AFE9-1B2881656DD8}"/>
            </c:ext>
          </c:extLst>
        </c:ser>
        <c:ser>
          <c:idx val="3"/>
          <c:order val="3"/>
          <c:tx>
            <c:v>Tổng dự kiến đạt được (Mức 1,2)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chinh'!$C$50:$E$50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6-4440-AFE9-1B2881656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736064"/>
        <c:axId val="85758336"/>
      </c:barChart>
      <c:catAx>
        <c:axId val="85736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758336"/>
        <c:crosses val="autoZero"/>
        <c:auto val="1"/>
        <c:lblAlgn val="ctr"/>
        <c:lblOffset val="100"/>
        <c:noMultiLvlLbl val="0"/>
      </c:catAx>
      <c:valAx>
        <c:axId val="85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Kế hoạch</c:v>
          </c:tx>
          <c:spPr>
            <a:solidFill>
              <a:schemeClr val="accent6">
                <a:shade val="61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9.5669600032198387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D2-45CB-9C86-D832D029D8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chinh'!$D$35:$D$41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7-4AB8-B62D-18CC1D134FA0}"/>
            </c:ext>
          </c:extLst>
        </c:ser>
        <c:ser>
          <c:idx val="5"/>
          <c:order val="1"/>
          <c:tx>
            <c:v>Mức 1: Đạt 80-100%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9624246380831292E-2"/>
                  <c:y val="9.25925925925926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07-4AB8-B62D-18CC1D134FA0}"/>
                </c:ext>
              </c:extLst>
            </c:dLbl>
            <c:dLbl>
              <c:idx val="1"/>
              <c:layout>
                <c:manualLayout>
                  <c:x val="3.5534422869102252E-2"/>
                  <c:y val="-2.777777777777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D2-45CB-9C86-D832D029D8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chinh'!$H$35:$H$41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7-4AB8-B62D-18CC1D134FA0}"/>
            </c:ext>
          </c:extLst>
        </c:ser>
        <c:ser>
          <c:idx val="6"/>
          <c:order val="2"/>
          <c:tx>
            <c:v>Mức 2: Đạt 50-79%</c:v>
          </c:tx>
          <c:spPr>
            <a:solidFill>
              <a:schemeClr val="accent6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chinh'!$I$35:$I$41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7-4AB8-B62D-18CC1D134FA0}"/>
            </c:ext>
          </c:extLst>
        </c:ser>
        <c:ser>
          <c:idx val="7"/>
          <c:order val="3"/>
          <c:tx>
            <c:v>Mức 3: Dưới 50%</c:v>
          </c:tx>
          <c:spPr>
            <a:solidFill>
              <a:schemeClr val="accent6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'KH hieu chinh'!$B$35:$B$41</c:f>
              <c:strCache>
                <c:ptCount val="7"/>
                <c:pt idx="0">
                  <c:v>Tháng 06</c:v>
                </c:pt>
                <c:pt idx="1">
                  <c:v>Tháng 07</c:v>
                </c:pt>
                <c:pt idx="2">
                  <c:v>Tháng 08</c:v>
                </c:pt>
                <c:pt idx="3">
                  <c:v>Tháng 09</c:v>
                </c:pt>
                <c:pt idx="4">
                  <c:v>Tháng 10</c:v>
                </c:pt>
                <c:pt idx="5">
                  <c:v>Tháng 11</c:v>
                </c:pt>
                <c:pt idx="6">
                  <c:v>Tháng 12</c:v>
                </c:pt>
              </c:strCache>
            </c:strRef>
          </c:cat>
          <c:val>
            <c:numRef>
              <c:f>'KH hieu chinh'!$J$35:$J$41</c:f>
              <c:numCache>
                <c:formatCode>_(* #,##0_);_(* \(#,##0\);_(*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07-4AB8-B62D-18CC1D13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5312"/>
        <c:axId val="86303488"/>
      </c:barChart>
      <c:catAx>
        <c:axId val="862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3488"/>
        <c:crosses val="autoZero"/>
        <c:auto val="1"/>
        <c:lblAlgn val="ctr"/>
        <c:lblOffset val="100"/>
        <c:noMultiLvlLbl val="0"/>
      </c:catAx>
      <c:valAx>
        <c:axId val="8630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DOANH THU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1"/>
          <c:order val="0"/>
          <c:spPr>
            <a:ln w="0">
              <a:noFill/>
            </a:ln>
          </c:spPr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19-4006-909D-F3060463910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19-4006-909D-F30604639107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19-4006-909D-F30604639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619-4006-909D-F30604639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(6,7,8,9)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4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D-46A1-874B-03AA7D283DA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D-46A1-874B-03AA7D283DAE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1D-46A1-874B-03AA7D283DAE}"/>
              </c:ext>
            </c:extLst>
          </c:dPt>
          <c:dLbls>
            <c:dLbl>
              <c:idx val="0"/>
              <c:layout>
                <c:manualLayout>
                  <c:x val="-0.24931032350064591"/>
                  <c:y val="-0.11194480898221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25170335681577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1D-46A1-874B-03AA7D283DAE}"/>
                </c:ext>
              </c:extLst>
            </c:dLbl>
            <c:dLbl>
              <c:idx val="1"/>
              <c:layout>
                <c:manualLayout>
                  <c:x val="0.10206688053772231"/>
                  <c:y val="0.100924467774861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55930239506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C1D-46A1-874B-03AA7D283DAE}"/>
                </c:ext>
              </c:extLst>
            </c:dLbl>
            <c:dLbl>
              <c:idx val="2"/>
              <c:layout>
                <c:manualLayout>
                  <c:x val="0.23747688994073415"/>
                  <c:y val="1.079031787693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17814601678847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C1D-46A1-874B-03AA7D283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C1D-46A1-874B-03AA7D283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THÁNG</a:t>
            </a:r>
            <a:r>
              <a:rPr lang="en-US" b="1" baseline="0"/>
              <a:t> (10,11,12)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7A-451F-97B4-FA4C048DB78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7A-451F-97B4-FA4C048DB78B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7A-451F-97B4-FA4C048DB78B}"/>
              </c:ext>
            </c:extLst>
          </c:dPt>
          <c:dLbls>
            <c:dLbl>
              <c:idx val="0"/>
              <c:layout>
                <c:manualLayout>
                  <c:x val="0.20379604785924813"/>
                  <c:y val="3.5334281131525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18620933880436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47A-451F-97B4-FA4C048DB78B}"/>
                </c:ext>
              </c:extLst>
            </c:dLbl>
            <c:dLbl>
              <c:idx val="1"/>
              <c:layout>
                <c:manualLayout>
                  <c:x val="-2.7790370162624735E-2"/>
                  <c:y val="-0.206631671041119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074718896029369"/>
                      <c:h val="0.11458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47A-451F-97B4-FA4C048DB78B}"/>
                </c:ext>
              </c:extLst>
            </c:dLbl>
            <c:dLbl>
              <c:idx val="2"/>
              <c:layout>
                <c:manualLayout>
                  <c:x val="-0.10196841161258181"/>
                  <c:y val="1.5941965587634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56121011379827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47A-451F-97B4-FA4C048DB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'KH hieu chinh chi tiet'!#REF!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'KH hieu chinh chi tiet'!#REF!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47A-451F-97B4-FA4C048D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DOANH THU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chinh'!$F$46:$H$46</c:f>
              <c:numCache>
                <c:formatCode>#,##0</c:formatCode>
                <c:ptCount val="3"/>
                <c:pt idx="0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9-4CB2-8CFA-67C5798761AC}"/>
            </c:ext>
          </c:extLst>
        </c:ser>
        <c:ser>
          <c:idx val="4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chinh'!$F$47:$H$47</c:f>
              <c:numCache>
                <c:formatCode>#,##0</c:formatCode>
                <c:ptCount val="3"/>
                <c:pt idx="1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9-4CB2-8CFA-67C5798761AC}"/>
            </c:ext>
          </c:extLst>
        </c:ser>
        <c:ser>
          <c:idx val="5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chinh'!$F$48:$H$48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B9-4CB2-8CFA-67C5798761AC}"/>
            </c:ext>
          </c:extLst>
        </c:ser>
        <c:ser>
          <c:idx val="0"/>
          <c:order val="3"/>
          <c:tx>
            <c:v>Tổng dự kiến đạt được (Mức 1,2)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chinh'!$F$50:$H$50</c:f>
              <c:numCache>
                <c:formatCode>#,##0</c:formatCode>
                <c:ptCount val="3"/>
                <c:pt idx="2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B9-4CB2-8CFA-67C57987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357504"/>
        <c:axId val="86359040"/>
      </c:barChart>
      <c:catAx>
        <c:axId val="8635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6359040"/>
        <c:crosses val="autoZero"/>
        <c:auto val="1"/>
        <c:lblAlgn val="ctr"/>
        <c:lblOffset val="100"/>
        <c:noMultiLvlLbl val="0"/>
      </c:catAx>
      <c:valAx>
        <c:axId val="86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</a:t>
            </a:r>
            <a:r>
              <a:rPr lang="en-US" baseline="0"/>
              <a:t> thu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E-4B40-8FD3-A3AD867AFFC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E-4B40-8FD3-A3AD867AFFC5}"/>
              </c:ext>
            </c:extLst>
          </c:dPt>
          <c:dLbls>
            <c:dLbl>
              <c:idx val="0"/>
              <c:layout>
                <c:manualLayout>
                  <c:x val="-0.11666666666666668"/>
                  <c:y val="9.79184893554968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66666666666666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69E-4B40-8FD3-A3AD867AFFC5}"/>
                </c:ext>
              </c:extLst>
            </c:dLbl>
            <c:dLbl>
              <c:idx val="1"/>
              <c:layout>
                <c:manualLayout>
                  <c:x val="0.10277777777777776"/>
                  <c:y val="-5.0137066200058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744444444444445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69E-4B40-8FD3-A3AD867AFF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BaoCaoQuy!$P$38:$Q$38</c:f>
              <c:numCache>
                <c:formatCode>General</c:formatCode>
                <c:ptCount val="2"/>
              </c:numCache>
            </c:numRef>
          </c:cat>
          <c:val>
            <c:numRef>
              <c:f>BaoCaoQuy!$P$39:$Q$39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A69E-4B40-8FD3-A3AD867A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HỢP ĐỒNG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4581301207352053E-17"/>
                  <c:y val="-2.3522144849182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12-4C38-9498-B9D3829F4567}"/>
                </c:ext>
              </c:extLst>
            </c:dLbl>
            <c:dLbl>
              <c:idx val="1"/>
              <c:layout>
                <c:manualLayout>
                  <c:x val="2.68162747337904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12-4C38-9498-B9D3829F4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BaoCaoQuy!$B$39:$B$41</c:f>
              <c:numCache>
                <c:formatCode>#,##0</c:formatCode>
                <c:ptCount val="3"/>
                <c:pt idx="0">
                  <c:v>10800000000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F-4D9C-A6E6-431A46C0558A}"/>
            </c:ext>
          </c:extLst>
        </c:ser>
        <c:ser>
          <c:idx val="3"/>
          <c:order val="1"/>
          <c:tx>
            <c:v>Thực tế</c:v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51597448951124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3F-4D9C-A6E6-431A46C0558A}"/>
                </c:ext>
              </c:extLst>
            </c:dLbl>
            <c:dLbl>
              <c:idx val="1"/>
              <c:layout>
                <c:manualLayout>
                  <c:x val="9.60849143535387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3F-4D9C-A6E6-431A46C0558A}"/>
                </c:ext>
              </c:extLst>
            </c:dLbl>
            <c:dLbl>
              <c:idx val="2"/>
              <c:layout>
                <c:manualLayout>
                  <c:x val="1.424439886853001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3F-4D9C-A6E6-431A46C055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BaoCaoQuy!$E$39:$E$41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F-4D9C-A6E6-431A46C05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52704"/>
        <c:axId val="80974976"/>
      </c:barChart>
      <c:catAx>
        <c:axId val="809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4976"/>
        <c:crosses val="autoZero"/>
        <c:auto val="1"/>
        <c:lblAlgn val="ctr"/>
        <c:lblOffset val="100"/>
        <c:noMultiLvlLbl val="0"/>
      </c:catAx>
      <c:valAx>
        <c:axId val="809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Kế hoạch</c:v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575532562336507E-3"/>
                  <c:y val="-5.93343960435148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5A-4D4E-8667-16DB5BD65505}"/>
                </c:ext>
              </c:extLst>
            </c:dLbl>
            <c:dLbl>
              <c:idx val="1"/>
              <c:layout>
                <c:manualLayout>
                  <c:x val="-2.575532562336507E-3"/>
                  <c:y val="5.75852051593760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5A-4D4E-8667-16DB5BD65505}"/>
                </c:ext>
              </c:extLst>
            </c:dLbl>
            <c:dLbl>
              <c:idx val="2"/>
              <c:layout>
                <c:manualLayout>
                  <c:x val="-2.575532562336507E-3"/>
                  <c:y val="-8.745954420691372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5A-4D4E-8667-16DB5BD655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BaoCaoQuy!$H$39:$H$41</c:f>
              <c:numCache>
                <c:formatCode>#,##0</c:formatCode>
                <c:ptCount val="3"/>
                <c:pt idx="0">
                  <c:v>10800000000</c:v>
                </c:pt>
                <c:pt idx="1">
                  <c:v>10000000000</c:v>
                </c:pt>
                <c:pt idx="2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B-42D7-840A-9E8F776B2199}"/>
            </c:ext>
          </c:extLst>
        </c:ser>
        <c:ser>
          <c:idx val="9"/>
          <c:order val="1"/>
          <c:tx>
            <c:v>Thực tế</c:v>
          </c:tx>
          <c:spPr>
            <a:gradFill rotWithShape="1">
              <a:gsLst>
                <a:gs pos="0">
                  <a:schemeClr val="accent6">
                    <a:lumMod val="8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0799313488753494E-2"/>
                  <c:y val="-1.2626856616521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B3-4A53-95B8-4252BCC7C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BaoCaoQuy!$K$39:$K$41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B-42D7-840A-9E8F776B21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010688"/>
        <c:axId val="81012224"/>
      </c:barChart>
      <c:catAx>
        <c:axId val="810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2224"/>
        <c:crosses val="autoZero"/>
        <c:auto val="1"/>
        <c:lblAlgn val="ctr"/>
        <c:lblOffset val="100"/>
        <c:noMultiLvlLbl val="0"/>
      </c:catAx>
      <c:valAx>
        <c:axId val="81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HỢP</a:t>
            </a:r>
            <a:r>
              <a:rPr lang="en-US" b="1" baseline="0"/>
              <a:t> ĐỒNG - DOANH THU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'Tong hop (TH)'!$C$5:$C$16</c:f>
              <c:numCache>
                <c:formatCode>_(* #,##0_);_(* \(#,##0\);_(* "-"??_);_(@_)</c:formatCode>
                <c:ptCount val="12"/>
                <c:pt idx="0">
                  <c:v>900000000</c:v>
                </c:pt>
                <c:pt idx="1">
                  <c:v>900000000</c:v>
                </c:pt>
                <c:pt idx="2">
                  <c:v>900000000</c:v>
                </c:pt>
                <c:pt idx="3">
                  <c:v>900000000</c:v>
                </c:pt>
                <c:pt idx="4">
                  <c:v>900000000</c:v>
                </c:pt>
                <c:pt idx="5">
                  <c:v>900000000</c:v>
                </c:pt>
                <c:pt idx="6">
                  <c:v>900000000</c:v>
                </c:pt>
                <c:pt idx="7">
                  <c:v>900000000</c:v>
                </c:pt>
                <c:pt idx="8">
                  <c:v>900000000</c:v>
                </c:pt>
                <c:pt idx="9">
                  <c:v>900000000</c:v>
                </c:pt>
                <c:pt idx="10">
                  <c:v>900000000</c:v>
                </c:pt>
                <c:pt idx="11">
                  <c:v>900000000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3A6-4401-ABC4-4199CD3C4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96704"/>
        <c:axId val="81098240"/>
      </c:barChart>
      <c:lineChart>
        <c:grouping val="standard"/>
        <c:varyColors val="0"/>
        <c:ser>
          <c:idx val="2"/>
          <c:order val="1"/>
          <c:tx>
            <c:v>Hợp đồng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464969353134018E-2"/>
                  <c:y val="-6.4814814814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6-4401-ABC4-4199CD3C444B}"/>
                </c:ext>
              </c:extLst>
            </c:dLbl>
            <c:dLbl>
              <c:idx val="1"/>
              <c:layout>
                <c:manualLayout>
                  <c:x val="-3.179390449174818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6-4401-ABC4-4199CD3C444B}"/>
                </c:ext>
              </c:extLst>
            </c:dLbl>
            <c:dLbl>
              <c:idx val="2"/>
              <c:layout>
                <c:manualLayout>
                  <c:x val="-3.7574614399338721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6-4401-ABC4-4199CD3C444B}"/>
                </c:ext>
              </c:extLst>
            </c:dLbl>
            <c:dLbl>
              <c:idx val="3"/>
              <c:layout>
                <c:manualLayout>
                  <c:x val="-3.1793904491748154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6-4401-ABC4-4199CD3C444B}"/>
                </c:ext>
              </c:extLst>
            </c:dLbl>
            <c:dLbl>
              <c:idx val="4"/>
              <c:layout>
                <c:manualLayout>
                  <c:x val="-2.6013194584157535E-2"/>
                  <c:y val="-4.6296296296296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6-4401-ABC4-4199CD3C444B}"/>
                </c:ext>
              </c:extLst>
            </c:dLbl>
            <c:dLbl>
              <c:idx val="7"/>
              <c:layout>
                <c:manualLayout>
                  <c:x val="9.0351744728778601E-3"/>
                  <c:y val="-7.3529411764705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E9-49B5-85EA-54AFAF846CC8}"/>
                </c:ext>
              </c:extLst>
            </c:dLbl>
            <c:dLbl>
              <c:idx val="8"/>
              <c:layout>
                <c:manualLayout>
                  <c:x val="-9.4653115322617068E-17"/>
                  <c:y val="-0.10294117647058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E9-49B5-85EA-54AFAF846CC8}"/>
                </c:ext>
              </c:extLst>
            </c:dLbl>
            <c:dLbl>
              <c:idx val="9"/>
              <c:layout>
                <c:manualLayout>
                  <c:x val="1.161665289370001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E9-49B5-85EA-54AFAF846CC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'Tong hop (TH)'!$E$5:$E$16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3A6-4401-ABC4-4199CD3C444B}"/>
            </c:ext>
          </c:extLst>
        </c:ser>
        <c:ser>
          <c:idx val="1"/>
          <c:order val="2"/>
          <c:tx>
            <c:v>Doanh thu</c:v>
          </c:tx>
          <c:spPr>
            <a:ln w="28575" cap="rnd" cmpd="sng" algn="ctr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prstDash val="solid"/>
                <a:round/>
              </a:ln>
              <a:effectLst/>
            </c:spPr>
          </c:marker>
          <c:val>
            <c:numRef>
              <c:f>'Tong hop (TH)'!$E$37:$E$48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A6-4401-ABC4-4199CD3C4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96704"/>
        <c:axId val="81098240"/>
      </c:lineChart>
      <c:catAx>
        <c:axId val="810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8240"/>
        <c:crosses val="autoZero"/>
        <c:auto val="1"/>
        <c:lblAlgn val="ctr"/>
        <c:lblOffset val="100"/>
        <c:noMultiLvlLbl val="0"/>
      </c:catAx>
      <c:valAx>
        <c:axId val="810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67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5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AD-4F68-B37A-5D45FCC7905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AD-4F68-B37A-5D45FCC7905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AD-4F68-B37A-5D45FCC79057}"/>
              </c:ext>
            </c:extLst>
          </c:dPt>
          <c:dLbls>
            <c:dLbl>
              <c:idx val="0"/>
              <c:layout>
                <c:manualLayout>
                  <c:x val="3.911302984408277E-2"/>
                  <c:y val="-2.1223807551186191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AD-4F68-B37A-5D45FCC79057}"/>
                </c:ext>
              </c:extLst>
            </c:dLbl>
            <c:dLbl>
              <c:idx val="1"/>
              <c:layout>
                <c:manualLayout>
                  <c:x val="-6.5486081206784313E-2"/>
                  <c:y val="-6.3596123097618015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AD-4F68-B37A-5D45FCC79057}"/>
                </c:ext>
              </c:extLst>
            </c:dLbl>
            <c:dLbl>
              <c:idx val="2"/>
              <c:layout>
                <c:manualLayout>
                  <c:x val="0.29215116216972525"/>
                  <c:y val="5.366807184883577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AD-4F68-B37A-5D45FCC790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BaoCaoQuy!$G$39:$G$41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AD-4F68-B37A-5D45FCC7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1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5-4481-BC10-E40F1BF0387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5-4481-BC10-E40F1BF0387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C5-4481-BC10-E40F1BF0387C}"/>
              </c:ext>
            </c:extLst>
          </c:dPt>
          <c:dLbls>
            <c:dLbl>
              <c:idx val="0"/>
              <c:layout>
                <c:manualLayout>
                  <c:x val="3.8991158153574297E-2"/>
                  <c:y val="-0.252473484907305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97897305647587"/>
                      <c:h val="0.174372547300963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7C5-4481-BC10-E40F1BF0387C}"/>
                </c:ext>
              </c:extLst>
            </c:dLbl>
            <c:dLbl>
              <c:idx val="1"/>
              <c:layout>
                <c:manualLayout>
                  <c:x val="-4.2203555168403156E-2"/>
                  <c:y val="1.9298171647048772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C5-4481-BC10-E40F1BF0387C}"/>
                </c:ext>
              </c:extLst>
            </c:dLbl>
            <c:dLbl>
              <c:idx val="2"/>
              <c:layout>
                <c:manualLayout>
                  <c:x val="0.2214370652583515"/>
                  <c:y val="2.2973320780341523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C5-4481-BC10-E40F1BF038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BaoCaoQuy!$M$39:$M$41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C5-4481-BC10-E40F1BF03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HỢP ĐỒNG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'KH hieu chinh'!$B$21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chinh'!$C$21:$E$21</c:f>
              <c:numCache>
                <c:formatCode>#,##0</c:formatCode>
                <c:ptCount val="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5-4D62-8C27-98A5B5A8EF81}"/>
            </c:ext>
          </c:extLst>
        </c:ser>
        <c:ser>
          <c:idx val="1"/>
          <c:order val="1"/>
          <c:tx>
            <c:strRef>
              <c:f>'KH hieu chinh'!$B$22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chinh'!$C$22:$E$22</c:f>
              <c:numCache>
                <c:formatCode>#,##0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5-4D62-8C27-98A5B5A8EF81}"/>
            </c:ext>
          </c:extLst>
        </c:ser>
        <c:ser>
          <c:idx val="2"/>
          <c:order val="2"/>
          <c:tx>
            <c:strRef>
              <c:f>'KH hieu chinh'!$B$23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2.1460823014113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A9-4DE6-B0B7-5062DC2DC84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chinh'!$C$23:$E$23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5-4D62-8C27-98A5B5A8EF81}"/>
            </c:ext>
          </c:extLst>
        </c:ser>
        <c:ser>
          <c:idx val="3"/>
          <c:order val="3"/>
          <c:tx>
            <c:strRef>
              <c:f>'KH hieu chinh'!$B$24</c:f>
              <c:strCache>
                <c:ptCount val="1"/>
                <c:pt idx="0">
                  <c:v>Nguồn HĐ dự kiến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chinh'!$C$24:$E$24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5-4D62-8C27-98A5B5A8E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2110336"/>
        <c:axId val="82111872"/>
      </c:barChart>
      <c:catAx>
        <c:axId val="82110336"/>
        <c:scaling>
          <c:orientation val="minMax"/>
        </c:scaling>
        <c:delete val="1"/>
        <c:axPos val="b"/>
        <c:majorTickMark val="out"/>
        <c:minorTickMark val="none"/>
        <c:tickLblPos val="none"/>
        <c:crossAx val="82111872"/>
        <c:crosses val="autoZero"/>
        <c:auto val="1"/>
        <c:lblAlgn val="ctr"/>
        <c:lblOffset val="100"/>
        <c:noMultiLvlLbl val="0"/>
      </c:catAx>
      <c:valAx>
        <c:axId val="821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0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DOANH THU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chinh'!$C$46:$E$46</c:f>
              <c:numCache>
                <c:formatCode>#,##0</c:formatCode>
                <c:ptCount val="3"/>
                <c:pt idx="0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EC5-8CCE-3734F116E76D}"/>
            </c:ext>
          </c:extLst>
        </c:ser>
        <c:ser>
          <c:idx val="4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chinh'!$C$47:$E$47</c:f>
              <c:numCache>
                <c:formatCode>#,##0</c:formatCode>
                <c:ptCount val="3"/>
                <c:pt idx="1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4-4EC5-8CCE-3734F116E76D}"/>
            </c:ext>
          </c:extLst>
        </c:ser>
        <c:ser>
          <c:idx val="5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1.0867291122321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8C-48C1-AE3C-6D7AFF259C90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'KH hieu chinh'!$C$48:$E$48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4-4EC5-8CCE-3734F116E76D}"/>
            </c:ext>
          </c:extLst>
        </c:ser>
        <c:ser>
          <c:idx val="0"/>
          <c:order val="3"/>
          <c:tx>
            <c:strRef>
              <c:f>'KH hieu chinh'!$B$49</c:f>
              <c:strCache>
                <c:ptCount val="1"/>
                <c:pt idx="0">
                  <c:v>Nguồn thu (HĐ đã ký)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chinh'!$C$49:$E$49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6-46CF-AEE7-91EFB7B17F49}"/>
            </c:ext>
          </c:extLst>
        </c:ser>
        <c:ser>
          <c:idx val="1"/>
          <c:order val="4"/>
          <c:tx>
            <c:strRef>
              <c:f>'KH hieu chinh'!$B$50</c:f>
              <c:strCache>
                <c:ptCount val="1"/>
                <c:pt idx="0">
                  <c:v>Nguồn DT dự kiến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8C-48C1-AE3C-6D7AFF259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chinh'!$C$50:$E$50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C-48C1-AE3C-6D7AFF259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2997632"/>
        <c:axId val="82999168"/>
      </c:barChart>
      <c:catAx>
        <c:axId val="82997632"/>
        <c:scaling>
          <c:orientation val="minMax"/>
        </c:scaling>
        <c:delete val="1"/>
        <c:axPos val="b"/>
        <c:majorTickMark val="out"/>
        <c:minorTickMark val="none"/>
        <c:tickLblPos val="none"/>
        <c:crossAx val="82999168"/>
        <c:crosses val="autoZero"/>
        <c:auto val="1"/>
        <c:lblAlgn val="ctr"/>
        <c:lblOffset val="100"/>
        <c:noMultiLvlLbl val="0"/>
      </c:catAx>
      <c:valAx>
        <c:axId val="829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76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HỢP ĐỒNG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'KH hieu chinh'!$B$21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chinh'!$F$21:$H$21</c:f>
              <c:numCache>
                <c:formatCode>#,##0</c:formatCode>
                <c:ptCount val="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F-41D9-894A-F876E2E6FD3F}"/>
            </c:ext>
          </c:extLst>
        </c:ser>
        <c:ser>
          <c:idx val="1"/>
          <c:order val="1"/>
          <c:tx>
            <c:strRef>
              <c:f>'KH hieu chinh'!$B$22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chinh'!$F$22:$H$22</c:f>
              <c:numCache>
                <c:formatCode>#,##0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F-41D9-894A-F876E2E6FD3F}"/>
            </c:ext>
          </c:extLst>
        </c:ser>
        <c:ser>
          <c:idx val="2"/>
          <c:order val="2"/>
          <c:tx>
            <c:strRef>
              <c:f>'KH hieu chinh'!$B$23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chinh'!$F$23:$H$23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F-41D9-894A-F876E2E6FD3F}"/>
            </c:ext>
          </c:extLst>
        </c:ser>
        <c:ser>
          <c:idx val="3"/>
          <c:order val="3"/>
          <c:tx>
            <c:strRef>
              <c:f>'KH hieu chinh'!$B$24</c:f>
              <c:strCache>
                <c:ptCount val="1"/>
                <c:pt idx="0">
                  <c:v>Nguồn HĐ dự kiến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chinh'!$F$24:$H$24</c:f>
              <c:numCache>
                <c:formatCode>#,##0</c:formatCode>
                <c:ptCount val="3"/>
                <c:pt idx="2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F-41D9-894A-F876E2E6F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5736064"/>
        <c:axId val="85758336"/>
      </c:barChart>
      <c:catAx>
        <c:axId val="85736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758336"/>
        <c:crosses val="autoZero"/>
        <c:auto val="1"/>
        <c:lblAlgn val="ctr"/>
        <c:lblOffset val="100"/>
        <c:noMultiLvlLbl val="0"/>
      </c:catAx>
      <c:valAx>
        <c:axId val="85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DOANH THU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chinh'!$F$46:$H$46</c:f>
              <c:numCache>
                <c:formatCode>#,##0</c:formatCode>
                <c:ptCount val="3"/>
                <c:pt idx="0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A-49DD-A26D-4ECD7908B402}"/>
            </c:ext>
          </c:extLst>
        </c:ser>
        <c:ser>
          <c:idx val="4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chinh'!$F$47:$H$47</c:f>
              <c:numCache>
                <c:formatCode>#,##0</c:formatCode>
                <c:ptCount val="3"/>
                <c:pt idx="1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A-49DD-A26D-4ECD7908B402}"/>
            </c:ext>
          </c:extLst>
        </c:ser>
        <c:ser>
          <c:idx val="5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chinh'!$F$48:$H$48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A-49DD-A26D-4ECD7908B402}"/>
            </c:ext>
          </c:extLst>
        </c:ser>
        <c:ser>
          <c:idx val="1"/>
          <c:order val="3"/>
          <c:tx>
            <c:strRef>
              <c:f>'KH hieu chinh'!$B$49</c:f>
              <c:strCache>
                <c:ptCount val="1"/>
                <c:pt idx="0">
                  <c:v>Nguồn thu (HĐ đã ký)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chinh'!$F$49:$H$49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9-4A96-8B5D-64398082E982}"/>
            </c:ext>
          </c:extLst>
        </c:ser>
        <c:ser>
          <c:idx val="0"/>
          <c:order val="4"/>
          <c:tx>
            <c:strRef>
              <c:f>'KH hieu chinh'!$B$50</c:f>
              <c:strCache>
                <c:ptCount val="1"/>
                <c:pt idx="0">
                  <c:v>Nguồn DT dự kiến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chinh'!$F$50:$H$50</c:f>
              <c:numCache>
                <c:formatCode>#,##0</c:formatCode>
                <c:ptCount val="3"/>
                <c:pt idx="2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A-49DD-A26D-4ECD7908B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6357504"/>
        <c:axId val="86359040"/>
      </c:barChart>
      <c:catAx>
        <c:axId val="8635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6359040"/>
        <c:crosses val="autoZero"/>
        <c:auto val="1"/>
        <c:lblAlgn val="ctr"/>
        <c:lblOffset val="100"/>
        <c:noMultiLvlLbl val="0"/>
      </c:catAx>
      <c:valAx>
        <c:axId val="86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HỢP ĐỒNG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4581301207352053E-17"/>
                  <c:y val="-2.35221448491827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CF-43C5-9ED7-D81D6D287C8D}"/>
                </c:ext>
              </c:extLst>
            </c:dLbl>
            <c:dLbl>
              <c:idx val="1"/>
              <c:layout>
                <c:manualLayout>
                  <c:x val="2.68162747337904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CF-43C5-9ED7-D81D6D287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BaoCaoQuy!$B$39:$B$41</c:f>
              <c:numCache>
                <c:formatCode>#,##0</c:formatCode>
                <c:ptCount val="3"/>
                <c:pt idx="0">
                  <c:v>10800000000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F-43C5-9ED7-D81D6D287C8D}"/>
            </c:ext>
          </c:extLst>
        </c:ser>
        <c:ser>
          <c:idx val="3"/>
          <c:order val="1"/>
          <c:tx>
            <c:v>Thực tế</c:v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51597448951124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CF-43C5-9ED7-D81D6D287C8D}"/>
                </c:ext>
              </c:extLst>
            </c:dLbl>
            <c:dLbl>
              <c:idx val="1"/>
              <c:layout>
                <c:manualLayout>
                  <c:x val="9.60849143535387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CF-43C5-9ED7-D81D6D287C8D}"/>
                </c:ext>
              </c:extLst>
            </c:dLbl>
            <c:dLbl>
              <c:idx val="2"/>
              <c:layout>
                <c:manualLayout>
                  <c:x val="1.424439886853001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F-43C5-9ED7-D81D6D287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BaoCaoQuy!$E$39:$E$41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CF-43C5-9ED7-D81D6D287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52704"/>
        <c:axId val="80974976"/>
      </c:barChart>
      <c:catAx>
        <c:axId val="809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74976"/>
        <c:crosses val="autoZero"/>
        <c:auto val="1"/>
        <c:lblAlgn val="ctr"/>
        <c:lblOffset val="100"/>
        <c:noMultiLvlLbl val="0"/>
      </c:catAx>
      <c:valAx>
        <c:axId val="809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Kế hoạch</c:v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575532562336507E-3"/>
                  <c:y val="-5.93343960435148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69-4A15-BE7B-27B95D9E63E1}"/>
                </c:ext>
              </c:extLst>
            </c:dLbl>
            <c:dLbl>
              <c:idx val="1"/>
              <c:layout>
                <c:manualLayout>
                  <c:x val="-2.575532562336507E-3"/>
                  <c:y val="5.75852051593760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69-4A15-BE7B-27B95D9E63E1}"/>
                </c:ext>
              </c:extLst>
            </c:dLbl>
            <c:dLbl>
              <c:idx val="2"/>
              <c:layout>
                <c:manualLayout>
                  <c:x val="-2.575532562336507E-3"/>
                  <c:y val="-8.745954420691372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69-4A15-BE7B-27B95D9E6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BaoCaoQuy!$H$39:$H$41</c:f>
              <c:numCache>
                <c:formatCode>#,##0</c:formatCode>
                <c:ptCount val="3"/>
                <c:pt idx="0">
                  <c:v>10800000000</c:v>
                </c:pt>
                <c:pt idx="1">
                  <c:v>10000000000</c:v>
                </c:pt>
                <c:pt idx="2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69-4A15-BE7B-27B95D9E63E1}"/>
            </c:ext>
          </c:extLst>
        </c:ser>
        <c:ser>
          <c:idx val="9"/>
          <c:order val="1"/>
          <c:tx>
            <c:v>Thực tế</c:v>
          </c:tx>
          <c:spPr>
            <a:gradFill rotWithShape="1">
              <a:gsLst>
                <a:gs pos="0">
                  <a:schemeClr val="accent6">
                    <a:lumMod val="80000"/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lumMod val="8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0799313488753494E-2"/>
                  <c:y val="-1.2626856616521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69-4A15-BE7B-27B95D9E6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BaoCaoQuy!$K$39:$K$41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69-4A15-BE7B-27B95D9E63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010688"/>
        <c:axId val="81012224"/>
      </c:barChart>
      <c:catAx>
        <c:axId val="810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2224"/>
        <c:crosses val="autoZero"/>
        <c:auto val="1"/>
        <c:lblAlgn val="ctr"/>
        <c:lblOffset val="100"/>
        <c:noMultiLvlLbl val="0"/>
      </c:catAx>
      <c:valAx>
        <c:axId val="81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HỢP</a:t>
            </a:r>
            <a:r>
              <a:rPr lang="en-US" b="1" baseline="0"/>
              <a:t> ĐỒNG - DOANH THU</a:t>
            </a:r>
            <a:endParaRPr lang="vi-VN" b="1"/>
          </a:p>
        </c:rich>
      </c:tx>
      <c:overlay val="0"/>
      <c:spPr>
        <a:noFill/>
        <a:ln w="2540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91-456A-883B-15D4B678B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96704"/>
        <c:axId val="81098240"/>
      </c:barChart>
      <c:lineChart>
        <c:grouping val="standard"/>
        <c:varyColors val="0"/>
        <c:ser>
          <c:idx val="2"/>
          <c:order val="1"/>
          <c:tx>
            <c:v>Hợp đồng</c:v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464969353134018E-2"/>
                  <c:y val="-6.4814814814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91-456A-883B-15D4B678BB4F}"/>
                </c:ext>
              </c:extLst>
            </c:dLbl>
            <c:dLbl>
              <c:idx val="1"/>
              <c:layout>
                <c:manualLayout>
                  <c:x val="-3.179390449174818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91-456A-883B-15D4B678BB4F}"/>
                </c:ext>
              </c:extLst>
            </c:dLbl>
            <c:dLbl>
              <c:idx val="2"/>
              <c:layout>
                <c:manualLayout>
                  <c:x val="-3.7574614399338721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91-456A-883B-15D4B678BB4F}"/>
                </c:ext>
              </c:extLst>
            </c:dLbl>
            <c:dLbl>
              <c:idx val="3"/>
              <c:layout>
                <c:manualLayout>
                  <c:x val="-3.1793904491748154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91-456A-883B-15D4B678BB4F}"/>
                </c:ext>
              </c:extLst>
            </c:dLbl>
            <c:dLbl>
              <c:idx val="4"/>
              <c:layout>
                <c:manualLayout>
                  <c:x val="-2.6013194584157535E-2"/>
                  <c:y val="-4.6296296296296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91-456A-883B-15D4B678BB4F}"/>
                </c:ext>
              </c:extLst>
            </c:dLbl>
            <c:dLbl>
              <c:idx val="7"/>
              <c:layout>
                <c:manualLayout>
                  <c:x val="9.0351744728778601E-3"/>
                  <c:y val="-7.3529411764705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91-456A-883B-15D4B678BB4F}"/>
                </c:ext>
              </c:extLst>
            </c:dLbl>
            <c:dLbl>
              <c:idx val="8"/>
              <c:layout>
                <c:manualLayout>
                  <c:x val="-9.4653115322617068E-17"/>
                  <c:y val="-0.10294117647058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91-456A-883B-15D4B678BB4F}"/>
                </c:ext>
              </c:extLst>
            </c:dLbl>
            <c:dLbl>
              <c:idx val="9"/>
              <c:layout>
                <c:manualLayout>
                  <c:x val="1.161665289370001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91-456A-883B-15D4B678BB4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9191-456A-883B-15D4B678BB4F}"/>
            </c:ext>
          </c:extLst>
        </c:ser>
        <c:ser>
          <c:idx val="1"/>
          <c:order val="2"/>
          <c:tx>
            <c:v>Doanh thu</c:v>
          </c:tx>
          <c:spPr>
            <a:ln w="28575" cap="rnd" cmpd="sng" algn="ctr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prstDash val="solid"/>
                <a:round/>
              </a:ln>
              <a:effectLst/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91-456A-883B-15D4B678B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96704"/>
        <c:axId val="81098240"/>
      </c:lineChart>
      <c:catAx>
        <c:axId val="810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8240"/>
        <c:crosses val="autoZero"/>
        <c:auto val="1"/>
        <c:lblAlgn val="ctr"/>
        <c:lblOffset val="100"/>
        <c:noMultiLvlLbl val="0"/>
      </c:catAx>
      <c:valAx>
        <c:axId val="810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67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5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93-4BE2-9705-F6991761058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93-4BE2-9705-F6991761058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93-4BE2-9705-F6991761058B}"/>
              </c:ext>
            </c:extLst>
          </c:dPt>
          <c:dLbls>
            <c:dLbl>
              <c:idx val="0"/>
              <c:layout>
                <c:manualLayout>
                  <c:x val="2.0122679320457835E-2"/>
                  <c:y val="-0.127434845386237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93-4BE2-9705-F6991761058B}"/>
                </c:ext>
              </c:extLst>
            </c:dLbl>
            <c:dLbl>
              <c:idx val="1"/>
              <c:layout>
                <c:manualLayout>
                  <c:x val="-6.5486081206784313E-2"/>
                  <c:y val="-6.35961230976180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93-4BE2-9705-F6991761058B}"/>
                </c:ext>
              </c:extLst>
            </c:dLbl>
            <c:dLbl>
              <c:idx val="2"/>
              <c:layout>
                <c:manualLayout>
                  <c:x val="0.27044794533852312"/>
                  <c:y val="2.534489990123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93-4BE2-9705-F699176105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BaoCaoQuy!$G$39:$G$41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93-4BE2-9705-F69917610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1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C7-48BB-9C35-9D171504A00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C7-48BB-9C35-9D171504A00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C7-48BB-9C35-9D171504A005}"/>
              </c:ext>
            </c:extLst>
          </c:dPt>
          <c:dLbls>
            <c:dLbl>
              <c:idx val="0"/>
              <c:layout>
                <c:manualLayout>
                  <c:x val="7.2509514324911137E-2"/>
                  <c:y val="-0.40038366675801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97897305647587"/>
                      <c:h val="0.174372547300963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C7-48BB-9C35-9D171504A005}"/>
                </c:ext>
              </c:extLst>
            </c:dLbl>
            <c:dLbl>
              <c:idx val="1"/>
              <c:layout>
                <c:manualLayout>
                  <c:x val="-4.2203555168403156E-2"/>
                  <c:y val="1.92981716470487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C7-48BB-9C35-9D171504A005}"/>
                </c:ext>
              </c:extLst>
            </c:dLbl>
            <c:dLbl>
              <c:idx val="2"/>
              <c:layout>
                <c:manualLayout>
                  <c:x val="0.2214370652583515"/>
                  <c:y val="2.29733207803415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C7-48BB-9C35-9D171504A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BaoCaoQuy!$A$39:$A$41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BaoCaoQuy!$M$39:$M$41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C7-48BB-9C35-9D171504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Hợp</a:t>
            </a:r>
            <a:r>
              <a:rPr lang="en-US" sz="1400" b="0" baseline="0"/>
              <a:t> đồng</a:t>
            </a:r>
            <a:endParaRPr lang="vi-VN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4B-4410-B82A-CC88D092104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4B-4410-B82A-CC88D0921042}"/>
              </c:ext>
            </c:extLst>
          </c:dPt>
          <c:dLbls>
            <c:dLbl>
              <c:idx val="0"/>
              <c:layout>
                <c:manualLayout>
                  <c:x val="9.7152200514700485E-2"/>
                  <c:y val="1.52033010650530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4053799915097"/>
                      <c:h val="0.166458367015508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44B-4410-B82A-CC88D0921042}"/>
                </c:ext>
              </c:extLst>
            </c:dLbl>
            <c:dLbl>
              <c:idx val="1"/>
              <c:layout>
                <c:manualLayout>
                  <c:x val="7.6769782149287641E-3"/>
                  <c:y val="-0.11971674275053645"/>
                </c:manualLayout>
              </c:layout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423820121361275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44B-4410-B82A-CC88D0921042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BaoCaoQuy!$N$38:$O$38</c:f>
              <c:numCache>
                <c:formatCode>General</c:formatCode>
                <c:ptCount val="2"/>
              </c:numCache>
            </c:numRef>
          </c:cat>
          <c:val>
            <c:numRef>
              <c:f>BaoCaoQuy!$N$39:$O$39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344B-4410-B82A-CC88D092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HỢP ĐỒNG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chinh'!$C$46:$E$46</c:f>
              <c:numCache>
                <c:formatCode>#,##0</c:formatCode>
                <c:ptCount val="3"/>
                <c:pt idx="0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B97-9888-8097D1F48235}"/>
            </c:ext>
          </c:extLst>
        </c:ser>
        <c:ser>
          <c:idx val="1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chinh'!$C$47:$E$47</c:f>
              <c:numCache>
                <c:formatCode>#,##0</c:formatCode>
                <c:ptCount val="3"/>
                <c:pt idx="1">
                  <c:v>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B-4B97-9888-8097D1F48235}"/>
            </c:ext>
          </c:extLst>
        </c:ser>
        <c:ser>
          <c:idx val="2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chinh'!$C$48:$E$48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B-4B97-9888-8097D1F48235}"/>
            </c:ext>
          </c:extLst>
        </c:ser>
        <c:ser>
          <c:idx val="3"/>
          <c:order val="3"/>
          <c:tx>
            <c:strRef>
              <c:f>'KH hieu chinh'!$B$50</c:f>
              <c:strCache>
                <c:ptCount val="1"/>
                <c:pt idx="0">
                  <c:v>Nguồn DT dự kiến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chinh'!$C$50:$E$50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B-4B97-9888-8097D1F48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5736064"/>
        <c:axId val="85758336"/>
      </c:barChart>
      <c:catAx>
        <c:axId val="85736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5758336"/>
        <c:crosses val="autoZero"/>
        <c:auto val="1"/>
        <c:lblAlgn val="ctr"/>
        <c:lblOffset val="100"/>
        <c:noMultiLvlLbl val="0"/>
      </c:catAx>
      <c:valAx>
        <c:axId val="85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HỢP DOANH THU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'KH hieu chinh'!$B$46</c:f>
              <c:strCache>
                <c:ptCount val="1"/>
                <c:pt idx="0">
                  <c:v>KH năm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chinh'!$F$46:$H$46</c:f>
              <c:numCache>
                <c:formatCode>#,##0</c:formatCode>
                <c:ptCount val="3"/>
                <c:pt idx="0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6-4D68-9F84-C2ACF7C914BB}"/>
            </c:ext>
          </c:extLst>
        </c:ser>
        <c:ser>
          <c:idx val="4"/>
          <c:order val="1"/>
          <c:tx>
            <c:strRef>
              <c:f>'KH hieu chinh'!$B$47</c:f>
              <c:strCache>
                <c:ptCount val="1"/>
                <c:pt idx="0">
                  <c:v>KH còn lại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chinh'!$F$47:$H$47</c:f>
              <c:numCache>
                <c:formatCode>#,##0</c:formatCode>
                <c:ptCount val="3"/>
                <c:pt idx="1">
                  <c:v>9000000000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6-4D68-9F84-C2ACF7C914BB}"/>
            </c:ext>
          </c:extLst>
        </c:ser>
        <c:ser>
          <c:idx val="5"/>
          <c:order val="2"/>
          <c:tx>
            <c:strRef>
              <c:f>'KH hieu chinh'!$B$48</c:f>
              <c:strCache>
                <c:ptCount val="1"/>
                <c:pt idx="0">
                  <c:v>Thực tế (đạt)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chinh'!$F$48:$H$48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6-4D68-9F84-C2ACF7C914BB}"/>
            </c:ext>
          </c:extLst>
        </c:ser>
        <c:ser>
          <c:idx val="1"/>
          <c:order val="3"/>
          <c:tx>
            <c:strRef>
              <c:f>'KH hieu chinh'!$B$49</c:f>
              <c:strCache>
                <c:ptCount val="1"/>
                <c:pt idx="0">
                  <c:v>Nguồn thu (HĐ đã ký)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chinh'!$F$49:$H$49</c:f>
              <c:numCache>
                <c:formatCode>#,##0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6-4D68-9F84-C2ACF7C914BB}"/>
            </c:ext>
          </c:extLst>
        </c:ser>
        <c:ser>
          <c:idx val="0"/>
          <c:order val="4"/>
          <c:tx>
            <c:strRef>
              <c:f>'KH hieu chinh'!$B$50</c:f>
              <c:strCache>
                <c:ptCount val="1"/>
                <c:pt idx="0">
                  <c:v>Nguồn DT dự kiến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'KH hieu chinh'!$F$50:$H$50</c:f>
              <c:numCache>
                <c:formatCode>#,##0</c:formatCode>
                <c:ptCount val="3"/>
                <c:pt idx="2">
                  <c:v>854990000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6-4D68-9F84-C2ACF7C91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6357504"/>
        <c:axId val="86359040"/>
      </c:barChart>
      <c:catAx>
        <c:axId val="8635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6359040"/>
        <c:crosses val="autoZero"/>
        <c:auto val="1"/>
        <c:lblAlgn val="ctr"/>
        <c:lblOffset val="100"/>
        <c:noMultiLvlLbl val="0"/>
      </c:catAx>
      <c:valAx>
        <c:axId val="86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</a:t>
            </a:r>
            <a:r>
              <a:rPr lang="en-US" baseline="0"/>
              <a:t> thu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AD-4DC8-9FC6-0D91F9F9FB9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D-4DC8-9FC6-0D91F9F9FB9B}"/>
              </c:ext>
            </c:extLst>
          </c:dPt>
          <c:dLbls>
            <c:dLbl>
              <c:idx val="0"/>
              <c:layout>
                <c:manualLayout>
                  <c:x val="0.12459334474741185"/>
                  <c:y val="4.3954556112423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12778854908078"/>
                      <c:h val="0.166458569730705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2AD-4DC8-9FC6-0D91F9F9FB9B}"/>
                </c:ext>
              </c:extLst>
            </c:dLbl>
            <c:dLbl>
              <c:idx val="1"/>
              <c:layout>
                <c:manualLayout>
                  <c:x val="-6.3053006977350182E-2"/>
                  <c:y val="-0.118461675552755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52777614822237"/>
                      <c:h val="0.166458569730705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2AD-4DC8-9FC6-0D91F9F9F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BaoCaoQuy!$P$38:$Q$38</c:f>
              <c:numCache>
                <c:formatCode>General</c:formatCode>
                <c:ptCount val="2"/>
              </c:numCache>
            </c:numRef>
          </c:cat>
          <c:val>
            <c:numRef>
              <c:f>BaoCaoQuy!$P$39:$Q$39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22AD-4DC8-9FC6-0D91F9F9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DOANH THU</a:t>
            </a:r>
            <a:endParaRPr lang="vi-V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4.626942723913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21-460C-921F-FD0279A13206}"/>
                </c:ext>
              </c:extLst>
            </c:dLbl>
            <c:dLbl>
              <c:idx val="2"/>
              <c:layout>
                <c:manualLayout>
                  <c:x val="2.7861257955540892E-3"/>
                  <c:y val="-6.9404140858709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21-460C-921F-FD0279A132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BaoCaoQuy!$A$7:$A$9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BaoCaoQuy!$H$7:$H$9</c:f>
              <c:numCache>
                <c:formatCode>_(* #,##0_);_(* \(#,##0\);_(* "-"??_);_(@_)</c:formatCode>
                <c:ptCount val="3"/>
                <c:pt idx="0">
                  <c:v>2700000000</c:v>
                </c:pt>
                <c:pt idx="1">
                  <c:v>822572500</c:v>
                </c:pt>
                <c:pt idx="2">
                  <c:v>48286170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1-460C-921F-FD0279A13206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BaoCaoQuy!$A$7:$A$9</c:f>
              <c:strCache>
                <c:ptCount val="3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</c:strCache>
            </c:strRef>
          </c:cat>
          <c:val>
            <c:numRef>
              <c:f>BaoCaoQuy!$I$7:$I$9</c:f>
              <c:numCache>
                <c:formatCode>_(* #,##0_);_(* \(#,##0\);_(*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1-460C-921F-FD0279A13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049272"/>
        <c:axId val="410091584"/>
      </c:barChart>
      <c:catAx>
        <c:axId val="41004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91584"/>
        <c:crosses val="autoZero"/>
        <c:auto val="1"/>
        <c:lblAlgn val="ctr"/>
        <c:lblOffset val="100"/>
        <c:noMultiLvlLbl val="0"/>
      </c:catAx>
      <c:valAx>
        <c:axId val="4100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4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HỢP</a:t>
            </a:r>
            <a:r>
              <a:rPr lang="en-US" b="1" baseline="0"/>
              <a:t> ĐỒNG</a:t>
            </a:r>
            <a:endParaRPr lang="vi-V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0925337632079971E-17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6C-420C-8BA0-0792BE6C81A3}"/>
                </c:ext>
              </c:extLst>
            </c:dLbl>
            <c:dLbl>
              <c:idx val="2"/>
              <c:layout>
                <c:manualLayout>
                  <c:x val="0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6C-420C-8BA0-0792BE6C81A3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6C-420C-8BA0-0792BE6C8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BaoCaoQuy!$A$7:$A$10</c:f>
              <c:strCache>
                <c:ptCount val="4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  <c:pt idx="3">
                  <c:v>Quý I</c:v>
                </c:pt>
              </c:strCache>
            </c:strRef>
          </c:cat>
          <c:val>
            <c:numRef>
              <c:f>BaoCaoQuy!$C$7:$C$10</c:f>
              <c:numCache>
                <c:formatCode>#,##0</c:formatCode>
                <c:ptCount val="4"/>
                <c:pt idx="0">
                  <c:v>2700000000</c:v>
                </c:pt>
                <c:pt idx="1">
                  <c:v>0</c:v>
                </c:pt>
                <c:pt idx="2">
                  <c:v>0</c:v>
                </c:pt>
                <c:pt idx="3">
                  <c:v>2700000000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C-420C-8BA0-0792BE6C81A3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BaoCaoQuy!$A$7:$A$10</c:f>
              <c:strCache>
                <c:ptCount val="4"/>
                <c:pt idx="0">
                  <c:v>ITO</c:v>
                </c:pt>
                <c:pt idx="1">
                  <c:v>UNI</c:v>
                </c:pt>
                <c:pt idx="2">
                  <c:v>G2B</c:v>
                </c:pt>
                <c:pt idx="3">
                  <c:v>Quý I</c:v>
                </c:pt>
              </c:strCache>
            </c:strRef>
          </c:cat>
          <c:val>
            <c:numRef>
              <c:f>BaoCaoQuy!$D$7:$D$10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C-420C-8BA0-0792BE6C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52788336"/>
        <c:axId val="452788664"/>
      </c:barChart>
      <c:catAx>
        <c:axId val="4527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88664"/>
        <c:crosses val="autoZero"/>
        <c:auto val="1"/>
        <c:lblAlgn val="ctr"/>
        <c:lblOffset val="100"/>
        <c:noMultiLvlLbl val="0"/>
      </c:catAx>
      <c:valAx>
        <c:axId val="452788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527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11" Type="http://schemas.openxmlformats.org/officeDocument/2006/relationships/chart" Target="../charts/chart55.xml"/><Relationship Id="rId5" Type="http://schemas.openxmlformats.org/officeDocument/2006/relationships/chart" Target="../charts/chart49.xml"/><Relationship Id="rId10" Type="http://schemas.openxmlformats.org/officeDocument/2006/relationships/chart" Target="../charts/chart54.xml"/><Relationship Id="rId4" Type="http://schemas.openxmlformats.org/officeDocument/2006/relationships/chart" Target="../charts/chart48.xml"/><Relationship Id="rId9" Type="http://schemas.openxmlformats.org/officeDocument/2006/relationships/chart" Target="../charts/chart5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4</xdr:col>
      <xdr:colOff>9525</xdr:colOff>
      <xdr:row>15</xdr:row>
      <xdr:rowOff>22412</xdr:rowOff>
    </xdr:to>
    <xdr:graphicFrame macro="">
      <xdr:nvGraphicFramePr>
        <xdr:cNvPr id="28526572" name="Chart 4">
          <a:extLst>
            <a:ext uri="{FF2B5EF4-FFF2-40B4-BE49-F238E27FC236}">
              <a16:creationId xmlns:a16="http://schemas.microsoft.com/office/drawing/2014/main" id="{00000000-0008-0000-0200-0000EC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2</xdr:row>
      <xdr:rowOff>28575</xdr:rowOff>
    </xdr:from>
    <xdr:to>
      <xdr:col>11</xdr:col>
      <xdr:colOff>485775</xdr:colOff>
      <xdr:row>15</xdr:row>
      <xdr:rowOff>33618</xdr:rowOff>
    </xdr:to>
    <xdr:graphicFrame macro="">
      <xdr:nvGraphicFramePr>
        <xdr:cNvPr id="28526573" name="Chart 6">
          <a:extLst>
            <a:ext uri="{FF2B5EF4-FFF2-40B4-BE49-F238E27FC236}">
              <a16:creationId xmlns:a16="http://schemas.microsoft.com/office/drawing/2014/main" id="{00000000-0008-0000-0200-0000ED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28575</xdr:rowOff>
    </xdr:from>
    <xdr:to>
      <xdr:col>11</xdr:col>
      <xdr:colOff>447675</xdr:colOff>
      <xdr:row>45</xdr:row>
      <xdr:rowOff>104775</xdr:rowOff>
    </xdr:to>
    <xdr:graphicFrame macro="">
      <xdr:nvGraphicFramePr>
        <xdr:cNvPr id="28526574" name="Chart 9">
          <a:extLst>
            <a:ext uri="{FF2B5EF4-FFF2-40B4-BE49-F238E27FC236}">
              <a16:creationId xmlns:a16="http://schemas.microsoft.com/office/drawing/2014/main" id="{00000000-0008-0000-0200-0000EE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48</xdr:row>
      <xdr:rowOff>76200</xdr:rowOff>
    </xdr:from>
    <xdr:to>
      <xdr:col>11</xdr:col>
      <xdr:colOff>438150</xdr:colOff>
      <xdr:row>62</xdr:row>
      <xdr:rowOff>161925</xdr:rowOff>
    </xdr:to>
    <xdr:graphicFrame macro="">
      <xdr:nvGraphicFramePr>
        <xdr:cNvPr id="28526575" name="Chart 11">
          <a:extLst>
            <a:ext uri="{FF2B5EF4-FFF2-40B4-BE49-F238E27FC236}">
              <a16:creationId xmlns:a16="http://schemas.microsoft.com/office/drawing/2014/main" id="{00000000-0008-0000-0200-0000EF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64</xdr:row>
      <xdr:rowOff>19050</xdr:rowOff>
    </xdr:from>
    <xdr:to>
      <xdr:col>11</xdr:col>
      <xdr:colOff>419100</xdr:colOff>
      <xdr:row>78</xdr:row>
      <xdr:rowOff>95250</xdr:rowOff>
    </xdr:to>
    <xdr:graphicFrame macro="">
      <xdr:nvGraphicFramePr>
        <xdr:cNvPr id="28526576" name="Chart 13">
          <a:extLst>
            <a:ext uri="{FF2B5EF4-FFF2-40B4-BE49-F238E27FC236}">
              <a16:creationId xmlns:a16="http://schemas.microsoft.com/office/drawing/2014/main" id="{00000000-0008-0000-0200-0000F0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16</xdr:row>
      <xdr:rowOff>38100</xdr:rowOff>
    </xdr:from>
    <xdr:to>
      <xdr:col>4</xdr:col>
      <xdr:colOff>0</xdr:colOff>
      <xdr:row>28</xdr:row>
      <xdr:rowOff>180975</xdr:rowOff>
    </xdr:to>
    <xdr:graphicFrame macro="">
      <xdr:nvGraphicFramePr>
        <xdr:cNvPr id="28526577" name="Chart 15">
          <a:extLst>
            <a:ext uri="{FF2B5EF4-FFF2-40B4-BE49-F238E27FC236}">
              <a16:creationId xmlns:a16="http://schemas.microsoft.com/office/drawing/2014/main" id="{00000000-0008-0000-0200-0000F1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104775</xdr:colOff>
      <xdr:row>16</xdr:row>
      <xdr:rowOff>19050</xdr:rowOff>
    </xdr:from>
    <xdr:to>
      <xdr:col>11</xdr:col>
      <xdr:colOff>457200</xdr:colOff>
      <xdr:row>28</xdr:row>
      <xdr:rowOff>161925</xdr:rowOff>
    </xdr:to>
    <xdr:graphicFrame macro="">
      <xdr:nvGraphicFramePr>
        <xdr:cNvPr id="28526578" name="Chart 16">
          <a:extLst>
            <a:ext uri="{FF2B5EF4-FFF2-40B4-BE49-F238E27FC236}">
              <a16:creationId xmlns:a16="http://schemas.microsoft.com/office/drawing/2014/main" id="{00000000-0008-0000-0200-0000F2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526773</xdr:colOff>
      <xdr:row>31</xdr:row>
      <xdr:rowOff>52181</xdr:rowOff>
    </xdr:from>
    <xdr:to>
      <xdr:col>14</xdr:col>
      <xdr:colOff>198783</xdr:colOff>
      <xdr:row>45</xdr:row>
      <xdr:rowOff>128381</xdr:rowOff>
    </xdr:to>
    <xdr:graphicFrame macro="">
      <xdr:nvGraphicFramePr>
        <xdr:cNvPr id="28526579" name="Chart 18">
          <a:extLst>
            <a:ext uri="{FF2B5EF4-FFF2-40B4-BE49-F238E27FC236}">
              <a16:creationId xmlns:a16="http://schemas.microsoft.com/office/drawing/2014/main" id="{00000000-0008-0000-0200-0000F3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48</xdr:row>
      <xdr:rowOff>76200</xdr:rowOff>
    </xdr:from>
    <xdr:to>
      <xdr:col>15</xdr:col>
      <xdr:colOff>1219200</xdr:colOff>
      <xdr:row>62</xdr:row>
      <xdr:rowOff>152400</xdr:rowOff>
    </xdr:to>
    <xdr:graphicFrame macro="">
      <xdr:nvGraphicFramePr>
        <xdr:cNvPr id="28526580" name="Chart 19">
          <a:extLst>
            <a:ext uri="{FF2B5EF4-FFF2-40B4-BE49-F238E27FC236}">
              <a16:creationId xmlns:a16="http://schemas.microsoft.com/office/drawing/2014/main" id="{00000000-0008-0000-0200-0000F4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609599</xdr:colOff>
      <xdr:row>64</xdr:row>
      <xdr:rowOff>9525</xdr:rowOff>
    </xdr:from>
    <xdr:to>
      <xdr:col>15</xdr:col>
      <xdr:colOff>1247774</xdr:colOff>
      <xdr:row>78</xdr:row>
      <xdr:rowOff>85725</xdr:rowOff>
    </xdr:to>
    <xdr:graphicFrame macro="">
      <xdr:nvGraphicFramePr>
        <xdr:cNvPr id="28526581" name="Chart 20">
          <a:extLst>
            <a:ext uri="{FF2B5EF4-FFF2-40B4-BE49-F238E27FC236}">
              <a16:creationId xmlns:a16="http://schemas.microsoft.com/office/drawing/2014/main" id="{00000000-0008-0000-0200-0000F5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81</xdr:row>
      <xdr:rowOff>28575</xdr:rowOff>
    </xdr:from>
    <xdr:to>
      <xdr:col>11</xdr:col>
      <xdr:colOff>409575</xdr:colOff>
      <xdr:row>97</xdr:row>
      <xdr:rowOff>28575</xdr:rowOff>
    </xdr:to>
    <xdr:graphicFrame macro="">
      <xdr:nvGraphicFramePr>
        <xdr:cNvPr id="28526582" name="Chart 12">
          <a:extLst>
            <a:ext uri="{FF2B5EF4-FFF2-40B4-BE49-F238E27FC236}">
              <a16:creationId xmlns:a16="http://schemas.microsoft.com/office/drawing/2014/main" id="{00000000-0008-0000-0200-0000F6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4481</xdr:colOff>
      <xdr:row>81</xdr:row>
      <xdr:rowOff>28575</xdr:rowOff>
    </xdr:from>
    <xdr:to>
      <xdr:col>15</xdr:col>
      <xdr:colOff>1228724</xdr:colOff>
      <xdr:row>97</xdr:row>
      <xdr:rowOff>28575</xdr:rowOff>
    </xdr:to>
    <xdr:graphicFrame macro="">
      <xdr:nvGraphicFramePr>
        <xdr:cNvPr id="28526583" name="Chart 13">
          <a:extLst>
            <a:ext uri="{FF2B5EF4-FFF2-40B4-BE49-F238E27FC236}">
              <a16:creationId xmlns:a16="http://schemas.microsoft.com/office/drawing/2014/main" id="{00000000-0008-0000-0200-0000F7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91526</xdr:colOff>
      <xdr:row>98</xdr:row>
      <xdr:rowOff>0</xdr:rowOff>
    </xdr:from>
    <xdr:to>
      <xdr:col>2</xdr:col>
      <xdr:colOff>902804</xdr:colOff>
      <xdr:row>112</xdr:row>
      <xdr:rowOff>47625</xdr:rowOff>
    </xdr:to>
    <xdr:graphicFrame macro="">
      <xdr:nvGraphicFramePr>
        <xdr:cNvPr id="28526584" name="Chart 14">
          <a:extLst>
            <a:ext uri="{FF2B5EF4-FFF2-40B4-BE49-F238E27FC236}">
              <a16:creationId xmlns:a16="http://schemas.microsoft.com/office/drawing/2014/main" id="{00000000-0008-0000-0200-0000F8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1013378</xdr:colOff>
      <xdr:row>98</xdr:row>
      <xdr:rowOff>8282</xdr:rowOff>
    </xdr:from>
    <xdr:to>
      <xdr:col>5</xdr:col>
      <xdr:colOff>364436</xdr:colOff>
      <xdr:row>112</xdr:row>
      <xdr:rowOff>55907</xdr:rowOff>
    </xdr:to>
    <xdr:graphicFrame macro="">
      <xdr:nvGraphicFramePr>
        <xdr:cNvPr id="28526585" name="Chart 15">
          <a:extLst>
            <a:ext uri="{FF2B5EF4-FFF2-40B4-BE49-F238E27FC236}">
              <a16:creationId xmlns:a16="http://schemas.microsoft.com/office/drawing/2014/main" id="{00000000-0008-0000-0200-0000F9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466313</xdr:colOff>
      <xdr:row>98</xdr:row>
      <xdr:rowOff>8283</xdr:rowOff>
    </xdr:from>
    <xdr:to>
      <xdr:col>13</xdr:col>
      <xdr:colOff>1304925</xdr:colOff>
      <xdr:row>112</xdr:row>
      <xdr:rowOff>74958</xdr:rowOff>
    </xdr:to>
    <xdr:graphicFrame macro="">
      <xdr:nvGraphicFramePr>
        <xdr:cNvPr id="28526586" name="Chart 16">
          <a:extLst>
            <a:ext uri="{FF2B5EF4-FFF2-40B4-BE49-F238E27FC236}">
              <a16:creationId xmlns:a16="http://schemas.microsoft.com/office/drawing/2014/main" id="{00000000-0008-0000-0200-0000FA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66675</xdr:colOff>
      <xdr:row>115</xdr:row>
      <xdr:rowOff>85725</xdr:rowOff>
    </xdr:from>
    <xdr:to>
      <xdr:col>11</xdr:col>
      <xdr:colOff>400050</xdr:colOff>
      <xdr:row>131</xdr:row>
      <xdr:rowOff>180975</xdr:rowOff>
    </xdr:to>
    <xdr:graphicFrame macro="">
      <xdr:nvGraphicFramePr>
        <xdr:cNvPr id="28526587" name="Chart 1">
          <a:extLst>
            <a:ext uri="{FF2B5EF4-FFF2-40B4-BE49-F238E27FC236}">
              <a16:creationId xmlns:a16="http://schemas.microsoft.com/office/drawing/2014/main" id="{00000000-0008-0000-0200-0000FB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57149</xdr:colOff>
      <xdr:row>115</xdr:row>
      <xdr:rowOff>76200</xdr:rowOff>
    </xdr:from>
    <xdr:to>
      <xdr:col>15</xdr:col>
      <xdr:colOff>1247774</xdr:colOff>
      <xdr:row>132</xdr:row>
      <xdr:rowOff>0</xdr:rowOff>
    </xdr:to>
    <xdr:graphicFrame macro="">
      <xdr:nvGraphicFramePr>
        <xdr:cNvPr id="28526588" name="Chart 2">
          <a:extLst>
            <a:ext uri="{FF2B5EF4-FFF2-40B4-BE49-F238E27FC236}">
              <a16:creationId xmlns:a16="http://schemas.microsoft.com/office/drawing/2014/main" id="{00000000-0008-0000-0200-0000FC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57150</xdr:colOff>
      <xdr:row>132</xdr:row>
      <xdr:rowOff>76200</xdr:rowOff>
    </xdr:from>
    <xdr:to>
      <xdr:col>2</xdr:col>
      <xdr:colOff>857250</xdr:colOff>
      <xdr:row>146</xdr:row>
      <xdr:rowOff>152400</xdr:rowOff>
    </xdr:to>
    <xdr:graphicFrame macro="">
      <xdr:nvGraphicFramePr>
        <xdr:cNvPr id="28526589" name="Chart 3">
          <a:extLst>
            <a:ext uri="{FF2B5EF4-FFF2-40B4-BE49-F238E27FC236}">
              <a16:creationId xmlns:a16="http://schemas.microsoft.com/office/drawing/2014/main" id="{00000000-0008-0000-0200-0000FD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962025</xdr:colOff>
      <xdr:row>132</xdr:row>
      <xdr:rowOff>85725</xdr:rowOff>
    </xdr:from>
    <xdr:to>
      <xdr:col>5</xdr:col>
      <xdr:colOff>323850</xdr:colOff>
      <xdr:row>146</xdr:row>
      <xdr:rowOff>161925</xdr:rowOff>
    </xdr:to>
    <xdr:graphicFrame macro="">
      <xdr:nvGraphicFramePr>
        <xdr:cNvPr id="28526590" name="Chart 4">
          <a:extLst>
            <a:ext uri="{FF2B5EF4-FFF2-40B4-BE49-F238E27FC236}">
              <a16:creationId xmlns:a16="http://schemas.microsoft.com/office/drawing/2014/main" id="{00000000-0008-0000-0200-0000FE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400051</xdr:colOff>
      <xdr:row>132</xdr:row>
      <xdr:rowOff>76200</xdr:rowOff>
    </xdr:from>
    <xdr:to>
      <xdr:col>13</xdr:col>
      <xdr:colOff>1304925</xdr:colOff>
      <xdr:row>146</xdr:row>
      <xdr:rowOff>152400</xdr:rowOff>
    </xdr:to>
    <xdr:graphicFrame macro="">
      <xdr:nvGraphicFramePr>
        <xdr:cNvPr id="28526591" name="Chart 5">
          <a:extLst>
            <a:ext uri="{FF2B5EF4-FFF2-40B4-BE49-F238E27FC236}">
              <a16:creationId xmlns:a16="http://schemas.microsoft.com/office/drawing/2014/main" id="{00000000-0008-0000-0200-0000FF47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76200</xdr:colOff>
      <xdr:row>150</xdr:row>
      <xdr:rowOff>47625</xdr:rowOff>
    </xdr:from>
    <xdr:to>
      <xdr:col>11</xdr:col>
      <xdr:colOff>428625</xdr:colOff>
      <xdr:row>164</xdr:row>
      <xdr:rowOff>123825</xdr:rowOff>
    </xdr:to>
    <xdr:graphicFrame macro="">
      <xdr:nvGraphicFramePr>
        <xdr:cNvPr id="29589504" name="Chart 1">
          <a:extLst>
            <a:ext uri="{FF2B5EF4-FFF2-40B4-BE49-F238E27FC236}">
              <a16:creationId xmlns:a16="http://schemas.microsoft.com/office/drawing/2014/main" id="{00000000-0008-0000-0200-00000080C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150</xdr:row>
      <xdr:rowOff>47625</xdr:rowOff>
    </xdr:from>
    <xdr:to>
      <xdr:col>15</xdr:col>
      <xdr:colOff>1219200</xdr:colOff>
      <xdr:row>164</xdr:row>
      <xdr:rowOff>123825</xdr:rowOff>
    </xdr:to>
    <xdr:graphicFrame macro="">
      <xdr:nvGraphicFramePr>
        <xdr:cNvPr id="29589505" name="Chart 2">
          <a:extLst>
            <a:ext uri="{FF2B5EF4-FFF2-40B4-BE49-F238E27FC236}">
              <a16:creationId xmlns:a16="http://schemas.microsoft.com/office/drawing/2014/main" id="{00000000-0008-0000-0200-00000180C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57150</xdr:colOff>
      <xdr:row>165</xdr:row>
      <xdr:rowOff>9525</xdr:rowOff>
    </xdr:from>
    <xdr:to>
      <xdr:col>11</xdr:col>
      <xdr:colOff>428625</xdr:colOff>
      <xdr:row>179</xdr:row>
      <xdr:rowOff>85725</xdr:rowOff>
    </xdr:to>
    <xdr:graphicFrame macro="">
      <xdr:nvGraphicFramePr>
        <xdr:cNvPr id="29589506" name="Chart 3">
          <a:extLst>
            <a:ext uri="{FF2B5EF4-FFF2-40B4-BE49-F238E27FC236}">
              <a16:creationId xmlns:a16="http://schemas.microsoft.com/office/drawing/2014/main" id="{00000000-0008-0000-0200-00000280C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590551</xdr:colOff>
      <xdr:row>165</xdr:row>
      <xdr:rowOff>0</xdr:rowOff>
    </xdr:from>
    <xdr:to>
      <xdr:col>15</xdr:col>
      <xdr:colOff>1181100</xdr:colOff>
      <xdr:row>179</xdr:row>
      <xdr:rowOff>76200</xdr:rowOff>
    </xdr:to>
    <xdr:graphicFrame macro="">
      <xdr:nvGraphicFramePr>
        <xdr:cNvPr id="29589507" name="Chart 4">
          <a:extLst>
            <a:ext uri="{FF2B5EF4-FFF2-40B4-BE49-F238E27FC236}">
              <a16:creationId xmlns:a16="http://schemas.microsoft.com/office/drawing/2014/main" id="{00000000-0008-0000-0200-00000380C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33130</xdr:colOff>
      <xdr:row>182</xdr:row>
      <xdr:rowOff>49694</xdr:rowOff>
    </xdr:from>
    <xdr:to>
      <xdr:col>11</xdr:col>
      <xdr:colOff>414129</xdr:colOff>
      <xdr:row>196</xdr:row>
      <xdr:rowOff>132522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591476</xdr:colOff>
      <xdr:row>182</xdr:row>
      <xdr:rowOff>57978</xdr:rowOff>
    </xdr:from>
    <xdr:to>
      <xdr:col>15</xdr:col>
      <xdr:colOff>1171575</xdr:colOff>
      <xdr:row>196</xdr:row>
      <xdr:rowOff>134178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33131</xdr:colOff>
      <xdr:row>197</xdr:row>
      <xdr:rowOff>16565</xdr:rowOff>
    </xdr:from>
    <xdr:to>
      <xdr:col>2</xdr:col>
      <xdr:colOff>971550</xdr:colOff>
      <xdr:row>211</xdr:row>
      <xdr:rowOff>92765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1082920</xdr:colOff>
      <xdr:row>197</xdr:row>
      <xdr:rowOff>26090</xdr:rowOff>
    </xdr:from>
    <xdr:to>
      <xdr:col>5</xdr:col>
      <xdr:colOff>457200</xdr:colOff>
      <xdr:row>211</xdr:row>
      <xdr:rowOff>102290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529674</xdr:colOff>
      <xdr:row>197</xdr:row>
      <xdr:rowOff>35616</xdr:rowOff>
    </xdr:from>
    <xdr:to>
      <xdr:col>13</xdr:col>
      <xdr:colOff>1323976</xdr:colOff>
      <xdr:row>211</xdr:row>
      <xdr:rowOff>111816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23811</xdr:colOff>
      <xdr:row>213</xdr:row>
      <xdr:rowOff>31750</xdr:rowOff>
    </xdr:from>
    <xdr:to>
      <xdr:col>11</xdr:col>
      <xdr:colOff>420687</xdr:colOff>
      <xdr:row>227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15874</xdr:colOff>
      <xdr:row>213</xdr:row>
      <xdr:rowOff>31750</xdr:rowOff>
    </xdr:from>
    <xdr:to>
      <xdr:col>15</xdr:col>
      <xdr:colOff>1257299</xdr:colOff>
      <xdr:row>227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23812</xdr:colOff>
      <xdr:row>228</xdr:row>
      <xdr:rowOff>15875</xdr:rowOff>
    </xdr:from>
    <xdr:to>
      <xdr:col>2</xdr:col>
      <xdr:colOff>914400</xdr:colOff>
      <xdr:row>242</xdr:row>
      <xdr:rowOff>92075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</xdr:col>
      <xdr:colOff>981075</xdr:colOff>
      <xdr:row>228</xdr:row>
      <xdr:rowOff>36512</xdr:rowOff>
    </xdr:from>
    <xdr:to>
      <xdr:col>5</xdr:col>
      <xdr:colOff>476250</xdr:colOff>
      <xdr:row>242</xdr:row>
      <xdr:rowOff>112712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571501</xdr:colOff>
      <xdr:row>228</xdr:row>
      <xdr:rowOff>38100</xdr:rowOff>
    </xdr:from>
    <xdr:to>
      <xdr:col>13</xdr:col>
      <xdr:colOff>1295400</xdr:colOff>
      <xdr:row>242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14</xdr:col>
      <xdr:colOff>281610</xdr:colOff>
      <xdr:row>31</xdr:row>
      <xdr:rowOff>49696</xdr:rowOff>
    </xdr:from>
    <xdr:to>
      <xdr:col>15</xdr:col>
      <xdr:colOff>1275523</xdr:colOff>
      <xdr:row>45</xdr:row>
      <xdr:rowOff>125896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38101</xdr:rowOff>
    </xdr:from>
    <xdr:to>
      <xdr:col>4</xdr:col>
      <xdr:colOff>161925</xdr:colOff>
      <xdr:row>8</xdr:row>
      <xdr:rowOff>152400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303557</xdr:colOff>
      <xdr:row>1</xdr:row>
      <xdr:rowOff>41413</xdr:rowOff>
    </xdr:from>
    <xdr:to>
      <xdr:col>9</xdr:col>
      <xdr:colOff>1446557</xdr:colOff>
      <xdr:row>8</xdr:row>
      <xdr:rowOff>184288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74</xdr:row>
      <xdr:rowOff>28575</xdr:rowOff>
    </xdr:from>
    <xdr:to>
      <xdr:col>9</xdr:col>
      <xdr:colOff>1438274</xdr:colOff>
      <xdr:row>87</xdr:row>
      <xdr:rowOff>142875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8</xdr:row>
      <xdr:rowOff>238125</xdr:rowOff>
    </xdr:from>
    <xdr:to>
      <xdr:col>4</xdr:col>
      <xdr:colOff>171450</xdr:colOff>
      <xdr:row>15</xdr:row>
      <xdr:rowOff>19050</xdr:rowOff>
    </xdr:to>
    <xdr:graphicFrame macro="">
      <xdr:nvGraphicFramePr>
        <xdr:cNvPr id="7" name="Chart 1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304801</xdr:colOff>
      <xdr:row>8</xdr:row>
      <xdr:rowOff>238126</xdr:rowOff>
    </xdr:from>
    <xdr:to>
      <xdr:col>9</xdr:col>
      <xdr:colOff>1428751</xdr:colOff>
      <xdr:row>15</xdr:row>
      <xdr:rowOff>28576</xdr:rowOff>
    </xdr:to>
    <xdr:graphicFrame macro="">
      <xdr:nvGraphicFramePr>
        <xdr:cNvPr id="8" name="Chart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266701</xdr:colOff>
      <xdr:row>17</xdr:row>
      <xdr:rowOff>170209</xdr:rowOff>
    </xdr:from>
    <xdr:to>
      <xdr:col>7</xdr:col>
      <xdr:colOff>295275</xdr:colOff>
      <xdr:row>30</xdr:row>
      <xdr:rowOff>9525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257176</xdr:colOff>
      <xdr:row>31</xdr:row>
      <xdr:rowOff>180975</xdr:rowOff>
    </xdr:from>
    <xdr:to>
      <xdr:col>7</xdr:col>
      <xdr:colOff>266700</xdr:colOff>
      <xdr:row>43</xdr:row>
      <xdr:rowOff>180975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266700</xdr:colOff>
      <xdr:row>46</xdr:row>
      <xdr:rowOff>188016</xdr:rowOff>
    </xdr:from>
    <xdr:to>
      <xdr:col>7</xdr:col>
      <xdr:colOff>304799</xdr:colOff>
      <xdr:row>58</xdr:row>
      <xdr:rowOff>171450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295275</xdr:colOff>
      <xdr:row>59</xdr:row>
      <xdr:rowOff>171450</xdr:rowOff>
    </xdr:from>
    <xdr:to>
      <xdr:col>7</xdr:col>
      <xdr:colOff>304800</xdr:colOff>
      <xdr:row>71</xdr:row>
      <xdr:rowOff>180975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38101</xdr:rowOff>
    </xdr:from>
    <xdr:to>
      <xdr:col>4</xdr:col>
      <xdr:colOff>161925</xdr:colOff>
      <xdr:row>9</xdr:row>
      <xdr:rowOff>152400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303557</xdr:colOff>
      <xdr:row>2</xdr:row>
      <xdr:rowOff>41413</xdr:rowOff>
    </xdr:from>
    <xdr:to>
      <xdr:col>9</xdr:col>
      <xdr:colOff>1446557</xdr:colOff>
      <xdr:row>9</xdr:row>
      <xdr:rowOff>184288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83</xdr:row>
      <xdr:rowOff>28575</xdr:rowOff>
    </xdr:from>
    <xdr:to>
      <xdr:col>9</xdr:col>
      <xdr:colOff>1438274</xdr:colOff>
      <xdr:row>96</xdr:row>
      <xdr:rowOff>142875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9</xdr:row>
      <xdr:rowOff>238125</xdr:rowOff>
    </xdr:from>
    <xdr:to>
      <xdr:col>4</xdr:col>
      <xdr:colOff>171450</xdr:colOff>
      <xdr:row>16</xdr:row>
      <xdr:rowOff>19050</xdr:rowOff>
    </xdr:to>
    <xdr:graphicFrame macro="">
      <xdr:nvGraphicFramePr>
        <xdr:cNvPr id="5" name="Chart 1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304801</xdr:colOff>
      <xdr:row>9</xdr:row>
      <xdr:rowOff>238126</xdr:rowOff>
    </xdr:from>
    <xdr:to>
      <xdr:col>9</xdr:col>
      <xdr:colOff>1428751</xdr:colOff>
      <xdr:row>16</xdr:row>
      <xdr:rowOff>28576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66674</xdr:colOff>
      <xdr:row>97</xdr:row>
      <xdr:rowOff>95250</xdr:rowOff>
    </xdr:from>
    <xdr:to>
      <xdr:col>4</xdr:col>
      <xdr:colOff>190500</xdr:colOff>
      <xdr:row>109</xdr:row>
      <xdr:rowOff>11206</xdr:rowOff>
    </xdr:to>
    <xdr:graphicFrame macro="">
      <xdr:nvGraphicFramePr>
        <xdr:cNvPr id="7" name="Chart 1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266700</xdr:colOff>
      <xdr:row>55</xdr:row>
      <xdr:rowOff>188016</xdr:rowOff>
    </xdr:from>
    <xdr:to>
      <xdr:col>7</xdr:col>
      <xdr:colOff>304799</xdr:colOff>
      <xdr:row>67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295275</xdr:colOff>
      <xdr:row>68</xdr:row>
      <xdr:rowOff>171450</xdr:rowOff>
    </xdr:from>
    <xdr:to>
      <xdr:col>7</xdr:col>
      <xdr:colOff>304800</xdr:colOff>
      <xdr:row>80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466725</xdr:colOff>
      <xdr:row>97</xdr:row>
      <xdr:rowOff>66675</xdr:rowOff>
    </xdr:from>
    <xdr:to>
      <xdr:col>10</xdr:col>
      <xdr:colOff>3313</xdr:colOff>
      <xdr:row>109</xdr:row>
      <xdr:rowOff>11206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173934</xdr:colOff>
      <xdr:row>19</xdr:row>
      <xdr:rowOff>66262</xdr:rowOff>
    </xdr:from>
    <xdr:to>
      <xdr:col>9</xdr:col>
      <xdr:colOff>1391477</xdr:colOff>
      <xdr:row>33</xdr:row>
      <xdr:rowOff>92766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52553</xdr:colOff>
      <xdr:row>19</xdr:row>
      <xdr:rowOff>39414</xdr:rowOff>
    </xdr:from>
    <xdr:to>
      <xdr:col>4</xdr:col>
      <xdr:colOff>13139</xdr:colOff>
      <xdr:row>33</xdr:row>
      <xdr:rowOff>69631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138350</xdr:colOff>
      <xdr:row>91</xdr:row>
      <xdr:rowOff>86591</xdr:rowOff>
    </xdr:from>
    <xdr:to>
      <xdr:col>24</xdr:col>
      <xdr:colOff>269253</xdr:colOff>
      <xdr:row>101</xdr:row>
      <xdr:rowOff>133972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73168" y="4468091"/>
          <a:ext cx="4350672" cy="1952381"/>
        </a:xfrm>
        <a:prstGeom prst="rect">
          <a:avLst/>
        </a:prstGeom>
      </xdr:spPr>
    </xdr:pic>
    <xdr:clientData/>
  </xdr:twoCellAnchor>
  <xdr:twoCellAnchor editAs="oneCell">
    <xdr:from>
      <xdr:col>17</xdr:col>
      <xdr:colOff>167308</xdr:colOff>
      <xdr:row>53</xdr:row>
      <xdr:rowOff>123825</xdr:rowOff>
    </xdr:from>
    <xdr:to>
      <xdr:col>21</xdr:col>
      <xdr:colOff>484863</xdr:colOff>
      <xdr:row>62</xdr:row>
      <xdr:rowOff>110966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64383" y="314325"/>
          <a:ext cx="2742708" cy="3249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7729</xdr:colOff>
      <xdr:row>11</xdr:row>
      <xdr:rowOff>39432</xdr:rowOff>
    </xdr:from>
    <xdr:to>
      <xdr:col>21</xdr:col>
      <xdr:colOff>193681</xdr:colOff>
      <xdr:row>27</xdr:row>
      <xdr:rowOff>29527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16411" y="2134932"/>
          <a:ext cx="5618767" cy="3038095"/>
        </a:xfrm>
        <a:prstGeom prst="rect">
          <a:avLst/>
        </a:prstGeom>
      </xdr:spPr>
    </xdr:pic>
    <xdr:clientData/>
  </xdr:twoCellAnchor>
  <xdr:twoCellAnchor editAs="oneCell">
    <xdr:from>
      <xdr:col>13</xdr:col>
      <xdr:colOff>29696</xdr:colOff>
      <xdr:row>28</xdr:row>
      <xdr:rowOff>147247</xdr:rowOff>
    </xdr:from>
    <xdr:to>
      <xdr:col>21</xdr:col>
      <xdr:colOff>191388</xdr:colOff>
      <xdr:row>39</xdr:row>
      <xdr:rowOff>96385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38378" y="5481247"/>
          <a:ext cx="5594507" cy="2044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17850</xdr:colOff>
      <xdr:row>3</xdr:row>
      <xdr:rowOff>10166</xdr:rowOff>
    </xdr:from>
    <xdr:to>
      <xdr:col>14</xdr:col>
      <xdr:colOff>411750</xdr:colOff>
      <xdr:row>19</xdr:row>
      <xdr:rowOff>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0175" y="581666"/>
          <a:ext cx="5632650" cy="30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155863</xdr:colOff>
      <xdr:row>0</xdr:row>
      <xdr:rowOff>103909</xdr:rowOff>
    </xdr:from>
    <xdr:to>
      <xdr:col>25</xdr:col>
      <xdr:colOff>484304</xdr:colOff>
      <xdr:row>18</xdr:row>
      <xdr:rowOff>145478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9" y="103909"/>
          <a:ext cx="2752987" cy="3470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52"/>
  <sheetViews>
    <sheetView workbookViewId="0">
      <selection activeCell="B2" sqref="B2"/>
    </sheetView>
  </sheetViews>
  <sheetFormatPr defaultRowHeight="15"/>
  <cols>
    <col min="1" max="1" width="6.5703125" customWidth="1"/>
    <col min="2" max="2" width="12.85546875" customWidth="1"/>
    <col min="3" max="3" width="14.5703125" customWidth="1"/>
    <col min="4" max="4" width="15.28515625" bestFit="1" customWidth="1"/>
    <col min="5" max="12" width="14.5703125" customWidth="1"/>
    <col min="13" max="13" width="15.28515625" bestFit="1" customWidth="1"/>
    <col min="14" max="14" width="15.140625" customWidth="1"/>
    <col min="15" max="16" width="13.5703125" customWidth="1"/>
  </cols>
  <sheetData>
    <row r="1" spans="1:14">
      <c r="A1" s="6" t="s">
        <v>130</v>
      </c>
      <c r="B1" s="6">
        <v>2026</v>
      </c>
    </row>
    <row r="2" spans="1:14">
      <c r="A2" s="9" t="s">
        <v>30</v>
      </c>
    </row>
    <row r="3" spans="1:14">
      <c r="D3" s="3" t="s">
        <v>3</v>
      </c>
      <c r="E3" s="3"/>
      <c r="G3" s="3" t="s">
        <v>4</v>
      </c>
      <c r="H3" s="3"/>
      <c r="J3" s="3" t="s">
        <v>8</v>
      </c>
      <c r="K3" s="3"/>
      <c r="M3" s="3" t="s">
        <v>329</v>
      </c>
    </row>
    <row r="4" spans="1:14">
      <c r="A4" s="3" t="s">
        <v>28</v>
      </c>
      <c r="B4" s="3" t="s">
        <v>25</v>
      </c>
      <c r="D4" s="7" t="s">
        <v>10</v>
      </c>
      <c r="E4" s="7" t="s">
        <v>2</v>
      </c>
      <c r="G4" s="7" t="s">
        <v>10</v>
      </c>
      <c r="H4" s="7" t="s">
        <v>2</v>
      </c>
      <c r="J4" s="7" t="s">
        <v>10</v>
      </c>
      <c r="K4" s="7" t="s">
        <v>2</v>
      </c>
      <c r="M4" s="7" t="s">
        <v>10</v>
      </c>
      <c r="N4" s="7" t="s">
        <v>2</v>
      </c>
    </row>
    <row r="5" spans="1:14">
      <c r="A5">
        <v>1</v>
      </c>
      <c r="B5" s="5" t="s">
        <v>431</v>
      </c>
      <c r="D5" s="4" t="e">
        <f>#REF!</f>
        <v>#REF!</v>
      </c>
      <c r="E5" s="4" t="e">
        <f>#REF!</f>
        <v>#REF!</v>
      </c>
      <c r="G5" s="4" t="e">
        <f>#REF!</f>
        <v>#REF!</v>
      </c>
      <c r="H5" s="4" t="e">
        <f>#REF!</f>
        <v>#REF!</v>
      </c>
      <c r="J5" s="4" t="e">
        <f>#REF!</f>
        <v>#REF!</v>
      </c>
      <c r="K5" s="4" t="e">
        <f>#REF!</f>
        <v>#REF!</v>
      </c>
      <c r="M5" s="4" t="e">
        <f>#REF!</f>
        <v>#REF!</v>
      </c>
      <c r="N5" s="4" t="e">
        <f>#REF!</f>
        <v>#REF!</v>
      </c>
    </row>
    <row r="6" spans="1:14">
      <c r="A6">
        <v>2</v>
      </c>
      <c r="B6" s="5" t="str">
        <f t="shared" ref="B6:B16" ca="1" si="0">IF(YEAR(TODAY())=$B$1, IF(A6&lt;MONTH(TODAY()), "","X"), IF(A6&lt;&gt;12, "","X"))</f>
        <v>X</v>
      </c>
      <c r="D6" s="4" t="e">
        <f>#REF!</f>
        <v>#REF!</v>
      </c>
      <c r="E6" s="4" t="e">
        <f>#REF!</f>
        <v>#REF!</v>
      </c>
      <c r="G6" s="4" t="e">
        <f>#REF!</f>
        <v>#REF!</v>
      </c>
      <c r="H6" s="4" t="e">
        <f>#REF!</f>
        <v>#REF!</v>
      </c>
      <c r="J6" s="4" t="e">
        <f>#REF!</f>
        <v>#REF!</v>
      </c>
      <c r="K6" s="4" t="e">
        <f>#REF!</f>
        <v>#REF!</v>
      </c>
      <c r="M6" s="4" t="e">
        <f>#REF!</f>
        <v>#REF!</v>
      </c>
      <c r="N6" s="4" t="e">
        <f>#REF!</f>
        <v>#REF!</v>
      </c>
    </row>
    <row r="7" spans="1:14">
      <c r="A7">
        <v>3</v>
      </c>
      <c r="B7" s="5" t="str">
        <f t="shared" ca="1" si="0"/>
        <v>X</v>
      </c>
      <c r="D7" s="4" t="e">
        <f>#REF!</f>
        <v>#REF!</v>
      </c>
      <c r="E7" s="4" t="e">
        <f>#REF!</f>
        <v>#REF!</v>
      </c>
      <c r="G7" s="4" t="e">
        <f>#REF!</f>
        <v>#REF!</v>
      </c>
      <c r="H7" s="4" t="e">
        <f>#REF!</f>
        <v>#REF!</v>
      </c>
      <c r="J7" s="4" t="e">
        <f>#REF!</f>
        <v>#REF!</v>
      </c>
      <c r="K7" s="4" t="e">
        <f>#REF!</f>
        <v>#REF!</v>
      </c>
      <c r="M7" s="4" t="e">
        <f>#REF!</f>
        <v>#REF!</v>
      </c>
      <c r="N7" s="4" t="e">
        <f>#REF!</f>
        <v>#REF!</v>
      </c>
    </row>
    <row r="8" spans="1:14">
      <c r="A8">
        <v>4</v>
      </c>
      <c r="B8" s="5" t="str">
        <f t="shared" ca="1" si="0"/>
        <v>X</v>
      </c>
      <c r="D8" s="4" t="e">
        <f>#REF!</f>
        <v>#REF!</v>
      </c>
      <c r="E8" s="4" t="e">
        <f>#REF!</f>
        <v>#REF!</v>
      </c>
      <c r="G8" s="4" t="e">
        <f>#REF!</f>
        <v>#REF!</v>
      </c>
      <c r="H8" s="4" t="e">
        <f>#REF!</f>
        <v>#REF!</v>
      </c>
      <c r="J8" s="4" t="e">
        <f>#REF!</f>
        <v>#REF!</v>
      </c>
      <c r="K8" s="4" t="e">
        <f>#REF!</f>
        <v>#REF!</v>
      </c>
      <c r="M8" s="4" t="e">
        <f>#REF!</f>
        <v>#REF!</v>
      </c>
      <c r="N8" s="4" t="e">
        <f>#REF!</f>
        <v>#REF!</v>
      </c>
    </row>
    <row r="9" spans="1:14">
      <c r="A9">
        <v>5</v>
      </c>
      <c r="B9" s="5" t="str">
        <f t="shared" ca="1" si="0"/>
        <v>X</v>
      </c>
      <c r="D9" s="4" t="e">
        <f>#REF!</f>
        <v>#REF!</v>
      </c>
      <c r="E9" s="4" t="e">
        <f>#REF!</f>
        <v>#REF!</v>
      </c>
      <c r="G9" s="4" t="e">
        <f>#REF!</f>
        <v>#REF!</v>
      </c>
      <c r="H9" s="4" t="e">
        <f>#REF!</f>
        <v>#REF!</v>
      </c>
      <c r="J9" s="4" t="e">
        <f>#REF!</f>
        <v>#REF!</v>
      </c>
      <c r="K9" s="4" t="e">
        <f>#REF!</f>
        <v>#REF!</v>
      </c>
      <c r="M9" s="4" t="e">
        <f>#REF!</f>
        <v>#REF!</v>
      </c>
      <c r="N9" s="4" t="e">
        <f>#REF!</f>
        <v>#REF!</v>
      </c>
    </row>
    <row r="10" spans="1:14">
      <c r="A10">
        <v>6</v>
      </c>
      <c r="B10" s="5" t="str">
        <f t="shared" ca="1" si="0"/>
        <v>X</v>
      </c>
      <c r="D10" s="4" t="e">
        <f>#REF!</f>
        <v>#REF!</v>
      </c>
      <c r="E10" s="4" t="e">
        <f>#REF!</f>
        <v>#REF!</v>
      </c>
      <c r="G10" s="4" t="e">
        <f>#REF!</f>
        <v>#REF!</v>
      </c>
      <c r="H10" s="4" t="e">
        <f>#REF!</f>
        <v>#REF!</v>
      </c>
      <c r="J10" s="4" t="e">
        <f>#REF!</f>
        <v>#REF!</v>
      </c>
      <c r="K10" s="4" t="e">
        <f>#REF!</f>
        <v>#REF!</v>
      </c>
      <c r="M10" s="4" t="e">
        <f>#REF!</f>
        <v>#REF!</v>
      </c>
      <c r="N10" s="4" t="e">
        <f>#REF!</f>
        <v>#REF!</v>
      </c>
    </row>
    <row r="11" spans="1:14">
      <c r="A11">
        <v>7</v>
      </c>
      <c r="B11" s="5" t="str">
        <f t="shared" ca="1" si="0"/>
        <v>X</v>
      </c>
      <c r="D11" s="4" t="e">
        <f>#REF!</f>
        <v>#REF!</v>
      </c>
      <c r="E11" s="4" t="e">
        <f>#REF!</f>
        <v>#REF!</v>
      </c>
      <c r="G11" s="4" t="e">
        <f>#REF!</f>
        <v>#REF!</v>
      </c>
      <c r="H11" s="4" t="e">
        <f>#REF!</f>
        <v>#REF!</v>
      </c>
      <c r="J11" s="4" t="e">
        <f>#REF!</f>
        <v>#REF!</v>
      </c>
      <c r="K11" s="4" t="e">
        <f>#REF!</f>
        <v>#REF!</v>
      </c>
      <c r="M11" s="4" t="e">
        <f>#REF!</f>
        <v>#REF!</v>
      </c>
      <c r="N11" s="4" t="e">
        <f>#REF!</f>
        <v>#REF!</v>
      </c>
    </row>
    <row r="12" spans="1:14">
      <c r="A12">
        <v>8</v>
      </c>
      <c r="B12" s="5" t="str">
        <f t="shared" ca="1" si="0"/>
        <v>X</v>
      </c>
      <c r="D12" s="4" t="e">
        <f>#REF!</f>
        <v>#REF!</v>
      </c>
      <c r="E12" s="4" t="e">
        <f>#REF!</f>
        <v>#REF!</v>
      </c>
      <c r="G12" s="4" t="e">
        <f>#REF!</f>
        <v>#REF!</v>
      </c>
      <c r="H12" s="4" t="e">
        <f>#REF!</f>
        <v>#REF!</v>
      </c>
      <c r="J12" s="4" t="e">
        <f>#REF!</f>
        <v>#REF!</v>
      </c>
      <c r="K12" s="4" t="e">
        <f>#REF!</f>
        <v>#REF!</v>
      </c>
      <c r="M12" s="4" t="e">
        <f>#REF!</f>
        <v>#REF!</v>
      </c>
      <c r="N12" s="4" t="e">
        <f>#REF!</f>
        <v>#REF!</v>
      </c>
    </row>
    <row r="13" spans="1:14">
      <c r="A13">
        <v>9</v>
      </c>
      <c r="B13" s="5" t="str">
        <f t="shared" ca="1" si="0"/>
        <v>X</v>
      </c>
      <c r="D13" s="4" t="e">
        <f>#REF!</f>
        <v>#REF!</v>
      </c>
      <c r="E13" s="4" t="e">
        <f>#REF!</f>
        <v>#REF!</v>
      </c>
      <c r="G13" s="4" t="e">
        <f>#REF!</f>
        <v>#REF!</v>
      </c>
      <c r="H13" s="4" t="e">
        <f>#REF!</f>
        <v>#REF!</v>
      </c>
      <c r="J13" s="4" t="e">
        <f>#REF!</f>
        <v>#REF!</v>
      </c>
      <c r="K13" s="4" t="e">
        <f>#REF!</f>
        <v>#REF!</v>
      </c>
      <c r="M13" s="4" t="e">
        <f>#REF!</f>
        <v>#REF!</v>
      </c>
      <c r="N13" s="4" t="e">
        <f>#REF!</f>
        <v>#REF!</v>
      </c>
    </row>
    <row r="14" spans="1:14">
      <c r="A14">
        <v>10</v>
      </c>
      <c r="B14" s="5" t="str">
        <f t="shared" ca="1" si="0"/>
        <v>X</v>
      </c>
      <c r="D14" s="4" t="e">
        <f>#REF!</f>
        <v>#REF!</v>
      </c>
      <c r="E14" s="4" t="e">
        <f>#REF!</f>
        <v>#REF!</v>
      </c>
      <c r="G14" s="4" t="e">
        <f>#REF!</f>
        <v>#REF!</v>
      </c>
      <c r="H14" s="4" t="e">
        <f>#REF!</f>
        <v>#REF!</v>
      </c>
      <c r="J14" s="4" t="e">
        <f>#REF!</f>
        <v>#REF!</v>
      </c>
      <c r="K14" s="4" t="e">
        <f>#REF!</f>
        <v>#REF!</v>
      </c>
      <c r="M14" s="4" t="e">
        <f>#REF!</f>
        <v>#REF!</v>
      </c>
      <c r="N14" s="4" t="e">
        <f>#REF!</f>
        <v>#REF!</v>
      </c>
    </row>
    <row r="15" spans="1:14">
      <c r="A15">
        <v>11</v>
      </c>
      <c r="B15" s="5" t="str">
        <f t="shared" ca="1" si="0"/>
        <v>X</v>
      </c>
      <c r="D15" s="4" t="e">
        <f>#REF!</f>
        <v>#REF!</v>
      </c>
      <c r="E15" s="4" t="e">
        <f>#REF!</f>
        <v>#REF!</v>
      </c>
      <c r="G15" s="4" t="e">
        <f>#REF!</f>
        <v>#REF!</v>
      </c>
      <c r="H15" s="4" t="e">
        <f>#REF!</f>
        <v>#REF!</v>
      </c>
      <c r="J15" s="4" t="e">
        <f>#REF!</f>
        <v>#REF!</v>
      </c>
      <c r="K15" s="4" t="e">
        <f>#REF!</f>
        <v>#REF!</v>
      </c>
      <c r="M15" s="4" t="e">
        <f>#REF!</f>
        <v>#REF!</v>
      </c>
      <c r="N15" s="4" t="e">
        <f>#REF!</f>
        <v>#REF!</v>
      </c>
    </row>
    <row r="16" spans="1:14">
      <c r="A16">
        <v>12</v>
      </c>
      <c r="B16" s="5" t="str">
        <f t="shared" ca="1" si="0"/>
        <v>X</v>
      </c>
      <c r="D16" s="4" t="e">
        <f>#REF!</f>
        <v>#REF!</v>
      </c>
      <c r="E16" s="4" t="e">
        <f>#REF!</f>
        <v>#REF!</v>
      </c>
      <c r="G16" s="4" t="e">
        <f>#REF!</f>
        <v>#REF!</v>
      </c>
      <c r="H16" s="4" t="e">
        <f>#REF!</f>
        <v>#REF!</v>
      </c>
      <c r="J16" s="4" t="e">
        <f>#REF!</f>
        <v>#REF!</v>
      </c>
      <c r="K16" s="4" t="e">
        <f>#REF!</f>
        <v>#REF!</v>
      </c>
      <c r="M16" s="4" t="e">
        <f>#REF!</f>
        <v>#REF!</v>
      </c>
      <c r="N16" s="4" t="e">
        <f>#REF!</f>
        <v>#REF!</v>
      </c>
    </row>
    <row r="17" spans="1:14">
      <c r="A17" s="3" t="s">
        <v>6</v>
      </c>
      <c r="B17" s="3"/>
      <c r="D17" s="8" t="e">
        <f>SUMIF($B$5:$B$16, "X", D5:D16)</f>
        <v>#REF!</v>
      </c>
      <c r="E17" s="8">
        <f ca="1">SUMIF($B$5:$B$16, "", E5:E16)</f>
        <v>0</v>
      </c>
      <c r="G17" s="8" t="e">
        <f>SUMIF($B$5:$B$16, "X", G5:G16)</f>
        <v>#REF!</v>
      </c>
      <c r="H17" s="8">
        <f ca="1">SUMIF($B$5:$B$16, "", H5:H16)</f>
        <v>0</v>
      </c>
      <c r="J17" s="8" t="e">
        <f>SUMIF($B$5:$B$16, "X", J5:J16)</f>
        <v>#REF!</v>
      </c>
      <c r="K17" s="8">
        <f ca="1">SUMIF($B$5:$B$16, "", K5:K16)</f>
        <v>0</v>
      </c>
      <c r="M17" s="8" t="e">
        <f>SUMIF($B$5:$B$16, "X", M5:M16)</f>
        <v>#REF!</v>
      </c>
      <c r="N17" s="8">
        <f ca="1">SUMIF($B$5:$B$16, "", N5:N16)</f>
        <v>0</v>
      </c>
    </row>
    <row r="19" spans="1:14">
      <c r="A19" s="9" t="s">
        <v>29</v>
      </c>
    </row>
    <row r="20" spans="1:14">
      <c r="D20" s="3" t="s">
        <v>3</v>
      </c>
      <c r="E20" s="3"/>
      <c r="G20" s="3" t="s">
        <v>4</v>
      </c>
      <c r="H20" s="3"/>
      <c r="J20" s="3" t="s">
        <v>8</v>
      </c>
      <c r="K20" s="3"/>
      <c r="M20" s="3" t="s">
        <v>329</v>
      </c>
    </row>
    <row r="21" spans="1:14">
      <c r="A21" s="3" t="s">
        <v>28</v>
      </c>
      <c r="B21" s="3" t="s">
        <v>25</v>
      </c>
      <c r="D21" s="7" t="s">
        <v>10</v>
      </c>
      <c r="E21" s="7" t="s">
        <v>2</v>
      </c>
      <c r="G21" s="7" t="s">
        <v>10</v>
      </c>
      <c r="H21" s="7" t="s">
        <v>2</v>
      </c>
      <c r="J21" s="7" t="s">
        <v>10</v>
      </c>
      <c r="K21" s="7" t="s">
        <v>2</v>
      </c>
      <c r="M21" s="7" t="s">
        <v>10</v>
      </c>
      <c r="N21" s="7" t="s">
        <v>2</v>
      </c>
    </row>
    <row r="22" spans="1:14">
      <c r="A22">
        <v>1</v>
      </c>
      <c r="B22" s="5" t="s">
        <v>431</v>
      </c>
      <c r="D22" s="4" t="e">
        <f>#REF!</f>
        <v>#REF!</v>
      </c>
      <c r="E22" s="4" t="e">
        <f>#REF!</f>
        <v>#REF!</v>
      </c>
      <c r="G22" s="4" t="e">
        <f>#REF!</f>
        <v>#REF!</v>
      </c>
      <c r="H22" s="4" t="e">
        <f>#REF!</f>
        <v>#REF!</v>
      </c>
      <c r="J22" s="4" t="e">
        <f>#REF!</f>
        <v>#REF!</v>
      </c>
      <c r="K22" s="4" t="e">
        <f>#REF!</f>
        <v>#REF!</v>
      </c>
      <c r="M22" s="4" t="e">
        <f>#REF!</f>
        <v>#REF!</v>
      </c>
      <c r="N22" s="4" t="e">
        <f>#REF!</f>
        <v>#REF!</v>
      </c>
    </row>
    <row r="23" spans="1:14">
      <c r="A23">
        <v>2</v>
      </c>
      <c r="B23" s="5" t="str">
        <f t="shared" ref="B23:B33" ca="1" si="1">IF(YEAR(TODAY())=$B$1, IF(A23&lt;MONTH(TODAY()), "","X"), IF(A23&lt;&gt;12, "","X"))</f>
        <v>X</v>
      </c>
      <c r="D23" s="4" t="e">
        <f>#REF!</f>
        <v>#REF!</v>
      </c>
      <c r="E23" s="4" t="e">
        <f>#REF!</f>
        <v>#REF!</v>
      </c>
      <c r="G23" s="4" t="e">
        <f>#REF!</f>
        <v>#REF!</v>
      </c>
      <c r="H23" s="4" t="e">
        <f>#REF!</f>
        <v>#REF!</v>
      </c>
      <c r="J23" s="4" t="e">
        <f>#REF!</f>
        <v>#REF!</v>
      </c>
      <c r="K23" s="4" t="e">
        <f>#REF!</f>
        <v>#REF!</v>
      </c>
      <c r="M23" s="4" t="e">
        <f>#REF!</f>
        <v>#REF!</v>
      </c>
      <c r="N23" s="4" t="e">
        <f>#REF!</f>
        <v>#REF!</v>
      </c>
    </row>
    <row r="24" spans="1:14">
      <c r="A24">
        <v>3</v>
      </c>
      <c r="B24" s="5" t="str">
        <f t="shared" ca="1" si="1"/>
        <v>X</v>
      </c>
      <c r="D24" s="4" t="e">
        <f>#REF!</f>
        <v>#REF!</v>
      </c>
      <c r="E24" s="4" t="e">
        <f>#REF!</f>
        <v>#REF!</v>
      </c>
      <c r="G24" s="4" t="e">
        <f>#REF!</f>
        <v>#REF!</v>
      </c>
      <c r="H24" s="4" t="e">
        <f>#REF!</f>
        <v>#REF!</v>
      </c>
      <c r="J24" s="4" t="e">
        <f>#REF!</f>
        <v>#REF!</v>
      </c>
      <c r="K24" s="4" t="e">
        <f>#REF!</f>
        <v>#REF!</v>
      </c>
      <c r="M24" s="4" t="e">
        <f>#REF!</f>
        <v>#REF!</v>
      </c>
      <c r="N24" s="4" t="e">
        <f>#REF!</f>
        <v>#REF!</v>
      </c>
    </row>
    <row r="25" spans="1:14">
      <c r="A25">
        <v>4</v>
      </c>
      <c r="B25" s="5" t="str">
        <f t="shared" ca="1" si="1"/>
        <v>X</v>
      </c>
      <c r="D25" s="4" t="e">
        <f>#REF!</f>
        <v>#REF!</v>
      </c>
      <c r="E25" s="4" t="e">
        <f>#REF!</f>
        <v>#REF!</v>
      </c>
      <c r="G25" s="4" t="e">
        <f>#REF!</f>
        <v>#REF!</v>
      </c>
      <c r="H25" s="4" t="e">
        <f>#REF!</f>
        <v>#REF!</v>
      </c>
      <c r="J25" s="4" t="e">
        <f>#REF!</f>
        <v>#REF!</v>
      </c>
      <c r="K25" s="4" t="e">
        <f>#REF!</f>
        <v>#REF!</v>
      </c>
      <c r="M25" s="4" t="e">
        <f>#REF!</f>
        <v>#REF!</v>
      </c>
      <c r="N25" s="4" t="e">
        <f>#REF!</f>
        <v>#REF!</v>
      </c>
    </row>
    <row r="26" spans="1:14">
      <c r="A26">
        <v>5</v>
      </c>
      <c r="B26" s="5" t="str">
        <f t="shared" ca="1" si="1"/>
        <v>X</v>
      </c>
      <c r="D26" s="4" t="e">
        <f>#REF!</f>
        <v>#REF!</v>
      </c>
      <c r="E26" s="4" t="e">
        <f>#REF!</f>
        <v>#REF!</v>
      </c>
      <c r="G26" s="4" t="e">
        <f>#REF!</f>
        <v>#REF!</v>
      </c>
      <c r="H26" s="4" t="e">
        <f>#REF!</f>
        <v>#REF!</v>
      </c>
      <c r="J26" s="4" t="e">
        <f>#REF!</f>
        <v>#REF!</v>
      </c>
      <c r="K26" s="4" t="e">
        <f>#REF!</f>
        <v>#REF!</v>
      </c>
      <c r="M26" s="4" t="e">
        <f>#REF!</f>
        <v>#REF!</v>
      </c>
      <c r="N26" s="4" t="e">
        <f>#REF!</f>
        <v>#REF!</v>
      </c>
    </row>
    <row r="27" spans="1:14">
      <c r="A27">
        <v>6</v>
      </c>
      <c r="B27" s="5" t="str">
        <f t="shared" ca="1" si="1"/>
        <v>X</v>
      </c>
      <c r="D27" s="4" t="e">
        <f>#REF!</f>
        <v>#REF!</v>
      </c>
      <c r="E27" s="4" t="e">
        <f>#REF!</f>
        <v>#REF!</v>
      </c>
      <c r="G27" s="4" t="e">
        <f>#REF!</f>
        <v>#REF!</v>
      </c>
      <c r="H27" s="4" t="e">
        <f>#REF!</f>
        <v>#REF!</v>
      </c>
      <c r="J27" s="4" t="e">
        <f>#REF!</f>
        <v>#REF!</v>
      </c>
      <c r="K27" s="4" t="e">
        <f>#REF!</f>
        <v>#REF!</v>
      </c>
      <c r="M27" s="4" t="e">
        <f>#REF!</f>
        <v>#REF!</v>
      </c>
      <c r="N27" s="4" t="e">
        <f>#REF!</f>
        <v>#REF!</v>
      </c>
    </row>
    <row r="28" spans="1:14">
      <c r="A28">
        <v>7</v>
      </c>
      <c r="B28" s="5" t="str">
        <f t="shared" ca="1" si="1"/>
        <v>X</v>
      </c>
      <c r="D28" s="4" t="e">
        <f>#REF!</f>
        <v>#REF!</v>
      </c>
      <c r="E28" s="4" t="e">
        <f>#REF!</f>
        <v>#REF!</v>
      </c>
      <c r="G28" s="4" t="e">
        <f>#REF!</f>
        <v>#REF!</v>
      </c>
      <c r="H28" s="4" t="e">
        <f>#REF!</f>
        <v>#REF!</v>
      </c>
      <c r="J28" s="4" t="e">
        <f>#REF!</f>
        <v>#REF!</v>
      </c>
      <c r="K28" s="4" t="e">
        <f>#REF!</f>
        <v>#REF!</v>
      </c>
      <c r="M28" s="4" t="e">
        <f>#REF!</f>
        <v>#REF!</v>
      </c>
      <c r="N28" s="4" t="e">
        <f>#REF!</f>
        <v>#REF!</v>
      </c>
    </row>
    <row r="29" spans="1:14">
      <c r="A29">
        <v>8</v>
      </c>
      <c r="B29" s="5" t="str">
        <f t="shared" ca="1" si="1"/>
        <v>X</v>
      </c>
      <c r="D29" s="4" t="e">
        <f>#REF!</f>
        <v>#REF!</v>
      </c>
      <c r="E29" s="4" t="e">
        <f>#REF!</f>
        <v>#REF!</v>
      </c>
      <c r="G29" s="4" t="e">
        <f>#REF!</f>
        <v>#REF!</v>
      </c>
      <c r="H29" s="4" t="e">
        <f>#REF!</f>
        <v>#REF!</v>
      </c>
      <c r="J29" s="4" t="e">
        <f>#REF!</f>
        <v>#REF!</v>
      </c>
      <c r="K29" s="4" t="e">
        <f>#REF!</f>
        <v>#REF!</v>
      </c>
      <c r="M29" s="4" t="e">
        <f>#REF!</f>
        <v>#REF!</v>
      </c>
      <c r="N29" s="4" t="e">
        <f>#REF!</f>
        <v>#REF!</v>
      </c>
    </row>
    <row r="30" spans="1:14">
      <c r="A30">
        <v>9</v>
      </c>
      <c r="B30" s="5" t="str">
        <f t="shared" ca="1" si="1"/>
        <v>X</v>
      </c>
      <c r="D30" s="4" t="e">
        <f>#REF!</f>
        <v>#REF!</v>
      </c>
      <c r="E30" s="4" t="e">
        <f>#REF!</f>
        <v>#REF!</v>
      </c>
      <c r="G30" s="4" t="e">
        <f>#REF!</f>
        <v>#REF!</v>
      </c>
      <c r="H30" s="4" t="e">
        <f>#REF!</f>
        <v>#REF!</v>
      </c>
      <c r="J30" s="4" t="e">
        <f>#REF!</f>
        <v>#REF!</v>
      </c>
      <c r="K30" s="4" t="e">
        <f>#REF!</f>
        <v>#REF!</v>
      </c>
      <c r="M30" s="4" t="e">
        <f>#REF!</f>
        <v>#REF!</v>
      </c>
      <c r="N30" s="4" t="e">
        <f>#REF!</f>
        <v>#REF!</v>
      </c>
    </row>
    <row r="31" spans="1:14">
      <c r="A31">
        <v>10</v>
      </c>
      <c r="B31" s="5" t="str">
        <f t="shared" ca="1" si="1"/>
        <v>X</v>
      </c>
      <c r="D31" s="4" t="e">
        <f>#REF!</f>
        <v>#REF!</v>
      </c>
      <c r="E31" s="4" t="e">
        <f>#REF!</f>
        <v>#REF!</v>
      </c>
      <c r="G31" s="4" t="e">
        <f>#REF!</f>
        <v>#REF!</v>
      </c>
      <c r="H31" s="4" t="e">
        <f>#REF!</f>
        <v>#REF!</v>
      </c>
      <c r="J31" s="4" t="e">
        <f>#REF!</f>
        <v>#REF!</v>
      </c>
      <c r="K31" s="4" t="e">
        <f>#REF!</f>
        <v>#REF!</v>
      </c>
      <c r="M31" s="4" t="e">
        <f>#REF!</f>
        <v>#REF!</v>
      </c>
      <c r="N31" s="4" t="e">
        <f>#REF!</f>
        <v>#REF!</v>
      </c>
    </row>
    <row r="32" spans="1:14">
      <c r="A32">
        <v>11</v>
      </c>
      <c r="B32" s="5" t="str">
        <f t="shared" ca="1" si="1"/>
        <v>X</v>
      </c>
      <c r="D32" s="4" t="e">
        <f>#REF!</f>
        <v>#REF!</v>
      </c>
      <c r="E32" s="4" t="e">
        <f>#REF!</f>
        <v>#REF!</v>
      </c>
      <c r="G32" s="4" t="e">
        <f>#REF!</f>
        <v>#REF!</v>
      </c>
      <c r="H32" s="4" t="e">
        <f>#REF!</f>
        <v>#REF!</v>
      </c>
      <c r="J32" s="4" t="e">
        <f>#REF!</f>
        <v>#REF!</v>
      </c>
      <c r="K32" s="4" t="e">
        <f>#REF!</f>
        <v>#REF!</v>
      </c>
      <c r="M32" s="4" t="e">
        <f>#REF!</f>
        <v>#REF!</v>
      </c>
      <c r="N32" s="4" t="e">
        <f>#REF!</f>
        <v>#REF!</v>
      </c>
    </row>
    <row r="33" spans="1:14">
      <c r="A33">
        <v>12</v>
      </c>
      <c r="B33" s="5" t="str">
        <f t="shared" ca="1" si="1"/>
        <v>X</v>
      </c>
      <c r="D33" s="4" t="e">
        <f>#REF!</f>
        <v>#REF!</v>
      </c>
      <c r="E33" s="4" t="e">
        <f>#REF!</f>
        <v>#REF!</v>
      </c>
      <c r="G33" s="4" t="e">
        <f>#REF!</f>
        <v>#REF!</v>
      </c>
      <c r="H33" s="4" t="e">
        <f>#REF!</f>
        <v>#REF!</v>
      </c>
      <c r="J33" s="4" t="e">
        <f>#REF!</f>
        <v>#REF!</v>
      </c>
      <c r="K33" s="4" t="e">
        <f>#REF!</f>
        <v>#REF!</v>
      </c>
      <c r="M33" s="4" t="e">
        <f>#REF!</f>
        <v>#REF!</v>
      </c>
      <c r="N33" s="4" t="e">
        <f>#REF!</f>
        <v>#REF!</v>
      </c>
    </row>
    <row r="34" spans="1:14">
      <c r="A34" s="3" t="s">
        <v>6</v>
      </c>
      <c r="B34" s="3"/>
      <c r="D34" s="8" t="e">
        <f>SUMIF($B$22:$B$33, "X", D22:D33)</f>
        <v>#REF!</v>
      </c>
      <c r="E34" s="8">
        <f ca="1">SUMIF($B$22:$B$33, "", E22:E33)</f>
        <v>0</v>
      </c>
      <c r="G34" s="8" t="e">
        <f>SUMIF($B$22:$B$33, "X", G22:G33)</f>
        <v>#REF!</v>
      </c>
      <c r="H34" s="8">
        <f ca="1">SUMIF($B$22:$B$33, "", H22:H33)</f>
        <v>0</v>
      </c>
      <c r="J34" s="8" t="e">
        <f>SUMIF($B$22:$B$33, "X", J22:J33)</f>
        <v>#REF!</v>
      </c>
      <c r="K34" s="8">
        <f ca="1">SUMIF($B$22:$B$33, "", K22:K33)</f>
        <v>0</v>
      </c>
      <c r="M34" s="8" t="e">
        <f>SUMIF($B$22:$B$33, "X", M22:M33)</f>
        <v>#REF!</v>
      </c>
      <c r="N34" s="8">
        <f ca="1">SUMIF($B$22:$B$33, "", N22:N33)</f>
        <v>0</v>
      </c>
    </row>
    <row r="36" spans="1:14">
      <c r="A36" s="9" t="s">
        <v>132</v>
      </c>
    </row>
    <row r="37" spans="1:14">
      <c r="A37" s="3"/>
    </row>
    <row r="38" spans="1:14">
      <c r="C38" s="3" t="s">
        <v>4</v>
      </c>
      <c r="D38" s="3"/>
      <c r="E38" s="3"/>
      <c r="F38" s="3"/>
      <c r="G38" s="3" t="s">
        <v>8</v>
      </c>
      <c r="H38" s="3"/>
      <c r="I38" s="3"/>
      <c r="K38" s="3" t="s">
        <v>329</v>
      </c>
    </row>
    <row r="39" spans="1:14">
      <c r="A39" s="3" t="s">
        <v>28</v>
      </c>
      <c r="B39" s="3" t="s">
        <v>25</v>
      </c>
      <c r="C39" s="7" t="s">
        <v>10</v>
      </c>
      <c r="D39" s="7" t="s">
        <v>2</v>
      </c>
      <c r="E39" s="7"/>
      <c r="F39" s="7"/>
      <c r="G39" s="7" t="s">
        <v>10</v>
      </c>
      <c r="H39" s="7" t="s">
        <v>2</v>
      </c>
      <c r="I39" s="7"/>
      <c r="J39" s="7"/>
      <c r="K39" s="7" t="s">
        <v>10</v>
      </c>
      <c r="L39" s="7" t="s">
        <v>2</v>
      </c>
    </row>
    <row r="40" spans="1:14">
      <c r="A40">
        <v>1</v>
      </c>
      <c r="B40" s="5" t="str">
        <f t="shared" ref="B40:B51" ca="1" si="2">IF(YEAR(TODAY())=$B$1, IF(A40&lt;MONTH(TODAY()), "","X"), IF(A40&lt;&gt;12, "","X"))</f>
        <v/>
      </c>
      <c r="C40" s="4" t="e">
        <f>#REF!</f>
        <v>#REF!</v>
      </c>
      <c r="D40" s="4" t="e">
        <f>#REF!</f>
        <v>#REF!</v>
      </c>
      <c r="E40" s="4"/>
      <c r="F40" s="4"/>
      <c r="G40" s="4" t="e">
        <f>#REF!</f>
        <v>#REF!</v>
      </c>
      <c r="H40" s="4" t="e">
        <f>#REF!</f>
        <v>#REF!</v>
      </c>
      <c r="I40" s="4"/>
      <c r="J40" s="4"/>
      <c r="K40" s="4" t="e">
        <f>#REF!</f>
        <v>#REF!</v>
      </c>
      <c r="L40" s="4" t="e">
        <f>#REF!</f>
        <v>#REF!</v>
      </c>
    </row>
    <row r="41" spans="1:14">
      <c r="A41">
        <v>2</v>
      </c>
      <c r="B41" s="5" t="str">
        <f t="shared" ca="1" si="2"/>
        <v>X</v>
      </c>
      <c r="C41" s="4" t="e">
        <f>#REF!</f>
        <v>#REF!</v>
      </c>
      <c r="D41" s="4" t="e">
        <f>#REF!</f>
        <v>#REF!</v>
      </c>
      <c r="E41" s="4"/>
      <c r="F41" s="4"/>
      <c r="G41" s="4" t="e">
        <f>#REF!</f>
        <v>#REF!</v>
      </c>
      <c r="H41" s="4" t="e">
        <f>#REF!</f>
        <v>#REF!</v>
      </c>
      <c r="I41" s="4"/>
      <c r="J41" s="4"/>
      <c r="K41" s="4" t="e">
        <f>#REF!</f>
        <v>#REF!</v>
      </c>
      <c r="L41" s="4" t="e">
        <f>#REF!</f>
        <v>#REF!</v>
      </c>
    </row>
    <row r="42" spans="1:14">
      <c r="A42">
        <v>3</v>
      </c>
      <c r="B42" s="5" t="str">
        <f t="shared" ca="1" si="2"/>
        <v>X</v>
      </c>
      <c r="C42" s="4" t="e">
        <f>#REF!</f>
        <v>#REF!</v>
      </c>
      <c r="D42" s="4" t="e">
        <f>#REF!</f>
        <v>#REF!</v>
      </c>
      <c r="E42" s="4"/>
      <c r="F42" s="4"/>
      <c r="G42" s="4" t="e">
        <f>#REF!</f>
        <v>#REF!</v>
      </c>
      <c r="H42" s="4" t="e">
        <f>#REF!</f>
        <v>#REF!</v>
      </c>
      <c r="I42" s="4"/>
      <c r="J42" s="4"/>
      <c r="K42" s="4" t="e">
        <f>#REF!</f>
        <v>#REF!</v>
      </c>
      <c r="L42" s="4" t="e">
        <f>#REF!</f>
        <v>#REF!</v>
      </c>
    </row>
    <row r="43" spans="1:14">
      <c r="A43">
        <v>4</v>
      </c>
      <c r="B43" s="5" t="str">
        <f t="shared" ca="1" si="2"/>
        <v>X</v>
      </c>
      <c r="C43" s="4" t="e">
        <f>#REF!</f>
        <v>#REF!</v>
      </c>
      <c r="D43" s="4" t="e">
        <f>#REF!</f>
        <v>#REF!</v>
      </c>
      <c r="E43" s="4"/>
      <c r="F43" s="4"/>
      <c r="G43" s="4" t="e">
        <f>#REF!</f>
        <v>#REF!</v>
      </c>
      <c r="H43" s="4" t="e">
        <f>#REF!</f>
        <v>#REF!</v>
      </c>
      <c r="I43" s="4"/>
      <c r="J43" s="4"/>
      <c r="K43" s="4" t="e">
        <f>#REF!</f>
        <v>#REF!</v>
      </c>
      <c r="L43" s="4" t="e">
        <f>#REF!</f>
        <v>#REF!</v>
      </c>
    </row>
    <row r="44" spans="1:14">
      <c r="A44">
        <v>5</v>
      </c>
      <c r="B44" s="5" t="str">
        <f t="shared" ca="1" si="2"/>
        <v>X</v>
      </c>
      <c r="C44" s="4" t="e">
        <f>#REF!</f>
        <v>#REF!</v>
      </c>
      <c r="D44" s="4" t="e">
        <f>#REF!</f>
        <v>#REF!</v>
      </c>
      <c r="E44" s="4"/>
      <c r="F44" s="4"/>
      <c r="G44" s="4" t="e">
        <f>#REF!</f>
        <v>#REF!</v>
      </c>
      <c r="H44" s="4" t="e">
        <f>#REF!</f>
        <v>#REF!</v>
      </c>
      <c r="I44" s="4"/>
      <c r="J44" s="4"/>
      <c r="K44" s="4" t="e">
        <f>#REF!</f>
        <v>#REF!</v>
      </c>
      <c r="L44" s="4" t="e">
        <f>#REF!</f>
        <v>#REF!</v>
      </c>
    </row>
    <row r="45" spans="1:14">
      <c r="A45">
        <v>6</v>
      </c>
      <c r="B45" s="5" t="str">
        <f t="shared" ca="1" si="2"/>
        <v>X</v>
      </c>
      <c r="C45" s="4" t="e">
        <f>#REF!</f>
        <v>#REF!</v>
      </c>
      <c r="D45" s="4" t="e">
        <f>#REF!</f>
        <v>#REF!</v>
      </c>
      <c r="E45" s="4"/>
      <c r="F45" s="4"/>
      <c r="G45" s="4" t="e">
        <f>#REF!</f>
        <v>#REF!</v>
      </c>
      <c r="H45" s="4" t="e">
        <f>#REF!</f>
        <v>#REF!</v>
      </c>
      <c r="I45" s="4"/>
      <c r="J45" s="4"/>
      <c r="K45" s="4" t="e">
        <f>#REF!</f>
        <v>#REF!</v>
      </c>
      <c r="L45" s="4" t="e">
        <f>#REF!</f>
        <v>#REF!</v>
      </c>
    </row>
    <row r="46" spans="1:14">
      <c r="A46">
        <v>7</v>
      </c>
      <c r="B46" s="5" t="str">
        <f t="shared" ca="1" si="2"/>
        <v>X</v>
      </c>
      <c r="C46" s="4" t="e">
        <f>#REF!</f>
        <v>#REF!</v>
      </c>
      <c r="D46" s="4" t="e">
        <f>#REF!</f>
        <v>#REF!</v>
      </c>
      <c r="E46" s="4"/>
      <c r="F46" s="4"/>
      <c r="G46" s="4" t="e">
        <f>#REF!</f>
        <v>#REF!</v>
      </c>
      <c r="H46" s="4" t="e">
        <f>#REF!</f>
        <v>#REF!</v>
      </c>
      <c r="I46" s="4"/>
      <c r="J46" s="4"/>
      <c r="K46" s="4" t="e">
        <f>#REF!</f>
        <v>#REF!</v>
      </c>
      <c r="L46" s="4" t="e">
        <f>#REF!</f>
        <v>#REF!</v>
      </c>
    </row>
    <row r="47" spans="1:14">
      <c r="A47">
        <v>8</v>
      </c>
      <c r="B47" s="5" t="str">
        <f t="shared" ca="1" si="2"/>
        <v>X</v>
      </c>
      <c r="C47" s="4" t="e">
        <f>#REF!</f>
        <v>#REF!</v>
      </c>
      <c r="D47" s="4" t="e">
        <f>#REF!</f>
        <v>#REF!</v>
      </c>
      <c r="E47" s="4"/>
      <c r="F47" s="4"/>
      <c r="G47" s="4" t="e">
        <f>#REF!</f>
        <v>#REF!</v>
      </c>
      <c r="H47" s="4" t="e">
        <f>#REF!</f>
        <v>#REF!</v>
      </c>
      <c r="I47" s="4"/>
      <c r="J47" s="4"/>
      <c r="K47" s="4" t="e">
        <f>#REF!</f>
        <v>#REF!</v>
      </c>
      <c r="L47" s="4" t="e">
        <f>#REF!</f>
        <v>#REF!</v>
      </c>
    </row>
    <row r="48" spans="1:14">
      <c r="A48">
        <v>9</v>
      </c>
      <c r="B48" s="5" t="str">
        <f t="shared" ca="1" si="2"/>
        <v>X</v>
      </c>
      <c r="C48" s="4" t="e">
        <f>#REF!</f>
        <v>#REF!</v>
      </c>
      <c r="D48" s="4" t="e">
        <f>#REF!</f>
        <v>#REF!</v>
      </c>
      <c r="E48" s="4"/>
      <c r="F48" s="4"/>
      <c r="G48" s="4" t="e">
        <f>#REF!</f>
        <v>#REF!</v>
      </c>
      <c r="H48" s="4" t="e">
        <f>#REF!</f>
        <v>#REF!</v>
      </c>
      <c r="I48" s="4"/>
      <c r="J48" s="4"/>
      <c r="K48" s="4" t="e">
        <f>#REF!</f>
        <v>#REF!</v>
      </c>
      <c r="L48" s="4" t="e">
        <f>#REF!</f>
        <v>#REF!</v>
      </c>
    </row>
    <row r="49" spans="1:12">
      <c r="A49">
        <v>10</v>
      </c>
      <c r="B49" s="5" t="str">
        <f t="shared" ca="1" si="2"/>
        <v>X</v>
      </c>
      <c r="C49" s="4" t="e">
        <f>#REF!</f>
        <v>#REF!</v>
      </c>
      <c r="D49" s="4" t="e">
        <f>#REF!</f>
        <v>#REF!</v>
      </c>
      <c r="E49" s="4"/>
      <c r="F49" s="4"/>
      <c r="G49" s="4" t="e">
        <f>#REF!</f>
        <v>#REF!</v>
      </c>
      <c r="H49" s="4" t="e">
        <f>#REF!</f>
        <v>#REF!</v>
      </c>
      <c r="I49" s="4"/>
      <c r="J49" s="4"/>
      <c r="K49" s="4" t="e">
        <f>#REF!</f>
        <v>#REF!</v>
      </c>
      <c r="L49" s="4" t="e">
        <f>#REF!</f>
        <v>#REF!</v>
      </c>
    </row>
    <row r="50" spans="1:12">
      <c r="A50">
        <v>11</v>
      </c>
      <c r="B50" s="5" t="str">
        <f t="shared" ca="1" si="2"/>
        <v>X</v>
      </c>
      <c r="C50" s="4" t="e">
        <f>#REF!</f>
        <v>#REF!</v>
      </c>
      <c r="D50" s="4" t="e">
        <f>#REF!</f>
        <v>#REF!</v>
      </c>
      <c r="E50" s="4"/>
      <c r="F50" s="4"/>
      <c r="G50" s="4" t="e">
        <f>#REF!</f>
        <v>#REF!</v>
      </c>
      <c r="H50" s="4" t="e">
        <f>#REF!</f>
        <v>#REF!</v>
      </c>
      <c r="I50" s="4"/>
      <c r="J50" s="4"/>
      <c r="K50" s="4" t="e">
        <f>#REF!</f>
        <v>#REF!</v>
      </c>
      <c r="L50" s="4" t="e">
        <f>#REF!</f>
        <v>#REF!</v>
      </c>
    </row>
    <row r="51" spans="1:12">
      <c r="A51">
        <v>12</v>
      </c>
      <c r="B51" s="5" t="str">
        <f t="shared" ca="1" si="2"/>
        <v>X</v>
      </c>
      <c r="C51" s="4" t="e">
        <f>#REF!</f>
        <v>#REF!</v>
      </c>
      <c r="D51" s="4" t="e">
        <f>#REF!</f>
        <v>#REF!</v>
      </c>
      <c r="E51" s="4"/>
      <c r="F51" s="4"/>
      <c r="G51" s="4" t="e">
        <f>#REF!</f>
        <v>#REF!</v>
      </c>
      <c r="H51" s="4" t="e">
        <f>#REF!</f>
        <v>#REF!</v>
      </c>
      <c r="I51" s="4"/>
      <c r="J51" s="4"/>
      <c r="K51" s="4" t="e">
        <f>#REF!</f>
        <v>#REF!</v>
      </c>
      <c r="L51" s="4" t="e">
        <f>#REF!</f>
        <v>#REF!</v>
      </c>
    </row>
    <row r="52" spans="1:12">
      <c r="A52" s="3" t="s">
        <v>6</v>
      </c>
      <c r="B52" s="3"/>
      <c r="C52" s="8" t="e">
        <f ca="1">SUMIF($B$40:$B$51, "X", C40:C51)</f>
        <v>#REF!</v>
      </c>
      <c r="D52" s="8" t="e">
        <f ca="1">SUMIF($B$40:$B$51, "", D40:D51)</f>
        <v>#REF!</v>
      </c>
      <c r="E52" s="8"/>
      <c r="F52" s="8"/>
      <c r="G52" s="8" t="e">
        <f ca="1">SUMIF($B$40:$B$51, "X", G40:G51)</f>
        <v>#REF!</v>
      </c>
      <c r="H52" s="8" t="e">
        <f ca="1">SUMIF($B$40:$B$51, "", H40:H51)</f>
        <v>#REF!</v>
      </c>
      <c r="I52" s="8"/>
      <c r="J52" s="8"/>
      <c r="K52" s="8" t="e">
        <f ca="1">SUMIF($B$40:$B$51, "X", K40:K51)</f>
        <v>#REF!</v>
      </c>
      <c r="L52" s="8" t="e">
        <f ca="1">SUMIF($B$40:$B$51, "", L40:L51)</f>
        <v>#REF!</v>
      </c>
    </row>
  </sheetData>
  <phoneticPr fontId="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7"/>
  <sheetViews>
    <sheetView topLeftCell="A25" zoomScale="90" zoomScaleNormal="90" workbookViewId="0">
      <selection activeCell="A20" sqref="A20"/>
    </sheetView>
  </sheetViews>
  <sheetFormatPr defaultColWidth="9.140625" defaultRowHeight="18.75" customHeight="1"/>
  <cols>
    <col min="1" max="1" width="32" style="1" customWidth="1"/>
    <col min="2" max="2" width="54.85546875" style="10" customWidth="1"/>
    <col min="3" max="3" width="69.7109375" style="10" customWidth="1"/>
    <col min="4" max="16384" width="9.140625" style="1"/>
  </cols>
  <sheetData>
    <row r="1" spans="1:3" ht="18.75" customHeight="1">
      <c r="A1" s="11" t="s">
        <v>137</v>
      </c>
    </row>
    <row r="2" spans="1:3" ht="18.75" customHeight="1">
      <c r="A2" s="10"/>
    </row>
    <row r="3" spans="1:3" ht="18.75" customHeight="1">
      <c r="A3" s="11"/>
      <c r="B3" s="18" t="s">
        <v>138</v>
      </c>
      <c r="C3" s="18" t="s">
        <v>139</v>
      </c>
    </row>
    <row r="4" spans="1:3" ht="15.75">
      <c r="A4" s="19" t="s">
        <v>71</v>
      </c>
      <c r="B4" s="20"/>
      <c r="C4" s="20"/>
    </row>
    <row r="5" spans="1:3" ht="15.75">
      <c r="A5" s="12" t="s">
        <v>167</v>
      </c>
      <c r="B5" s="14" t="s">
        <v>168</v>
      </c>
      <c r="C5" s="14" t="s">
        <v>169</v>
      </c>
    </row>
    <row r="6" spans="1:3" ht="15.75">
      <c r="A6" s="12"/>
      <c r="B6" s="12"/>
      <c r="C6" s="14" t="s">
        <v>190</v>
      </c>
    </row>
    <row r="7" spans="1:3" ht="31.5">
      <c r="A7" s="21" t="s">
        <v>124</v>
      </c>
      <c r="B7" s="22" t="s">
        <v>143</v>
      </c>
      <c r="C7" s="22" t="s">
        <v>158</v>
      </c>
    </row>
    <row r="8" spans="1:3" ht="31.5">
      <c r="A8" s="13" t="s">
        <v>125</v>
      </c>
      <c r="B8" s="14" t="s">
        <v>142</v>
      </c>
      <c r="C8" s="14" t="s">
        <v>170</v>
      </c>
    </row>
    <row r="9" spans="1:3" ht="15.75">
      <c r="A9" s="13"/>
      <c r="B9" s="12"/>
      <c r="C9" s="14" t="s">
        <v>140</v>
      </c>
    </row>
    <row r="10" spans="1:3" ht="15.75">
      <c r="A10" s="13"/>
      <c r="B10" s="12"/>
      <c r="C10" s="14" t="s">
        <v>141</v>
      </c>
    </row>
    <row r="11" spans="1:3" ht="15.75">
      <c r="A11" s="19" t="s">
        <v>126</v>
      </c>
      <c r="B11" s="19"/>
      <c r="C11" s="19"/>
    </row>
    <row r="12" spans="1:3" ht="15.75">
      <c r="A12" s="13" t="s">
        <v>123</v>
      </c>
      <c r="B12" s="14" t="s">
        <v>145</v>
      </c>
      <c r="C12" s="14" t="s">
        <v>159</v>
      </c>
    </row>
    <row r="13" spans="1:3" ht="31.5">
      <c r="A13" s="13"/>
      <c r="B13" s="12"/>
      <c r="C13" s="14" t="s">
        <v>160</v>
      </c>
    </row>
    <row r="14" spans="1:3" ht="15.75">
      <c r="A14" s="13"/>
      <c r="B14" s="12"/>
      <c r="C14" s="14" t="s">
        <v>161</v>
      </c>
    </row>
    <row r="15" spans="1:3" ht="15.75">
      <c r="A15" s="13"/>
      <c r="B15" s="12"/>
      <c r="C15" s="14" t="s">
        <v>162</v>
      </c>
    </row>
    <row r="16" spans="1:3" ht="15.75">
      <c r="A16" s="19" t="s">
        <v>127</v>
      </c>
      <c r="B16" s="19"/>
      <c r="C16" s="19"/>
    </row>
    <row r="17" spans="1:3" ht="31.5">
      <c r="A17" s="13" t="s">
        <v>128</v>
      </c>
      <c r="B17" s="14" t="s">
        <v>144</v>
      </c>
      <c r="C17" s="14" t="s">
        <v>151</v>
      </c>
    </row>
    <row r="18" spans="1:3" ht="15.75">
      <c r="A18" s="21" t="s">
        <v>135</v>
      </c>
      <c r="B18" s="22" t="s">
        <v>146</v>
      </c>
      <c r="C18" s="22" t="s">
        <v>152</v>
      </c>
    </row>
    <row r="19" spans="1:3" ht="15.75">
      <c r="A19" s="21"/>
      <c r="B19" s="22" t="s">
        <v>147</v>
      </c>
      <c r="C19" s="23"/>
    </row>
    <row r="20" spans="1:3" ht="31.5">
      <c r="A20" s="21"/>
      <c r="B20" s="22" t="s">
        <v>148</v>
      </c>
      <c r="C20" s="23"/>
    </row>
    <row r="21" spans="1:3" ht="15.75">
      <c r="A21" s="21"/>
      <c r="B21" s="22" t="s">
        <v>149</v>
      </c>
      <c r="C21" s="23"/>
    </row>
    <row r="22" spans="1:3" ht="15.75">
      <c r="A22" s="21"/>
      <c r="B22" s="22" t="s">
        <v>150</v>
      </c>
      <c r="C22" s="23"/>
    </row>
    <row r="23" spans="1:3" ht="31.5">
      <c r="A23" s="13" t="s">
        <v>185</v>
      </c>
      <c r="B23" s="14" t="s">
        <v>186</v>
      </c>
      <c r="C23" s="14" t="s">
        <v>151</v>
      </c>
    </row>
    <row r="24" spans="1:3" ht="31.5">
      <c r="A24" s="13"/>
      <c r="B24" s="14"/>
      <c r="C24" s="14" t="s">
        <v>187</v>
      </c>
    </row>
    <row r="25" spans="1:3" ht="15.75">
      <c r="A25" s="19" t="s">
        <v>136</v>
      </c>
      <c r="B25" s="19"/>
      <c r="C25" s="19"/>
    </row>
    <row r="26" spans="1:3" ht="31.5">
      <c r="A26" s="13" t="s">
        <v>124</v>
      </c>
      <c r="B26" s="14" t="s">
        <v>156</v>
      </c>
      <c r="C26" s="14" t="s">
        <v>155</v>
      </c>
    </row>
    <row r="27" spans="1:3" ht="47.25">
      <c r="A27" s="13"/>
      <c r="B27" s="14" t="s">
        <v>153</v>
      </c>
      <c r="C27" s="14" t="s">
        <v>157</v>
      </c>
    </row>
    <row r="28" spans="1:3" ht="18.75" customHeight="1">
      <c r="A28" s="19" t="s">
        <v>163</v>
      </c>
      <c r="B28" s="19"/>
      <c r="C28" s="19"/>
    </row>
    <row r="29" spans="1:3" ht="63">
      <c r="A29" s="16" t="s">
        <v>171</v>
      </c>
      <c r="B29" s="17" t="s">
        <v>184</v>
      </c>
      <c r="C29" s="17" t="s">
        <v>188</v>
      </c>
    </row>
    <row r="30" spans="1:3" ht="18.75" customHeight="1">
      <c r="A30" s="23" t="s">
        <v>123</v>
      </c>
      <c r="B30" s="22" t="s">
        <v>172</v>
      </c>
      <c r="C30" s="22" t="s">
        <v>173</v>
      </c>
    </row>
    <row r="31" spans="1:3" ht="34.5" customHeight="1">
      <c r="A31" s="23"/>
      <c r="B31" s="22" t="s">
        <v>174</v>
      </c>
      <c r="C31" s="22" t="s">
        <v>175</v>
      </c>
    </row>
    <row r="32" spans="1:3" ht="48.75" customHeight="1">
      <c r="A32" s="23"/>
      <c r="B32" s="22" t="s">
        <v>176</v>
      </c>
      <c r="C32" s="22" t="s">
        <v>177</v>
      </c>
    </row>
    <row r="33" spans="1:3" ht="110.25">
      <c r="A33" s="16" t="s">
        <v>164</v>
      </c>
      <c r="B33" s="17" t="s">
        <v>178</v>
      </c>
      <c r="C33" s="17" t="s">
        <v>189</v>
      </c>
    </row>
    <row r="34" spans="1:3" ht="110.25">
      <c r="C34" s="15" t="s">
        <v>311</v>
      </c>
    </row>
    <row r="35" spans="1:3" ht="18.75" customHeight="1">
      <c r="A35" s="24" t="s">
        <v>165</v>
      </c>
      <c r="B35" s="25" t="s">
        <v>179</v>
      </c>
      <c r="C35" s="25" t="s">
        <v>180</v>
      </c>
    </row>
    <row r="36" spans="1:3" ht="31.5">
      <c r="A36" s="2" t="s">
        <v>124</v>
      </c>
      <c r="B36" s="17" t="s">
        <v>181</v>
      </c>
      <c r="C36" s="17" t="s">
        <v>182</v>
      </c>
    </row>
    <row r="37" spans="1:3" ht="31.5">
      <c r="A37" s="24" t="s">
        <v>166</v>
      </c>
      <c r="B37" s="25" t="s">
        <v>183</v>
      </c>
      <c r="C37" s="25" t="s">
        <v>314</v>
      </c>
    </row>
  </sheetData>
  <phoneticPr fontId="1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43"/>
  <sheetViews>
    <sheetView topLeftCell="A196" zoomScaleNormal="100" workbookViewId="0">
      <selection activeCell="S121" sqref="S121"/>
    </sheetView>
  </sheetViews>
  <sheetFormatPr defaultRowHeight="15"/>
  <cols>
    <col min="2" max="2" width="20.42578125" bestFit="1" customWidth="1"/>
    <col min="3" max="3" width="21.28515625" customWidth="1"/>
    <col min="4" max="4" width="18.28515625" customWidth="1"/>
    <col min="13" max="13" width="5.5703125" customWidth="1"/>
    <col min="14" max="14" width="22.28515625" bestFit="1" customWidth="1"/>
    <col min="15" max="15" width="21.42578125" customWidth="1"/>
    <col min="16" max="16" width="21.5703125" customWidth="1"/>
    <col min="17" max="19" width="9.140625" customWidth="1"/>
  </cols>
  <sheetData>
    <row r="1" spans="1:16">
      <c r="A1" s="177" t="s">
        <v>436</v>
      </c>
    </row>
    <row r="2" spans="1:16">
      <c r="A2" s="177" t="s">
        <v>447</v>
      </c>
      <c r="M2" s="185" t="s">
        <v>455</v>
      </c>
      <c r="N2" s="186"/>
      <c r="O2" s="186"/>
      <c r="P2" s="186"/>
    </row>
    <row r="3" spans="1:16" ht="23.25" customHeight="1">
      <c r="M3" s="187" t="s">
        <v>435</v>
      </c>
      <c r="N3" s="187" t="s">
        <v>459</v>
      </c>
      <c r="O3" s="188" t="s">
        <v>31</v>
      </c>
      <c r="P3" s="189" t="s">
        <v>32</v>
      </c>
    </row>
    <row r="4" spans="1:16" ht="23.25" customHeight="1">
      <c r="M4" s="457">
        <v>1</v>
      </c>
      <c r="N4" s="455" t="s">
        <v>2</v>
      </c>
      <c r="O4" s="193" t="e">
        <f>#REF!</f>
        <v>#REF!</v>
      </c>
      <c r="P4" s="193" t="e">
        <f>#REF!</f>
        <v>#REF!</v>
      </c>
    </row>
    <row r="5" spans="1:16" ht="23.25" customHeight="1">
      <c r="M5" s="458"/>
      <c r="N5" s="456"/>
      <c r="O5" s="196">
        <f>SUM(O6:O8)</f>
        <v>0</v>
      </c>
      <c r="P5" s="196">
        <f>SUM(P6:P8)</f>
        <v>0</v>
      </c>
    </row>
    <row r="6" spans="1:16" ht="23.25" customHeight="1">
      <c r="M6" s="192"/>
      <c r="N6" s="198" t="s">
        <v>26</v>
      </c>
      <c r="O6" s="197">
        <f>'KH hieu chinh'!C58</f>
        <v>0</v>
      </c>
      <c r="P6" s="197">
        <f>'KH hieu chinh'!D58</f>
        <v>0</v>
      </c>
    </row>
    <row r="7" spans="1:16" ht="23.25" customHeight="1">
      <c r="M7" s="192"/>
      <c r="N7" s="198" t="s">
        <v>9</v>
      </c>
      <c r="O7" s="197">
        <f>'KH hieu chinh'!C60</f>
        <v>0</v>
      </c>
      <c r="P7" s="197">
        <f>'KH hieu chinh'!D60</f>
        <v>0</v>
      </c>
    </row>
    <row r="8" spans="1:16" ht="23.25" customHeight="1">
      <c r="M8" s="192"/>
      <c r="N8" s="198" t="s">
        <v>457</v>
      </c>
      <c r="O8" s="197">
        <f>'KH hieu chinh'!C61</f>
        <v>0</v>
      </c>
      <c r="P8" s="197">
        <f>'KH hieu chinh'!D61</f>
        <v>0</v>
      </c>
    </row>
    <row r="9" spans="1:16" ht="23.25" customHeight="1">
      <c r="M9" s="187">
        <v>2</v>
      </c>
      <c r="N9" s="190" t="s">
        <v>461</v>
      </c>
      <c r="O9" s="196">
        <f t="shared" ref="O9:P9" si="0">SUM(O10:O12)</f>
        <v>854990000</v>
      </c>
      <c r="P9" s="196">
        <f t="shared" si="0"/>
        <v>854990000</v>
      </c>
    </row>
    <row r="10" spans="1:16" ht="23.25" customHeight="1">
      <c r="M10" s="192"/>
      <c r="N10" s="198" t="s">
        <v>26</v>
      </c>
      <c r="O10" s="197">
        <f>'KH hieu chinh'!C63</f>
        <v>0</v>
      </c>
      <c r="P10" s="197">
        <f>'KH hieu chinh'!D63</f>
        <v>0</v>
      </c>
    </row>
    <row r="11" spans="1:16" ht="23.25" customHeight="1">
      <c r="M11" s="192"/>
      <c r="N11" s="198" t="s">
        <v>9</v>
      </c>
      <c r="O11" s="197">
        <f>'KH hieu chinh'!C64</f>
        <v>854990000</v>
      </c>
      <c r="P11" s="197">
        <f>'KH hieu chinh'!D64</f>
        <v>854990000</v>
      </c>
    </row>
    <row r="12" spans="1:16" ht="23.25" customHeight="1">
      <c r="M12" s="192"/>
      <c r="N12" s="198" t="s">
        <v>457</v>
      </c>
      <c r="O12" s="197">
        <f>'KH hieu chinh'!C65</f>
        <v>0</v>
      </c>
      <c r="P12" s="197">
        <f>'KH hieu chinh'!D65</f>
        <v>0</v>
      </c>
    </row>
    <row r="13" spans="1:16" ht="23.25" customHeight="1">
      <c r="M13" s="187"/>
      <c r="N13" s="187" t="s">
        <v>462</v>
      </c>
      <c r="O13" s="196">
        <f>O5+O9</f>
        <v>854990000</v>
      </c>
      <c r="P13" s="196">
        <f>P5+P9</f>
        <v>854990000</v>
      </c>
    </row>
    <row r="14" spans="1:16" ht="23.25" customHeight="1">
      <c r="M14" s="191"/>
      <c r="N14" s="187" t="s">
        <v>317</v>
      </c>
      <c r="O14" s="196">
        <f>'KH hieu chinh'!C67</f>
        <v>854990000</v>
      </c>
      <c r="P14" s="196">
        <f>'KH hieu chinh'!D67</f>
        <v>854990000</v>
      </c>
    </row>
    <row r="15" spans="1:16" ht="23.25" customHeight="1">
      <c r="M15" s="191"/>
      <c r="N15" s="187" t="s">
        <v>458</v>
      </c>
      <c r="O15" s="193">
        <f>O13/O14</f>
        <v>1</v>
      </c>
      <c r="P15" s="193">
        <f>P13/P14</f>
        <v>1</v>
      </c>
    </row>
    <row r="31" spans="1:1">
      <c r="A31" s="177" t="s">
        <v>448</v>
      </c>
    </row>
    <row r="47" spans="1:1">
      <c r="A47" s="177" t="s">
        <v>449</v>
      </c>
    </row>
    <row r="48" spans="1:1">
      <c r="A48" s="177" t="s">
        <v>450</v>
      </c>
    </row>
    <row r="49" spans="1:1">
      <c r="A49" s="177"/>
    </row>
    <row r="50" spans="1:1">
      <c r="A50" s="177"/>
    </row>
    <row r="51" spans="1:1">
      <c r="A51" s="177"/>
    </row>
    <row r="52" spans="1:1">
      <c r="A52" s="177"/>
    </row>
    <row r="53" spans="1:1">
      <c r="A53" s="177"/>
    </row>
    <row r="54" spans="1:1">
      <c r="A54" s="177"/>
    </row>
    <row r="55" spans="1:1">
      <c r="A55" s="177"/>
    </row>
    <row r="56" spans="1:1">
      <c r="A56" s="177"/>
    </row>
    <row r="57" spans="1:1">
      <c r="A57" s="177"/>
    </row>
    <row r="58" spans="1:1">
      <c r="A58" s="177"/>
    </row>
    <row r="59" spans="1:1">
      <c r="A59" s="177"/>
    </row>
    <row r="60" spans="1:1">
      <c r="A60" s="177"/>
    </row>
    <row r="61" spans="1:1">
      <c r="A61" s="177"/>
    </row>
    <row r="62" spans="1:1">
      <c r="A62" s="177"/>
    </row>
    <row r="63" spans="1:1">
      <c r="A63" s="177"/>
    </row>
    <row r="64" spans="1:1">
      <c r="A64" s="177"/>
    </row>
    <row r="65" spans="1:1">
      <c r="A65" s="177"/>
    </row>
    <row r="66" spans="1:1">
      <c r="A66" s="177"/>
    </row>
    <row r="67" spans="1:1">
      <c r="A67" s="177"/>
    </row>
    <row r="68" spans="1:1">
      <c r="A68" s="177"/>
    </row>
    <row r="69" spans="1:1">
      <c r="A69" s="177"/>
    </row>
    <row r="70" spans="1:1">
      <c r="A70" s="177"/>
    </row>
    <row r="71" spans="1:1">
      <c r="A71" s="177"/>
    </row>
    <row r="72" spans="1:1">
      <c r="A72" s="177"/>
    </row>
    <row r="73" spans="1:1">
      <c r="A73" s="177"/>
    </row>
    <row r="74" spans="1:1">
      <c r="A74" s="177"/>
    </row>
    <row r="75" spans="1:1">
      <c r="A75" s="177"/>
    </row>
    <row r="76" spans="1:1">
      <c r="A76" s="177"/>
    </row>
    <row r="77" spans="1:1">
      <c r="A77" s="177"/>
    </row>
    <row r="78" spans="1:1">
      <c r="A78" s="177"/>
    </row>
    <row r="79" spans="1:1">
      <c r="A79" s="177"/>
    </row>
    <row r="80" spans="1:1">
      <c r="A80" s="177" t="s">
        <v>451</v>
      </c>
    </row>
    <row r="81" spans="1:4" ht="18.75">
      <c r="A81" s="443" t="s">
        <v>438</v>
      </c>
      <c r="B81" s="443"/>
      <c r="C81" s="181" t="e">
        <f>'KH hieu chinh'!#REF!</f>
        <v>#REF!</v>
      </c>
      <c r="D81" s="182" t="s">
        <v>437</v>
      </c>
    </row>
    <row r="82" spans="1:4">
      <c r="A82" s="177"/>
    </row>
    <row r="83" spans="1:4">
      <c r="A83" s="177"/>
    </row>
    <row r="84" spans="1:4">
      <c r="A84" s="177"/>
    </row>
    <row r="85" spans="1:4">
      <c r="A85" s="177"/>
    </row>
    <row r="86" spans="1:4">
      <c r="A86" s="177"/>
    </row>
    <row r="87" spans="1:4">
      <c r="A87" s="177"/>
    </row>
    <row r="88" spans="1:4">
      <c r="A88" s="177"/>
    </row>
    <row r="89" spans="1:4">
      <c r="A89" s="177"/>
    </row>
    <row r="90" spans="1:4">
      <c r="A90" s="177"/>
    </row>
    <row r="91" spans="1:4">
      <c r="A91" s="177"/>
    </row>
    <row r="92" spans="1:4">
      <c r="A92" s="177"/>
    </row>
    <row r="93" spans="1:4">
      <c r="A93" s="177"/>
    </row>
    <row r="94" spans="1:4">
      <c r="A94" s="177"/>
    </row>
    <row r="95" spans="1:4">
      <c r="A95" s="177"/>
    </row>
    <row r="96" spans="1:4">
      <c r="A96" s="177"/>
    </row>
    <row r="97" spans="1:16">
      <c r="A97" s="177"/>
    </row>
    <row r="98" spans="1:16">
      <c r="A98" s="177"/>
    </row>
    <row r="99" spans="1:16" ht="15" customHeight="1">
      <c r="A99" s="177"/>
      <c r="O99" s="452" t="s">
        <v>442</v>
      </c>
      <c r="P99" s="452"/>
    </row>
    <row r="100" spans="1:16" ht="15" customHeight="1">
      <c r="O100" s="451">
        <f>'KH hieu chinh'!C25</f>
        <v>0</v>
      </c>
      <c r="P100" s="451"/>
    </row>
    <row r="101" spans="1:16" ht="15" customHeight="1">
      <c r="O101" s="451"/>
      <c r="P101" s="451"/>
    </row>
    <row r="103" spans="1:16">
      <c r="O103" s="452" t="s">
        <v>443</v>
      </c>
      <c r="P103" s="452"/>
    </row>
    <row r="104" spans="1:16" ht="15" customHeight="1">
      <c r="O104" s="451">
        <f>'KH hieu chinh'!E25</f>
        <v>0</v>
      </c>
      <c r="P104" s="451"/>
    </row>
    <row r="105" spans="1:16" ht="15" customHeight="1">
      <c r="O105" s="451"/>
      <c r="P105" s="451"/>
    </row>
    <row r="107" spans="1:16" ht="15" customHeight="1">
      <c r="O107" s="447" t="s">
        <v>444</v>
      </c>
      <c r="P107" s="447"/>
    </row>
    <row r="108" spans="1:16" ht="15" customHeight="1">
      <c r="O108" s="447"/>
      <c r="P108" s="447"/>
    </row>
    <row r="109" spans="1:16" ht="15" customHeight="1">
      <c r="O109" s="447"/>
      <c r="P109" s="447"/>
    </row>
    <row r="110" spans="1:16" ht="15" customHeight="1">
      <c r="O110" s="448" t="e">
        <f>'KH hieu chinh'!E25/'KH hieu chinh'!C25</f>
        <v>#DIV/0!</v>
      </c>
      <c r="P110" s="448"/>
    </row>
    <row r="111" spans="1:16" ht="15" customHeight="1">
      <c r="O111" s="448"/>
      <c r="P111" s="448"/>
    </row>
    <row r="112" spans="1:16" ht="15" customHeight="1">
      <c r="O112" s="448"/>
      <c r="P112" s="448"/>
    </row>
    <row r="113" spans="1:4" ht="15" customHeight="1"/>
    <row r="114" spans="1:4" ht="15" customHeight="1"/>
    <row r="115" spans="1:4" ht="18.75">
      <c r="A115" s="449" t="s">
        <v>445</v>
      </c>
      <c r="B115" s="449"/>
      <c r="C115" s="179" t="e">
        <f>'KH hieu chinh'!#REF!</f>
        <v>#REF!</v>
      </c>
      <c r="D115" s="180" t="s">
        <v>437</v>
      </c>
    </row>
    <row r="117" spans="1:4">
      <c r="D117" s="178"/>
    </row>
    <row r="134" spans="15:16">
      <c r="O134" s="454" t="s">
        <v>442</v>
      </c>
      <c r="P134" s="454"/>
    </row>
    <row r="135" spans="15:16" ht="15" customHeight="1">
      <c r="O135" s="444">
        <f>'KH hieu chinh'!$F$25</f>
        <v>0</v>
      </c>
      <c r="P135" s="444"/>
    </row>
    <row r="136" spans="15:16" ht="15" customHeight="1">
      <c r="O136" s="444"/>
      <c r="P136" s="444"/>
    </row>
    <row r="137" spans="15:16">
      <c r="O137" s="195"/>
      <c r="P137" s="195"/>
    </row>
    <row r="138" spans="15:16">
      <c r="O138" s="454" t="s">
        <v>443</v>
      </c>
      <c r="P138" s="454"/>
    </row>
    <row r="139" spans="15:16" ht="15" customHeight="1">
      <c r="O139" s="444">
        <f>'KH hieu chinh'!$H$25</f>
        <v>854990000</v>
      </c>
      <c r="P139" s="444"/>
    </row>
    <row r="140" spans="15:16" ht="15" customHeight="1">
      <c r="O140" s="444"/>
      <c r="P140" s="444"/>
    </row>
    <row r="141" spans="15:16">
      <c r="O141" s="195"/>
      <c r="P141" s="195"/>
    </row>
    <row r="142" spans="15:16" ht="15" customHeight="1">
      <c r="O142" s="446" t="s">
        <v>446</v>
      </c>
      <c r="P142" s="446"/>
    </row>
    <row r="143" spans="15:16" ht="15" customHeight="1">
      <c r="O143" s="446"/>
      <c r="P143" s="446"/>
    </row>
    <row r="144" spans="15:16" ht="15" customHeight="1">
      <c r="O144" s="446"/>
      <c r="P144" s="446"/>
    </row>
    <row r="145" spans="1:16" ht="15" customHeight="1">
      <c r="O145" s="453" t="e">
        <f>'KH hieu chinh'!$H$25/'KH hieu chinh'!$F$25</f>
        <v>#DIV/0!</v>
      </c>
      <c r="P145" s="453"/>
    </row>
    <row r="146" spans="1:16" ht="15" customHeight="1">
      <c r="O146" s="453"/>
      <c r="P146" s="453"/>
    </row>
    <row r="147" spans="1:16">
      <c r="O147" s="453"/>
      <c r="P147" s="453"/>
    </row>
    <row r="149" spans="1:16">
      <c r="A149" s="177" t="s">
        <v>452</v>
      </c>
    </row>
    <row r="150" spans="1:16">
      <c r="A150" s="177" t="s">
        <v>453</v>
      </c>
    </row>
    <row r="181" spans="1:4">
      <c r="A181" s="177" t="s">
        <v>454</v>
      </c>
    </row>
    <row r="182" spans="1:4" ht="18.75">
      <c r="A182" s="443" t="s">
        <v>438</v>
      </c>
      <c r="B182" s="443"/>
      <c r="C182" s="181">
        <f>'KH hieu chinh'!$C$42</f>
        <v>0</v>
      </c>
      <c r="D182" s="182" t="s">
        <v>437</v>
      </c>
    </row>
    <row r="199" spans="15:16">
      <c r="O199" s="450" t="s">
        <v>442</v>
      </c>
      <c r="P199" s="450"/>
    </row>
    <row r="200" spans="15:16" ht="15" customHeight="1">
      <c r="O200" s="451">
        <f>'KH hieu chinh'!$C$51</f>
        <v>10000000000</v>
      </c>
      <c r="P200" s="451"/>
    </row>
    <row r="201" spans="15:16" ht="15" customHeight="1">
      <c r="O201" s="451"/>
      <c r="P201" s="451"/>
    </row>
    <row r="202" spans="15:16">
      <c r="O202" s="194"/>
      <c r="P202" s="194"/>
    </row>
    <row r="203" spans="15:16">
      <c r="O203" s="450" t="s">
        <v>443</v>
      </c>
      <c r="P203" s="450"/>
    </row>
    <row r="204" spans="15:16" ht="15" customHeight="1">
      <c r="O204" s="451">
        <f>'KH hieu chinh'!$E$51</f>
        <v>0</v>
      </c>
      <c r="P204" s="451"/>
    </row>
    <row r="205" spans="15:16" ht="15" customHeight="1">
      <c r="O205" s="451"/>
      <c r="P205" s="451"/>
    </row>
    <row r="206" spans="15:16">
      <c r="O206" s="194"/>
      <c r="P206" s="194"/>
    </row>
    <row r="207" spans="15:16" ht="15" customHeight="1">
      <c r="O207" s="447" t="s">
        <v>444</v>
      </c>
      <c r="P207" s="447"/>
    </row>
    <row r="208" spans="15:16" ht="15" customHeight="1">
      <c r="O208" s="447"/>
      <c r="P208" s="447"/>
    </row>
    <row r="209" spans="1:16" ht="15" customHeight="1">
      <c r="O209" s="447"/>
      <c r="P209" s="447"/>
    </row>
    <row r="210" spans="1:16" ht="15" customHeight="1">
      <c r="O210" s="448">
        <f>'KH hieu chinh'!$E$51/'KH hieu chinh'!$C$51</f>
        <v>0</v>
      </c>
      <c r="P210" s="448"/>
    </row>
    <row r="211" spans="1:16" ht="15" customHeight="1">
      <c r="O211" s="448"/>
      <c r="P211" s="448"/>
    </row>
    <row r="212" spans="1:16">
      <c r="O212" s="448"/>
      <c r="P212" s="448"/>
    </row>
    <row r="213" spans="1:16" ht="18.75">
      <c r="A213" s="449" t="s">
        <v>445</v>
      </c>
      <c r="B213" s="449"/>
      <c r="C213" s="179">
        <f>'KH hieu chinh'!$D$42</f>
        <v>854990000</v>
      </c>
      <c r="D213" s="180" t="s">
        <v>437</v>
      </c>
    </row>
    <row r="230" spans="15:16">
      <c r="O230" s="445" t="s">
        <v>442</v>
      </c>
      <c r="P230" s="445"/>
    </row>
    <row r="231" spans="15:16" ht="15" customHeight="1">
      <c r="O231" s="444">
        <f>'KH hieu chinh'!$F$51</f>
        <v>9000000000</v>
      </c>
      <c r="P231" s="444"/>
    </row>
    <row r="232" spans="15:16" ht="15" customHeight="1">
      <c r="O232" s="444"/>
      <c r="P232" s="444"/>
    </row>
    <row r="234" spans="15:16">
      <c r="O234" s="445" t="s">
        <v>443</v>
      </c>
      <c r="P234" s="445"/>
    </row>
    <row r="235" spans="15:16" ht="15" customHeight="1">
      <c r="O235" s="444">
        <f>'KH hieu chinh'!$H$51</f>
        <v>854990000</v>
      </c>
      <c r="P235" s="444"/>
    </row>
    <row r="236" spans="15:16" ht="15" customHeight="1">
      <c r="O236" s="444"/>
      <c r="P236" s="444"/>
    </row>
    <row r="238" spans="15:16" ht="15" customHeight="1">
      <c r="O238" s="446" t="s">
        <v>446</v>
      </c>
      <c r="P238" s="446"/>
    </row>
    <row r="239" spans="15:16" ht="15" customHeight="1">
      <c r="O239" s="446"/>
      <c r="P239" s="446"/>
    </row>
    <row r="240" spans="15:16" ht="15" customHeight="1">
      <c r="O240" s="446"/>
      <c r="P240" s="446"/>
    </row>
    <row r="241" spans="15:16" ht="15" customHeight="1">
      <c r="O241" s="442">
        <f>'KH hieu chinh'!$H$51/'KH hieu chinh'!$F$51</f>
        <v>9.4998888888888883E-2</v>
      </c>
      <c r="P241" s="442"/>
    </row>
    <row r="242" spans="15:16" ht="15" customHeight="1">
      <c r="O242" s="442"/>
      <c r="P242" s="442"/>
    </row>
    <row r="243" spans="15:16">
      <c r="O243" s="442"/>
      <c r="P243" s="442"/>
    </row>
  </sheetData>
  <mergeCells count="30">
    <mergeCell ref="N4:N5"/>
    <mergeCell ref="M4:M5"/>
    <mergeCell ref="O135:P136"/>
    <mergeCell ref="O139:P140"/>
    <mergeCell ref="O142:P144"/>
    <mergeCell ref="O145:P147"/>
    <mergeCell ref="O138:P138"/>
    <mergeCell ref="O104:P105"/>
    <mergeCell ref="O107:P109"/>
    <mergeCell ref="O110:P112"/>
    <mergeCell ref="O134:P134"/>
    <mergeCell ref="A81:B81"/>
    <mergeCell ref="O99:P99"/>
    <mergeCell ref="O100:P101"/>
    <mergeCell ref="O103:P103"/>
    <mergeCell ref="A115:B115"/>
    <mergeCell ref="O241:P243"/>
    <mergeCell ref="A182:B182"/>
    <mergeCell ref="O231:P232"/>
    <mergeCell ref="O235:P236"/>
    <mergeCell ref="O234:P234"/>
    <mergeCell ref="O238:P240"/>
    <mergeCell ref="O207:P209"/>
    <mergeCell ref="O210:P212"/>
    <mergeCell ref="O230:P230"/>
    <mergeCell ref="A213:B213"/>
    <mergeCell ref="O199:P199"/>
    <mergeCell ref="O200:P201"/>
    <mergeCell ref="O203:P203"/>
    <mergeCell ref="O204:P205"/>
  </mergeCells>
  <pageMargins left="0.7" right="0.7" top="0.75" bottom="0.75" header="0.3" footer="0.3"/>
  <pageSetup paperSize="9" scale="4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1"/>
  <sheetViews>
    <sheetView topLeftCell="A40" zoomScale="85" zoomScaleNormal="85" workbookViewId="0">
      <selection activeCell="N68" sqref="N68"/>
    </sheetView>
  </sheetViews>
  <sheetFormatPr defaultRowHeight="15"/>
  <cols>
    <col min="2" max="2" width="20.42578125" bestFit="1" customWidth="1"/>
    <col min="3" max="3" width="21.28515625" customWidth="1"/>
    <col min="4" max="4" width="18.28515625" customWidth="1"/>
    <col min="7" max="7" width="9.5703125" customWidth="1"/>
    <col min="8" max="8" width="9.42578125" customWidth="1"/>
    <col min="9" max="9" width="20.28515625" customWidth="1"/>
    <col min="10" max="10" width="22" customWidth="1"/>
    <col min="11" max="11" width="8.140625" customWidth="1"/>
    <col min="12" max="12" width="5.5703125" customWidth="1"/>
    <col min="13" max="13" width="23.140625" customWidth="1"/>
    <col min="14" max="14" width="25.140625" customWidth="1"/>
    <col min="15" max="15" width="24.140625" customWidth="1"/>
    <col min="16" max="16" width="13.7109375" customWidth="1"/>
    <col min="17" max="18" width="9.140625" customWidth="1"/>
  </cols>
  <sheetData>
    <row r="1" spans="1:15" ht="21">
      <c r="A1" s="235" t="s">
        <v>436</v>
      </c>
      <c r="B1" s="236"/>
      <c r="C1" s="236"/>
      <c r="D1" s="236"/>
      <c r="E1" s="459" t="s">
        <v>484</v>
      </c>
      <c r="F1" s="459"/>
      <c r="G1" s="460">
        <v>30850000000</v>
      </c>
      <c r="H1" s="461"/>
      <c r="I1" s="245" t="s">
        <v>485</v>
      </c>
      <c r="J1" s="246">
        <v>28900000000</v>
      </c>
      <c r="L1" s="462" t="s">
        <v>494</v>
      </c>
      <c r="M1" s="462"/>
      <c r="N1" s="462"/>
      <c r="O1" s="462"/>
    </row>
    <row r="2" spans="1:15" ht="18.75">
      <c r="L2" s="211" t="s">
        <v>435</v>
      </c>
      <c r="M2" s="211" t="s">
        <v>496</v>
      </c>
      <c r="N2" s="212" t="s">
        <v>31</v>
      </c>
      <c r="O2" s="212" t="s">
        <v>32</v>
      </c>
    </row>
    <row r="3" spans="1:15" ht="26.25">
      <c r="L3" s="463">
        <v>1</v>
      </c>
      <c r="M3" s="465" t="s">
        <v>468</v>
      </c>
      <c r="N3" s="215">
        <f>'Tong hop (TH)'!N18</f>
        <v>0</v>
      </c>
      <c r="O3" s="215">
        <f>'Tong hop (TH)'!N50</f>
        <v>0</v>
      </c>
    </row>
    <row r="4" spans="1:15" ht="23.25" customHeight="1">
      <c r="L4" s="464"/>
      <c r="M4" s="466"/>
      <c r="N4" s="216">
        <f>SUM(N5:N7)</f>
        <v>0</v>
      </c>
      <c r="O4" s="216">
        <f>SUM(O5:O7)</f>
        <v>0</v>
      </c>
    </row>
    <row r="5" spans="1:15" ht="23.25" customHeight="1">
      <c r="L5" s="208"/>
      <c r="M5" s="209" t="s">
        <v>26</v>
      </c>
      <c r="N5" s="210">
        <f>'Tong hop (TH)'!E17</f>
        <v>0</v>
      </c>
      <c r="O5" s="210">
        <f>'Tong hop (TH)'!E49</f>
        <v>0</v>
      </c>
    </row>
    <row r="6" spans="1:15" ht="23.25" customHeight="1">
      <c r="L6" s="208"/>
      <c r="M6" s="209" t="s">
        <v>9</v>
      </c>
      <c r="N6" s="210">
        <f>'Tong hop (TH)'!H17</f>
        <v>0</v>
      </c>
      <c r="O6" s="210">
        <f>'Tong hop (TH)'!H49</f>
        <v>0</v>
      </c>
    </row>
    <row r="7" spans="1:15" ht="23.25" customHeight="1">
      <c r="L7" s="208"/>
      <c r="M7" s="209" t="s">
        <v>457</v>
      </c>
      <c r="N7" s="210">
        <f>'Tong hop (TH)'!K17</f>
        <v>0</v>
      </c>
      <c r="O7" s="210">
        <f>'Tong hop (TH)'!K49</f>
        <v>0</v>
      </c>
    </row>
    <row r="8" spans="1:15" ht="23.25" customHeight="1">
      <c r="L8" s="203">
        <v>2</v>
      </c>
      <c r="M8" s="204" t="s">
        <v>486</v>
      </c>
      <c r="N8" s="217">
        <f>SUM(N9:N11)</f>
        <v>854990000</v>
      </c>
      <c r="O8" s="217">
        <f>SUM(O9:O11)</f>
        <v>854990000</v>
      </c>
    </row>
    <row r="9" spans="1:15" ht="23.25" customHeight="1">
      <c r="L9" s="205"/>
      <c r="M9" s="206" t="s">
        <v>26</v>
      </c>
      <c r="N9" s="207">
        <f>'Tong hop (TH)'!D17</f>
        <v>0</v>
      </c>
      <c r="O9" s="207">
        <f>'Tong hop (TH)'!D49</f>
        <v>0</v>
      </c>
    </row>
    <row r="10" spans="1:15" ht="23.25" customHeight="1">
      <c r="L10" s="205"/>
      <c r="M10" s="206" t="s">
        <v>9</v>
      </c>
      <c r="N10" s="207">
        <f>'Tong hop (TH)'!G17</f>
        <v>0</v>
      </c>
      <c r="O10" s="207">
        <f>'Tong hop (TH)'!G49</f>
        <v>0</v>
      </c>
    </row>
    <row r="11" spans="1:15" ht="23.25" customHeight="1">
      <c r="L11" s="205"/>
      <c r="M11" s="206" t="s">
        <v>457</v>
      </c>
      <c r="N11" s="207">
        <f>'Tong hop (TH)'!J17</f>
        <v>854990000</v>
      </c>
      <c r="O11" s="207">
        <f>'Tong hop (TH)'!J49</f>
        <v>854990000</v>
      </c>
    </row>
    <row r="12" spans="1:15" ht="23.25" customHeight="1">
      <c r="L12" s="213"/>
      <c r="M12" s="213" t="s">
        <v>497</v>
      </c>
      <c r="N12" s="218">
        <f>N4+N8</f>
        <v>854990000</v>
      </c>
      <c r="O12" s="218">
        <f>O4+O8</f>
        <v>854990000</v>
      </c>
    </row>
    <row r="13" spans="1:15" ht="23.25" customHeight="1">
      <c r="L13" s="214"/>
      <c r="M13" s="220" t="s">
        <v>442</v>
      </c>
      <c r="N13" s="221">
        <f>'Tong hop (TH)'!L17</f>
        <v>10800000000</v>
      </c>
      <c r="O13" s="221">
        <f>'Tong hop (TH)'!L49</f>
        <v>29800000000</v>
      </c>
    </row>
    <row r="14" spans="1:15" ht="26.25">
      <c r="L14" s="214"/>
      <c r="M14" s="213" t="s">
        <v>495</v>
      </c>
      <c r="N14" s="219">
        <f>N12/N13</f>
        <v>7.9165740740740745E-2</v>
      </c>
      <c r="O14" s="219">
        <f>O12/O13</f>
        <v>2.8690939597315435E-2</v>
      </c>
    </row>
    <row r="15" spans="1:15">
      <c r="N15" s="178"/>
      <c r="O15" s="178"/>
    </row>
    <row r="17" spans="1:10" ht="21">
      <c r="A17" s="237" t="s">
        <v>476</v>
      </c>
      <c r="B17" s="232"/>
      <c r="C17" s="232"/>
      <c r="D17" s="232"/>
      <c r="E17" s="232"/>
      <c r="F17" s="232"/>
      <c r="G17" s="232"/>
      <c r="H17" s="232"/>
      <c r="I17" s="232"/>
      <c r="J17" s="232"/>
    </row>
    <row r="18" spans="1:10">
      <c r="A18" s="177"/>
    </row>
    <row r="19" spans="1:10" ht="15" customHeight="1">
      <c r="A19" s="177"/>
      <c r="I19" s="452" t="s">
        <v>470</v>
      </c>
      <c r="J19" s="452"/>
    </row>
    <row r="20" spans="1:10" ht="15" customHeight="1">
      <c r="I20" s="451">
        <f>'KH hieu chinh'!C25</f>
        <v>0</v>
      </c>
      <c r="J20" s="451"/>
    </row>
    <row r="21" spans="1:10" ht="15" customHeight="1">
      <c r="I21" s="451"/>
      <c r="J21" s="451"/>
    </row>
    <row r="22" spans="1:10" ht="15" customHeight="1"/>
    <row r="23" spans="1:10" ht="15" customHeight="1">
      <c r="I23" s="452" t="s">
        <v>469</v>
      </c>
      <c r="J23" s="452"/>
    </row>
    <row r="24" spans="1:10" ht="15" customHeight="1">
      <c r="I24" s="451">
        <f>'KH hieu chinh'!E25</f>
        <v>0</v>
      </c>
      <c r="J24" s="451"/>
    </row>
    <row r="25" spans="1:10" ht="15" customHeight="1">
      <c r="I25" s="451"/>
      <c r="J25" s="451"/>
    </row>
    <row r="26" spans="1:10" ht="15.75" customHeight="1"/>
    <row r="27" spans="1:10" ht="18.75">
      <c r="I27" s="447" t="s">
        <v>464</v>
      </c>
      <c r="J27" s="447"/>
    </row>
    <row r="28" spans="1:10" ht="15" customHeight="1">
      <c r="I28" s="448" t="e">
        <f>I24/I20</f>
        <v>#DIV/0!</v>
      </c>
      <c r="J28" s="448"/>
    </row>
    <row r="29" spans="1:10" ht="15" customHeight="1">
      <c r="I29" s="448"/>
      <c r="J29" s="448"/>
    </row>
    <row r="30" spans="1:10" ht="15" customHeight="1">
      <c r="I30" s="448"/>
      <c r="J30" s="448"/>
    </row>
    <row r="31" spans="1:10" ht="15" customHeight="1"/>
    <row r="32" spans="1:10" ht="15" customHeight="1"/>
    <row r="33" spans="1:10">
      <c r="I33" s="454" t="s">
        <v>471</v>
      </c>
      <c r="J33" s="454"/>
    </row>
    <row r="34" spans="1:10" ht="15" customHeight="1">
      <c r="I34" s="444">
        <f>'KH hieu chinh'!C51</f>
        <v>10000000000</v>
      </c>
      <c r="J34" s="444"/>
    </row>
    <row r="35" spans="1:10" ht="15" customHeight="1">
      <c r="I35" s="444"/>
      <c r="J35" s="444"/>
    </row>
    <row r="36" spans="1:10">
      <c r="I36" s="195"/>
      <c r="J36" s="195"/>
    </row>
    <row r="37" spans="1:10">
      <c r="I37" s="454" t="s">
        <v>472</v>
      </c>
      <c r="J37" s="454"/>
    </row>
    <row r="38" spans="1:10" ht="15" customHeight="1">
      <c r="I38" s="444">
        <f>'KH hieu chinh'!E51</f>
        <v>0</v>
      </c>
      <c r="J38" s="444"/>
    </row>
    <row r="39" spans="1:10" ht="15" customHeight="1">
      <c r="I39" s="444"/>
      <c r="J39" s="444"/>
    </row>
    <row r="40" spans="1:10">
      <c r="I40" s="195"/>
      <c r="J40" s="195"/>
    </row>
    <row r="41" spans="1:10" ht="18.75">
      <c r="I41" s="446" t="s">
        <v>465</v>
      </c>
      <c r="J41" s="446"/>
    </row>
    <row r="42" spans="1:10" ht="15" customHeight="1">
      <c r="I42" s="453">
        <f>I38/I34</f>
        <v>0</v>
      </c>
      <c r="J42" s="453"/>
    </row>
    <row r="43" spans="1:10" ht="15" customHeight="1">
      <c r="I43" s="453"/>
      <c r="J43" s="453"/>
    </row>
    <row r="44" spans="1:10">
      <c r="I44" s="453"/>
      <c r="J44" s="453"/>
    </row>
    <row r="46" spans="1:10" ht="21">
      <c r="A46" s="238" t="s">
        <v>477</v>
      </c>
      <c r="B46" s="239"/>
      <c r="C46" s="239"/>
      <c r="D46" s="239"/>
      <c r="E46" s="239"/>
      <c r="F46" s="239"/>
      <c r="G46" s="239"/>
      <c r="H46" s="239"/>
      <c r="I46" s="239"/>
      <c r="J46" s="239"/>
    </row>
    <row r="48" spans="1:10">
      <c r="I48" s="450" t="s">
        <v>442</v>
      </c>
      <c r="J48" s="450"/>
    </row>
    <row r="49" spans="9:14">
      <c r="I49" s="451">
        <f>'KH hieu chinh'!F25</f>
        <v>0</v>
      </c>
      <c r="J49" s="451"/>
    </row>
    <row r="50" spans="9:14" ht="15" customHeight="1">
      <c r="I50" s="451"/>
      <c r="J50" s="451"/>
    </row>
    <row r="51" spans="9:14" ht="15" customHeight="1">
      <c r="I51" s="194"/>
      <c r="J51" s="194"/>
    </row>
    <row r="52" spans="9:14">
      <c r="I52" s="450" t="s">
        <v>443</v>
      </c>
      <c r="J52" s="450"/>
    </row>
    <row r="53" spans="9:14">
      <c r="I53" s="451">
        <f>'KH hieu chinh'!H25</f>
        <v>854990000</v>
      </c>
      <c r="J53" s="451"/>
    </row>
    <row r="54" spans="9:14" ht="15" customHeight="1">
      <c r="I54" s="451"/>
      <c r="J54" s="451"/>
    </row>
    <row r="55" spans="9:14" ht="15" customHeight="1">
      <c r="I55" s="194"/>
      <c r="J55" s="194"/>
    </row>
    <row r="56" spans="9:14" ht="18.75">
      <c r="I56" s="447" t="s">
        <v>465</v>
      </c>
      <c r="J56" s="447"/>
    </row>
    <row r="57" spans="9:14" ht="15" customHeight="1">
      <c r="I57" s="448" t="e">
        <f>I53/I49</f>
        <v>#DIV/0!</v>
      </c>
      <c r="J57" s="448"/>
    </row>
    <row r="58" spans="9:14" ht="15" customHeight="1">
      <c r="I58" s="448"/>
      <c r="J58" s="448"/>
      <c r="N58" s="223"/>
    </row>
    <row r="59" spans="9:14" ht="15" customHeight="1">
      <c r="I59" s="448"/>
      <c r="J59" s="448"/>
    </row>
    <row r="60" spans="9:14">
      <c r="N60" s="178"/>
    </row>
    <row r="61" spans="9:14">
      <c r="I61" s="445" t="s">
        <v>442</v>
      </c>
      <c r="J61" s="445"/>
    </row>
    <row r="62" spans="9:14">
      <c r="I62" s="444">
        <f>'KH hieu chinh'!F51</f>
        <v>9000000000</v>
      </c>
      <c r="J62" s="444"/>
    </row>
    <row r="63" spans="9:14" ht="15" customHeight="1">
      <c r="I63" s="444"/>
      <c r="J63" s="444"/>
    </row>
    <row r="64" spans="9:14" ht="15" customHeight="1"/>
    <row r="65" spans="1:10">
      <c r="I65" s="445" t="s">
        <v>443</v>
      </c>
      <c r="J65" s="445"/>
    </row>
    <row r="66" spans="1:10">
      <c r="I66" s="444">
        <f>'KH hieu chinh'!H51</f>
        <v>854990000</v>
      </c>
      <c r="J66" s="444"/>
    </row>
    <row r="67" spans="1:10" ht="15" customHeight="1">
      <c r="I67" s="444"/>
      <c r="J67" s="444"/>
    </row>
    <row r="68" spans="1:10" ht="15" customHeight="1"/>
    <row r="69" spans="1:10" ht="18.75">
      <c r="I69" s="446" t="s">
        <v>465</v>
      </c>
      <c r="J69" s="446"/>
    </row>
    <row r="70" spans="1:10" ht="15" customHeight="1">
      <c r="I70" s="453">
        <f>I66/I62</f>
        <v>9.4998888888888883E-2</v>
      </c>
      <c r="J70" s="453"/>
    </row>
    <row r="71" spans="1:10" ht="15" customHeight="1">
      <c r="I71" s="453"/>
      <c r="J71" s="453"/>
    </row>
    <row r="72" spans="1:10" ht="15" customHeight="1">
      <c r="I72" s="453"/>
      <c r="J72" s="453"/>
    </row>
    <row r="74" spans="1:10" ht="21">
      <c r="A74" s="240" t="s">
        <v>478</v>
      </c>
      <c r="B74" s="231"/>
      <c r="C74" s="231"/>
      <c r="D74" s="231"/>
      <c r="E74" s="231"/>
      <c r="F74" s="231"/>
      <c r="G74" s="231"/>
      <c r="H74" s="231"/>
      <c r="I74" s="231"/>
      <c r="J74" s="231"/>
    </row>
    <row r="90" spans="9:10">
      <c r="I90" s="468" t="s">
        <v>442</v>
      </c>
      <c r="J90" s="468"/>
    </row>
    <row r="91" spans="9:10">
      <c r="I91" s="469">
        <f>'Tong hop (TH)'!C17</f>
        <v>10800000000</v>
      </c>
      <c r="J91" s="469"/>
    </row>
    <row r="92" spans="9:10">
      <c r="I92" s="469"/>
      <c r="J92" s="469"/>
    </row>
    <row r="93" spans="9:10">
      <c r="I93" s="194"/>
      <c r="J93" s="194"/>
    </row>
    <row r="94" spans="9:10">
      <c r="I94" s="468" t="s">
        <v>443</v>
      </c>
      <c r="J94" s="468"/>
    </row>
    <row r="95" spans="9:10">
      <c r="I95" s="469">
        <f>'KH hieu chinh'!N23</f>
        <v>0</v>
      </c>
      <c r="J95" s="469"/>
    </row>
    <row r="96" spans="9:10">
      <c r="I96" s="469"/>
      <c r="J96" s="469"/>
    </row>
    <row r="97" spans="9:10">
      <c r="I97" s="194"/>
      <c r="J97" s="194"/>
    </row>
    <row r="98" spans="9:10" ht="18.75">
      <c r="I98" s="470" t="s">
        <v>465</v>
      </c>
      <c r="J98" s="470"/>
    </row>
    <row r="99" spans="9:10">
      <c r="I99" s="467">
        <f>I95/I91</f>
        <v>0</v>
      </c>
      <c r="J99" s="467"/>
    </row>
    <row r="100" spans="9:10">
      <c r="I100" s="467"/>
      <c r="J100" s="467"/>
    </row>
    <row r="101" spans="9:10">
      <c r="I101" s="467"/>
      <c r="J101" s="467"/>
    </row>
  </sheetData>
  <mergeCells count="35">
    <mergeCell ref="I99:J101"/>
    <mergeCell ref="I90:J90"/>
    <mergeCell ref="I91:J92"/>
    <mergeCell ref="I94:J94"/>
    <mergeCell ref="I95:J96"/>
    <mergeCell ref="I98:J98"/>
    <mergeCell ref="E1:F1"/>
    <mergeCell ref="G1:H1"/>
    <mergeCell ref="L1:O1"/>
    <mergeCell ref="L3:L4"/>
    <mergeCell ref="M3:M4"/>
    <mergeCell ref="I19:J19"/>
    <mergeCell ref="I20:J21"/>
    <mergeCell ref="I23:J23"/>
    <mergeCell ref="I24:J25"/>
    <mergeCell ref="I27:J27"/>
    <mergeCell ref="I28:J30"/>
    <mergeCell ref="I33:J33"/>
    <mergeCell ref="I34:J35"/>
    <mergeCell ref="I37:J37"/>
    <mergeCell ref="I38:J39"/>
    <mergeCell ref="I41:J41"/>
    <mergeCell ref="I42:J44"/>
    <mergeCell ref="I48:J48"/>
    <mergeCell ref="I70:J72"/>
    <mergeCell ref="I49:J50"/>
    <mergeCell ref="I52:J52"/>
    <mergeCell ref="I53:J54"/>
    <mergeCell ref="I56:J56"/>
    <mergeCell ref="I57:J59"/>
    <mergeCell ref="I61:J61"/>
    <mergeCell ref="I62:J63"/>
    <mergeCell ref="I65:J65"/>
    <mergeCell ref="I66:J67"/>
    <mergeCell ref="I69:J69"/>
  </mergeCells>
  <pageMargins left="0.7" right="0.7" top="0.75" bottom="0.75" header="0.3" footer="0.3"/>
  <pageSetup paperSize="9" scale="37" fitToHeight="0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3"/>
  <sheetViews>
    <sheetView topLeftCell="A13" zoomScale="145" zoomScaleNormal="145" workbookViewId="0">
      <selection activeCell="C39" sqref="C39"/>
    </sheetView>
  </sheetViews>
  <sheetFormatPr defaultRowHeight="15"/>
  <cols>
    <col min="2" max="2" width="20.42578125" bestFit="1" customWidth="1"/>
    <col min="3" max="3" width="21.28515625" customWidth="1"/>
    <col min="4" max="4" width="18.28515625" customWidth="1"/>
    <col min="9" max="9" width="20.28515625" customWidth="1"/>
    <col min="10" max="10" width="22" customWidth="1"/>
    <col min="11" max="11" width="8.140625" customWidth="1"/>
    <col min="12" max="12" width="5.5703125" customWidth="1"/>
    <col min="13" max="13" width="23.140625" customWidth="1"/>
    <col min="14" max="14" width="25.140625" customWidth="1"/>
    <col min="15" max="15" width="24.140625" customWidth="1"/>
    <col min="16" max="16" width="13.7109375" customWidth="1"/>
    <col min="17" max="18" width="9.140625" customWidth="1"/>
  </cols>
  <sheetData>
    <row r="1" spans="1:15" ht="15.75">
      <c r="A1" s="177"/>
      <c r="D1" s="234" t="s">
        <v>474</v>
      </c>
      <c r="E1" s="472" t="e">
        <f>#REF!</f>
        <v>#REF!</v>
      </c>
      <c r="F1" s="472"/>
      <c r="G1" s="473" t="s">
        <v>475</v>
      </c>
      <c r="H1" s="473"/>
      <c r="I1" s="233" t="e">
        <f>#REF!</f>
        <v>#REF!</v>
      </c>
    </row>
    <row r="2" spans="1:15" ht="21">
      <c r="A2" s="235" t="s">
        <v>436</v>
      </c>
      <c r="B2" s="236"/>
      <c r="C2" s="236"/>
      <c r="D2" s="236"/>
      <c r="E2" s="474"/>
      <c r="F2" s="474"/>
      <c r="G2" s="236"/>
      <c r="H2" s="236"/>
      <c r="I2" s="236"/>
      <c r="J2" s="236"/>
      <c r="L2" s="471" t="s">
        <v>479</v>
      </c>
      <c r="M2" s="471"/>
      <c r="N2" s="471"/>
      <c r="O2" s="471"/>
    </row>
    <row r="3" spans="1:15" ht="18.75">
      <c r="L3" s="211" t="s">
        <v>435</v>
      </c>
      <c r="M3" s="211" t="s">
        <v>459</v>
      </c>
      <c r="N3" s="212" t="s">
        <v>31</v>
      </c>
      <c r="O3" s="212" t="s">
        <v>32</v>
      </c>
    </row>
    <row r="4" spans="1:15" ht="26.25">
      <c r="L4" s="463">
        <v>1</v>
      </c>
      <c r="M4" s="465" t="s">
        <v>2</v>
      </c>
      <c r="N4" s="215" t="e">
        <f>#REF!</f>
        <v>#REF!</v>
      </c>
      <c r="O4" s="215" t="e">
        <f>#REF!</f>
        <v>#REF!</v>
      </c>
    </row>
    <row r="5" spans="1:15" ht="23.25" customHeight="1">
      <c r="L5" s="464"/>
      <c r="M5" s="466"/>
      <c r="N5" s="216">
        <f>SUM(N6:N8)</f>
        <v>0</v>
      </c>
      <c r="O5" s="216">
        <f>SUM(O6:O8)</f>
        <v>0</v>
      </c>
    </row>
    <row r="6" spans="1:15" ht="23.25" customHeight="1">
      <c r="L6" s="208"/>
      <c r="M6" s="209" t="s">
        <v>26</v>
      </c>
      <c r="N6" s="210">
        <f>'KH hieu chinh'!C58</f>
        <v>0</v>
      </c>
      <c r="O6" s="210">
        <f>'KH hieu chinh'!D58</f>
        <v>0</v>
      </c>
    </row>
    <row r="7" spans="1:15" ht="23.25" customHeight="1">
      <c r="L7" s="208"/>
      <c r="M7" s="209" t="s">
        <v>9</v>
      </c>
      <c r="N7" s="210">
        <f>'KH hieu chinh'!C60</f>
        <v>0</v>
      </c>
      <c r="O7" s="210">
        <f>'KH hieu chinh'!D60</f>
        <v>0</v>
      </c>
    </row>
    <row r="8" spans="1:15" ht="23.25" customHeight="1">
      <c r="L8" s="208"/>
      <c r="M8" s="209" t="s">
        <v>457</v>
      </c>
      <c r="N8" s="210">
        <f>'KH hieu chinh'!C61</f>
        <v>0</v>
      </c>
      <c r="O8" s="210">
        <f>'KH hieu chinh'!D61</f>
        <v>0</v>
      </c>
    </row>
    <row r="9" spans="1:15" ht="23.25" customHeight="1">
      <c r="L9" s="203">
        <v>2</v>
      </c>
      <c r="M9" s="204" t="s">
        <v>461</v>
      </c>
      <c r="N9" s="217">
        <f t="shared" ref="N9:O9" si="0">SUM(N10:N12)</f>
        <v>854990000</v>
      </c>
      <c r="O9" s="217">
        <f t="shared" si="0"/>
        <v>854990000</v>
      </c>
    </row>
    <row r="10" spans="1:15" ht="23.25" customHeight="1">
      <c r="L10" s="205"/>
      <c r="M10" s="206" t="s">
        <v>26</v>
      </c>
      <c r="N10" s="207">
        <f>'KH hieu chinh'!C63</f>
        <v>0</v>
      </c>
      <c r="O10" s="207">
        <f>'KH hieu chinh'!D63</f>
        <v>0</v>
      </c>
    </row>
    <row r="11" spans="1:15" ht="23.25" customHeight="1">
      <c r="L11" s="205"/>
      <c r="M11" s="206" t="s">
        <v>9</v>
      </c>
      <c r="N11" s="207">
        <f>'KH hieu chinh'!C64</f>
        <v>854990000</v>
      </c>
      <c r="O11" s="207">
        <f>'KH hieu chinh'!D64</f>
        <v>854990000</v>
      </c>
    </row>
    <row r="12" spans="1:15" ht="23.25" customHeight="1">
      <c r="L12" s="205"/>
      <c r="M12" s="206" t="s">
        <v>457</v>
      </c>
      <c r="N12" s="207">
        <f>'KH hieu chinh'!C65</f>
        <v>0</v>
      </c>
      <c r="O12" s="207">
        <f>'KH hieu chinh'!D65</f>
        <v>0</v>
      </c>
    </row>
    <row r="13" spans="1:15" ht="23.25" customHeight="1">
      <c r="L13" s="213"/>
      <c r="M13" s="213" t="s">
        <v>462</v>
      </c>
      <c r="N13" s="218">
        <f>N5+N9</f>
        <v>854990000</v>
      </c>
      <c r="O13" s="218">
        <f>O5+O9</f>
        <v>854990000</v>
      </c>
    </row>
    <row r="14" spans="1:15" ht="23.25" customHeight="1">
      <c r="L14" s="214"/>
      <c r="M14" s="220" t="s">
        <v>317</v>
      </c>
      <c r="N14" s="221">
        <f>'KH hieu chinh'!C67</f>
        <v>854990000</v>
      </c>
      <c r="O14" s="221">
        <f>'KH hieu chinh'!D67</f>
        <v>854990000</v>
      </c>
    </row>
    <row r="15" spans="1:15" ht="26.25">
      <c r="L15" s="214"/>
      <c r="M15" s="213" t="s">
        <v>458</v>
      </c>
      <c r="N15" s="219">
        <f>N13/N14</f>
        <v>1</v>
      </c>
      <c r="O15" s="219">
        <f>O13/O14</f>
        <v>1</v>
      </c>
    </row>
    <row r="16" spans="1:15">
      <c r="N16" s="178"/>
      <c r="O16" s="178"/>
    </row>
    <row r="17" spans="1:15">
      <c r="N17" s="178"/>
      <c r="O17" s="178"/>
    </row>
    <row r="18" spans="1:15" ht="21">
      <c r="A18" s="237" t="s">
        <v>481</v>
      </c>
      <c r="B18" s="232"/>
      <c r="C18" s="232"/>
      <c r="D18" s="232"/>
      <c r="E18" s="232"/>
      <c r="F18" s="232"/>
      <c r="G18" s="232"/>
      <c r="H18" s="232"/>
      <c r="I18" s="232"/>
      <c r="J18" s="232"/>
      <c r="N18" s="178"/>
      <c r="O18" s="178"/>
    </row>
    <row r="19" spans="1:15" ht="15" customHeight="1">
      <c r="A19" s="241" t="s">
        <v>480</v>
      </c>
      <c r="B19" s="242"/>
      <c r="C19" s="242"/>
      <c r="D19" s="242"/>
      <c r="E19" s="242"/>
      <c r="F19" s="242"/>
      <c r="G19" s="242"/>
      <c r="H19" s="242"/>
      <c r="I19" s="242"/>
      <c r="J19" s="242"/>
    </row>
    <row r="20" spans="1:15" ht="15" customHeight="1"/>
    <row r="21" spans="1:15" ht="15" customHeight="1"/>
    <row r="22" spans="1:15">
      <c r="O22" s="228"/>
    </row>
    <row r="23" spans="1:15">
      <c r="N23" s="227"/>
    </row>
    <row r="24" spans="1:15" ht="15" customHeight="1">
      <c r="N24" s="227"/>
    </row>
    <row r="25" spans="1:15" ht="15" customHeight="1"/>
    <row r="27" spans="1:15" ht="18.75" customHeight="1"/>
    <row r="28" spans="1:15" ht="15" customHeight="1"/>
    <row r="29" spans="1:15" ht="15" customHeight="1"/>
    <row r="30" spans="1:15" ht="15" customHeight="1"/>
    <row r="31" spans="1:15" ht="15" customHeight="1"/>
    <row r="32" spans="1:15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7" ht="15" customHeight="1"/>
    <row r="48" ht="15" customHeight="1"/>
    <row r="50" spans="1:10" ht="18.75" customHeight="1"/>
    <row r="51" spans="1:10" ht="15" customHeight="1"/>
    <row r="52" spans="1:10" ht="15" customHeight="1"/>
    <row r="53" spans="1:10" ht="15" customHeight="1"/>
    <row r="55" spans="1:10" ht="21">
      <c r="A55" s="199" t="s">
        <v>477</v>
      </c>
      <c r="B55" s="200"/>
      <c r="C55" s="200"/>
      <c r="D55" s="200"/>
      <c r="E55" s="200"/>
      <c r="F55" s="200"/>
      <c r="G55" s="200"/>
      <c r="H55" s="200"/>
      <c r="I55" s="200"/>
      <c r="J55" s="200"/>
    </row>
    <row r="57" spans="1:10">
      <c r="I57" s="450" t="s">
        <v>442</v>
      </c>
      <c r="J57" s="450"/>
    </row>
    <row r="58" spans="1:10">
      <c r="I58" s="451">
        <f>'KH hieu chinh'!$C$51</f>
        <v>10000000000</v>
      </c>
      <c r="J58" s="451"/>
    </row>
    <row r="59" spans="1:10" ht="15" customHeight="1">
      <c r="I59" s="451"/>
      <c r="J59" s="451"/>
    </row>
    <row r="60" spans="1:10" ht="15" customHeight="1">
      <c r="I60" s="194"/>
      <c r="J60" s="194"/>
    </row>
    <row r="61" spans="1:10">
      <c r="I61" s="450" t="s">
        <v>443</v>
      </c>
      <c r="J61" s="450"/>
    </row>
    <row r="62" spans="1:10">
      <c r="I62" s="451">
        <f>'KH hieu chinh'!$E$51</f>
        <v>0</v>
      </c>
      <c r="J62" s="451"/>
    </row>
    <row r="63" spans="1:10" ht="15" customHeight="1">
      <c r="I63" s="451"/>
      <c r="J63" s="451"/>
    </row>
    <row r="64" spans="1:10" ht="15" customHeight="1">
      <c r="I64" s="194"/>
      <c r="J64" s="194"/>
    </row>
    <row r="65" spans="9:14" ht="18.75">
      <c r="I65" s="447" t="s">
        <v>465</v>
      </c>
      <c r="J65" s="447"/>
    </row>
    <row r="66" spans="9:14" ht="15" customHeight="1">
      <c r="I66" s="448">
        <f>'KH hieu chinh'!$E$51/'KH hieu chinh'!$C$51</f>
        <v>0</v>
      </c>
      <c r="J66" s="448"/>
    </row>
    <row r="67" spans="9:14" ht="15" customHeight="1">
      <c r="I67" s="448"/>
      <c r="J67" s="448"/>
      <c r="N67" s="223"/>
    </row>
    <row r="68" spans="9:14" ht="15" customHeight="1">
      <c r="I68" s="448"/>
      <c r="J68" s="448"/>
    </row>
    <row r="69" spans="9:14">
      <c r="N69" s="178"/>
    </row>
    <row r="70" spans="9:14">
      <c r="I70" s="445" t="s">
        <v>442</v>
      </c>
      <c r="J70" s="445"/>
    </row>
    <row r="71" spans="9:14">
      <c r="I71" s="444">
        <f>'KH hieu chinh'!$F$51</f>
        <v>9000000000</v>
      </c>
      <c r="J71" s="444"/>
    </row>
    <row r="72" spans="9:14" ht="15" customHeight="1">
      <c r="I72" s="444"/>
      <c r="J72" s="444"/>
    </row>
    <row r="73" spans="9:14" ht="15" customHeight="1"/>
    <row r="74" spans="9:14">
      <c r="I74" s="445" t="s">
        <v>443</v>
      </c>
      <c r="J74" s="445"/>
    </row>
    <row r="75" spans="9:14">
      <c r="I75" s="444">
        <f>'KH hieu chinh'!$H$51</f>
        <v>854990000</v>
      </c>
      <c r="J75" s="444"/>
    </row>
    <row r="76" spans="9:14" ht="15" customHeight="1">
      <c r="I76" s="444"/>
      <c r="J76" s="444"/>
    </row>
    <row r="77" spans="9:14" ht="15" customHeight="1"/>
    <row r="78" spans="9:14" ht="18.75">
      <c r="I78" s="446" t="s">
        <v>465</v>
      </c>
      <c r="J78" s="446"/>
    </row>
    <row r="79" spans="9:14" ht="15" customHeight="1">
      <c r="I79" s="453">
        <f>'KH hieu chinh'!$H$51/'KH hieu chinh'!$F$51</f>
        <v>9.4998888888888883E-2</v>
      </c>
      <c r="J79" s="453"/>
    </row>
    <row r="80" spans="9:14" ht="15" customHeight="1">
      <c r="I80" s="453"/>
      <c r="J80" s="453"/>
    </row>
    <row r="81" spans="1:10" ht="15" customHeight="1">
      <c r="I81" s="453"/>
      <c r="J81" s="453"/>
    </row>
    <row r="83" spans="1:10" ht="21">
      <c r="A83" s="201" t="s">
        <v>478</v>
      </c>
      <c r="B83" s="202"/>
      <c r="C83" s="202"/>
      <c r="D83" s="202"/>
      <c r="E83" s="202"/>
      <c r="F83" s="202"/>
      <c r="G83" s="202"/>
      <c r="H83" s="202"/>
      <c r="I83" s="202"/>
      <c r="J83" s="202"/>
    </row>
  </sheetData>
  <mergeCells count="18">
    <mergeCell ref="I71:J72"/>
    <mergeCell ref="I74:J74"/>
    <mergeCell ref="I75:J76"/>
    <mergeCell ref="I78:J78"/>
    <mergeCell ref="I79:J81"/>
    <mergeCell ref="E1:F1"/>
    <mergeCell ref="G1:H1"/>
    <mergeCell ref="E2:F2"/>
    <mergeCell ref="I58:J59"/>
    <mergeCell ref="I61:J61"/>
    <mergeCell ref="L2:O2"/>
    <mergeCell ref="L4:L5"/>
    <mergeCell ref="M4:M5"/>
    <mergeCell ref="I66:J68"/>
    <mergeCell ref="I70:J70"/>
    <mergeCell ref="I57:J57"/>
    <mergeCell ref="I62:J63"/>
    <mergeCell ref="I65:J65"/>
  </mergeCells>
  <pageMargins left="0.7" right="0.7" top="0.75" bottom="0.75" header="0.3" footer="0.3"/>
  <pageSetup paperSize="9" scale="37" fitToHeight="0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topLeftCell="A19" zoomScale="70" zoomScaleNormal="70" workbookViewId="0">
      <pane xSplit="2" topLeftCell="C1" activePane="topRight" state="frozen"/>
      <selection pane="topRight" activeCell="I70" sqref="I70"/>
    </sheetView>
  </sheetViews>
  <sheetFormatPr defaultColWidth="9" defaultRowHeight="18.75"/>
  <cols>
    <col min="1" max="1" width="8.7109375" style="52" customWidth="1"/>
    <col min="2" max="2" width="13.42578125" style="52" customWidth="1"/>
    <col min="3" max="3" width="21.140625" style="52" bestFit="1" customWidth="1"/>
    <col min="4" max="4" width="23" style="52" bestFit="1" customWidth="1"/>
    <col min="5" max="7" width="21.140625" style="52" bestFit="1" customWidth="1"/>
    <col min="8" max="11" width="19.7109375" style="52" bestFit="1" customWidth="1"/>
    <col min="12" max="13" width="21.140625" style="52" bestFit="1" customWidth="1"/>
    <col min="14" max="14" width="21" style="52" customWidth="1"/>
    <col min="15" max="15" width="21.140625" style="52" bestFit="1" customWidth="1"/>
    <col min="16" max="16" width="20.7109375" style="52" customWidth="1"/>
    <col min="17" max="17" width="13" style="52" customWidth="1"/>
    <col min="18" max="18" width="10.28515625" style="52" customWidth="1"/>
    <col min="19" max="19" width="30.85546875" style="52" customWidth="1"/>
    <col min="20" max="20" width="20.7109375" style="52" customWidth="1"/>
    <col min="21" max="21" width="22.7109375" style="52" customWidth="1"/>
    <col min="22" max="28" width="19.28515625" style="52" customWidth="1"/>
    <col min="29" max="16384" width="9" style="52"/>
  </cols>
  <sheetData>
    <row r="1" spans="1:28" s="60" customFormat="1">
      <c r="A1" s="73" t="s">
        <v>18</v>
      </c>
      <c r="E1" s="132"/>
      <c r="F1" s="74"/>
      <c r="I1" s="74"/>
      <c r="L1" s="74"/>
      <c r="N1" s="74"/>
      <c r="O1" s="74"/>
      <c r="R1" s="74"/>
    </row>
    <row r="2" spans="1:28">
      <c r="A2" s="75" t="s">
        <v>31</v>
      </c>
      <c r="B2" s="76"/>
      <c r="C2" s="77"/>
      <c r="D2" s="123"/>
      <c r="E2" s="86"/>
      <c r="F2" s="77"/>
      <c r="G2" s="76"/>
      <c r="H2" s="122"/>
      <c r="I2" s="77"/>
      <c r="J2" s="76"/>
      <c r="K2" s="122"/>
      <c r="L2" s="77"/>
      <c r="M2" s="76"/>
      <c r="N2" s="122"/>
      <c r="O2" s="77"/>
      <c r="Q2" s="121"/>
    </row>
    <row r="3" spans="1:28">
      <c r="A3" s="499" t="s">
        <v>0</v>
      </c>
      <c r="B3" s="501" t="s">
        <v>28</v>
      </c>
      <c r="C3" s="488" t="s">
        <v>26</v>
      </c>
      <c r="D3" s="489"/>
      <c r="E3" s="490"/>
      <c r="F3" s="488" t="s">
        <v>9</v>
      </c>
      <c r="G3" s="489"/>
      <c r="H3" s="490"/>
      <c r="I3" s="488" t="s">
        <v>330</v>
      </c>
      <c r="J3" s="489"/>
      <c r="K3" s="490"/>
      <c r="L3" s="488" t="s">
        <v>27</v>
      </c>
      <c r="M3" s="489"/>
      <c r="N3" s="490"/>
      <c r="R3" s="60"/>
      <c r="Z3" s="60"/>
      <c r="AA3" s="60"/>
      <c r="AB3" s="60"/>
    </row>
    <row r="4" spans="1:28">
      <c r="A4" s="500"/>
      <c r="B4" s="502"/>
      <c r="C4" s="243" t="s">
        <v>5</v>
      </c>
      <c r="D4" s="243" t="s">
        <v>10</v>
      </c>
      <c r="E4" s="243" t="s">
        <v>2</v>
      </c>
      <c r="F4" s="243" t="s">
        <v>5</v>
      </c>
      <c r="G4" s="243" t="s">
        <v>10</v>
      </c>
      <c r="H4" s="243" t="s">
        <v>2</v>
      </c>
      <c r="I4" s="243" t="s">
        <v>5</v>
      </c>
      <c r="J4" s="243" t="s">
        <v>10</v>
      </c>
      <c r="K4" s="243" t="s">
        <v>2</v>
      </c>
      <c r="L4" s="243" t="s">
        <v>5</v>
      </c>
      <c r="M4" s="243" t="s">
        <v>10</v>
      </c>
      <c r="N4" s="243" t="s">
        <v>2</v>
      </c>
      <c r="R4" s="60"/>
      <c r="Z4" s="60"/>
      <c r="AA4" s="60"/>
      <c r="AB4" s="60"/>
    </row>
    <row r="5" spans="1:28">
      <c r="A5" s="79">
        <v>1</v>
      </c>
      <c r="B5" s="80" t="s">
        <v>19</v>
      </c>
      <c r="C5" s="97">
        <v>900000000</v>
      </c>
      <c r="D5" s="97">
        <f>'KH hieu chinh'!M5</f>
        <v>0</v>
      </c>
      <c r="E5" s="95">
        <f>'Thuc te theo thang'!J5</f>
        <v>0</v>
      </c>
      <c r="F5" s="97"/>
      <c r="G5" s="81">
        <f>'KH hieu chinh'!C5</f>
        <v>0</v>
      </c>
      <c r="H5" s="95">
        <f>'Thuc te theo thang'!J6</f>
        <v>0</v>
      </c>
      <c r="I5" s="97"/>
      <c r="J5" s="81">
        <f>'KH hieu chinh'!D5</f>
        <v>0</v>
      </c>
      <c r="K5" s="95">
        <f>'Thuc te theo thang'!J208</f>
        <v>0</v>
      </c>
      <c r="L5" s="97">
        <f>C5+F5+I5</f>
        <v>900000000</v>
      </c>
      <c r="M5" s="81">
        <f>D5+G5+J5</f>
        <v>0</v>
      </c>
      <c r="N5" s="95">
        <f>E5+H5+K5</f>
        <v>0</v>
      </c>
      <c r="R5" s="60"/>
      <c r="Z5" s="60"/>
      <c r="AA5" s="60"/>
      <c r="AB5" s="60"/>
    </row>
    <row r="6" spans="1:28">
      <c r="A6" s="79">
        <v>2</v>
      </c>
      <c r="B6" s="80" t="s">
        <v>20</v>
      </c>
      <c r="C6" s="97">
        <v>900000000</v>
      </c>
      <c r="D6" s="97">
        <f>'KH hieu chinh'!M6</f>
        <v>0</v>
      </c>
      <c r="E6" s="95">
        <f>'Thuc te theo thang'!L5</f>
        <v>0</v>
      </c>
      <c r="F6" s="97"/>
      <c r="G6" s="81">
        <f>'KH hieu chinh'!C6</f>
        <v>0</v>
      </c>
      <c r="H6" s="95">
        <f>'Thuc te theo thang'!L6</f>
        <v>0</v>
      </c>
      <c r="I6" s="97"/>
      <c r="J6" s="81">
        <f>'KH hieu chinh'!D6</f>
        <v>0</v>
      </c>
      <c r="K6" s="95">
        <f>'Thuc te theo thang'!L208</f>
        <v>0</v>
      </c>
      <c r="L6" s="97">
        <f t="shared" ref="L6:L16" si="0">C6+F6+I6</f>
        <v>900000000</v>
      </c>
      <c r="M6" s="81">
        <f t="shared" ref="M6:M16" si="1">D6+G6+J6</f>
        <v>0</v>
      </c>
      <c r="N6" s="95">
        <f t="shared" ref="N6:N16" si="2">E6+H6+K6</f>
        <v>0</v>
      </c>
      <c r="R6" s="60"/>
      <c r="Z6" s="60"/>
      <c r="AA6" s="60"/>
      <c r="AB6" s="60"/>
    </row>
    <row r="7" spans="1:28">
      <c r="A7" s="79">
        <v>3</v>
      </c>
      <c r="B7" s="80" t="s">
        <v>21</v>
      </c>
      <c r="C7" s="97">
        <v>900000000</v>
      </c>
      <c r="D7" s="97">
        <f>'KH hieu chinh'!M7</f>
        <v>0</v>
      </c>
      <c r="E7" s="95">
        <f>'Thuc te theo thang'!N5</f>
        <v>0</v>
      </c>
      <c r="F7" s="97"/>
      <c r="G7" s="81">
        <f>'KH hieu chinh'!C7</f>
        <v>0</v>
      </c>
      <c r="H7" s="95">
        <f>'Thuc te theo thang'!N6</f>
        <v>0</v>
      </c>
      <c r="I7" s="97"/>
      <c r="J7" s="81">
        <f>'KH hieu chinh'!D7</f>
        <v>0</v>
      </c>
      <c r="K7" s="95">
        <f>'Thuc te theo thang'!N208</f>
        <v>0</v>
      </c>
      <c r="L7" s="97">
        <f t="shared" si="0"/>
        <v>900000000</v>
      </c>
      <c r="M7" s="81">
        <f t="shared" si="1"/>
        <v>0</v>
      </c>
      <c r="N7" s="95">
        <f t="shared" si="2"/>
        <v>0</v>
      </c>
      <c r="P7" s="66">
        <f>SUM(N5:N7)</f>
        <v>0</v>
      </c>
      <c r="R7" s="169"/>
      <c r="T7" s="66"/>
      <c r="Z7" s="60"/>
      <c r="AA7" s="60"/>
      <c r="AB7" s="60"/>
    </row>
    <row r="8" spans="1:28">
      <c r="A8" s="79">
        <v>4</v>
      </c>
      <c r="B8" s="80" t="s">
        <v>22</v>
      </c>
      <c r="C8" s="97">
        <v>900000000</v>
      </c>
      <c r="D8" s="97">
        <f>'KH hieu chinh'!M8</f>
        <v>0</v>
      </c>
      <c r="E8" s="95">
        <f>'Thuc te theo thang'!P5</f>
        <v>0</v>
      </c>
      <c r="F8" s="97"/>
      <c r="G8" s="81">
        <f>'KH hieu chinh'!C8</f>
        <v>0</v>
      </c>
      <c r="H8" s="95">
        <f>'Thuc te theo thang'!P6</f>
        <v>0</v>
      </c>
      <c r="I8" s="97"/>
      <c r="J8" s="81">
        <f>'KH hieu chinh'!D8</f>
        <v>0</v>
      </c>
      <c r="K8" s="95">
        <f>'Thuc te theo thang'!P208</f>
        <v>0</v>
      </c>
      <c r="L8" s="97">
        <f t="shared" si="0"/>
        <v>900000000</v>
      </c>
      <c r="M8" s="81">
        <f t="shared" si="1"/>
        <v>0</v>
      </c>
      <c r="N8" s="95">
        <f t="shared" si="2"/>
        <v>0</v>
      </c>
      <c r="R8" s="74"/>
      <c r="Z8" s="60"/>
      <c r="AA8" s="60"/>
      <c r="AB8" s="60"/>
    </row>
    <row r="9" spans="1:28">
      <c r="A9" s="79">
        <v>5</v>
      </c>
      <c r="B9" s="80" t="s">
        <v>23</v>
      </c>
      <c r="C9" s="97">
        <v>900000000</v>
      </c>
      <c r="D9" s="97">
        <f>'KH hieu chinh'!M9</f>
        <v>0</v>
      </c>
      <c r="E9" s="95">
        <f>'Thuc te theo thang'!R5</f>
        <v>0</v>
      </c>
      <c r="F9" s="97"/>
      <c r="G9" s="81">
        <f>'KH hieu chinh'!C9</f>
        <v>0</v>
      </c>
      <c r="H9" s="95">
        <f>'Thuc te theo thang'!R6</f>
        <v>0</v>
      </c>
      <c r="I9" s="97"/>
      <c r="J9" s="81">
        <f>'KH hieu chinh'!D9</f>
        <v>0</v>
      </c>
      <c r="K9" s="95">
        <f>'Thuc te theo thang'!R208</f>
        <v>0</v>
      </c>
      <c r="L9" s="97">
        <f t="shared" si="0"/>
        <v>900000000</v>
      </c>
      <c r="M9" s="81">
        <f t="shared" si="1"/>
        <v>0</v>
      </c>
      <c r="N9" s="95">
        <f>E9+H9+K9</f>
        <v>0</v>
      </c>
      <c r="R9" s="60"/>
      <c r="Z9" s="60"/>
      <c r="AA9" s="60"/>
      <c r="AB9" s="60"/>
    </row>
    <row r="10" spans="1:28">
      <c r="A10" s="79">
        <v>6</v>
      </c>
      <c r="B10" s="80" t="s">
        <v>24</v>
      </c>
      <c r="C10" s="97">
        <v>900000000</v>
      </c>
      <c r="D10" s="97">
        <f>'KH hieu chinh'!M10</f>
        <v>0</v>
      </c>
      <c r="E10" s="95">
        <f>'Thuc te theo thang'!T5</f>
        <v>0</v>
      </c>
      <c r="F10" s="97"/>
      <c r="G10" s="81">
        <f>'KH hieu chinh'!C10</f>
        <v>0</v>
      </c>
      <c r="H10" s="95">
        <f>'Thuc te theo thang'!T6</f>
        <v>0</v>
      </c>
      <c r="I10" s="97"/>
      <c r="J10" s="81">
        <f>'KH hieu chinh'!D10</f>
        <v>0</v>
      </c>
      <c r="K10" s="95">
        <f>'Thuc te theo thang'!T208</f>
        <v>0</v>
      </c>
      <c r="L10" s="97">
        <f t="shared" si="0"/>
        <v>900000000</v>
      </c>
      <c r="M10" s="81">
        <f t="shared" si="1"/>
        <v>0</v>
      </c>
      <c r="N10" s="95">
        <f>E10+H10+K10</f>
        <v>0</v>
      </c>
      <c r="P10" s="66">
        <f>SUM(N8:N10)</f>
        <v>0</v>
      </c>
      <c r="R10" s="60"/>
      <c r="Z10" s="60"/>
      <c r="AA10" s="60"/>
      <c r="AB10" s="60"/>
    </row>
    <row r="11" spans="1:28">
      <c r="A11" s="79">
        <v>7</v>
      </c>
      <c r="B11" s="80" t="s">
        <v>12</v>
      </c>
      <c r="C11" s="97">
        <v>900000000</v>
      </c>
      <c r="D11" s="97">
        <f>'KH hieu chinh'!M11</f>
        <v>0</v>
      </c>
      <c r="E11" s="95">
        <f>'Thuc te theo thang'!V5</f>
        <v>0</v>
      </c>
      <c r="F11" s="97"/>
      <c r="G11" s="81">
        <f>'KH hieu chinh'!C11</f>
        <v>0</v>
      </c>
      <c r="H11" s="95">
        <f>'Thuc te theo thang'!V6</f>
        <v>0</v>
      </c>
      <c r="I11" s="97"/>
      <c r="J11" s="81">
        <f>'KH hieu chinh'!D11</f>
        <v>0</v>
      </c>
      <c r="K11" s="95">
        <f>'Thuc te theo thang'!V208</f>
        <v>0</v>
      </c>
      <c r="L11" s="97">
        <f t="shared" si="0"/>
        <v>900000000</v>
      </c>
      <c r="M11" s="81">
        <f t="shared" si="1"/>
        <v>0</v>
      </c>
      <c r="N11" s="95">
        <f t="shared" si="2"/>
        <v>0</v>
      </c>
      <c r="R11" s="60"/>
      <c r="Z11" s="60"/>
      <c r="AA11" s="60"/>
      <c r="AB11" s="60"/>
    </row>
    <row r="12" spans="1:28">
      <c r="A12" s="79">
        <v>8</v>
      </c>
      <c r="B12" s="80" t="s">
        <v>13</v>
      </c>
      <c r="C12" s="97">
        <v>900000000</v>
      </c>
      <c r="D12" s="97">
        <f>'KH hieu chinh'!M12</f>
        <v>0</v>
      </c>
      <c r="E12" s="95">
        <f>'Thuc te theo thang'!X5</f>
        <v>0</v>
      </c>
      <c r="F12" s="97"/>
      <c r="G12" s="81">
        <f>'KH hieu chinh'!C12</f>
        <v>0</v>
      </c>
      <c r="H12" s="95">
        <f>'Thuc te theo thang'!X6</f>
        <v>0</v>
      </c>
      <c r="I12" s="97"/>
      <c r="J12" s="81">
        <f>'KH hieu chinh'!D12</f>
        <v>0</v>
      </c>
      <c r="K12" s="95">
        <f>'Thuc te theo thang'!X208</f>
        <v>0</v>
      </c>
      <c r="L12" s="97">
        <f t="shared" si="0"/>
        <v>900000000</v>
      </c>
      <c r="M12" s="81">
        <f t="shared" si="1"/>
        <v>0</v>
      </c>
      <c r="N12" s="95">
        <f t="shared" si="2"/>
        <v>0</v>
      </c>
      <c r="R12" s="60"/>
      <c r="Z12" s="60"/>
      <c r="AA12" s="60"/>
      <c r="AB12" s="60"/>
    </row>
    <row r="13" spans="1:28">
      <c r="A13" s="79">
        <v>9</v>
      </c>
      <c r="B13" s="80" t="s">
        <v>14</v>
      </c>
      <c r="C13" s="97">
        <v>900000000</v>
      </c>
      <c r="D13" s="97">
        <f>'KH hieu chinh'!M13</f>
        <v>0</v>
      </c>
      <c r="E13" s="95">
        <f>'Thuc te theo thang'!Z5</f>
        <v>0</v>
      </c>
      <c r="F13" s="97"/>
      <c r="G13" s="81">
        <f>'KH hieu chinh'!C13</f>
        <v>0</v>
      </c>
      <c r="H13" s="95">
        <f>'Thuc te theo thang'!Z6</f>
        <v>0</v>
      </c>
      <c r="I13" s="97"/>
      <c r="J13" s="81">
        <f>'KH hieu chinh'!D13</f>
        <v>0</v>
      </c>
      <c r="K13" s="95">
        <f>'Thuc te theo thang'!Z208</f>
        <v>0</v>
      </c>
      <c r="L13" s="97">
        <f t="shared" si="0"/>
        <v>900000000</v>
      </c>
      <c r="M13" s="81">
        <f t="shared" si="1"/>
        <v>0</v>
      </c>
      <c r="N13" s="95">
        <f t="shared" si="2"/>
        <v>0</v>
      </c>
      <c r="P13" s="66">
        <f>SUM(N11:N13)</f>
        <v>0</v>
      </c>
      <c r="R13" s="74"/>
      <c r="S13" s="74"/>
      <c r="T13" s="74"/>
      <c r="U13" s="74"/>
      <c r="V13" s="74"/>
      <c r="W13" s="74"/>
      <c r="Z13" s="60"/>
      <c r="AA13" s="60"/>
      <c r="AB13" s="60"/>
    </row>
    <row r="14" spans="1:28">
      <c r="A14" s="79">
        <v>10</v>
      </c>
      <c r="B14" s="80" t="s">
        <v>15</v>
      </c>
      <c r="C14" s="97">
        <v>900000000</v>
      </c>
      <c r="D14" s="97">
        <f>'KH hieu chinh'!M14</f>
        <v>0</v>
      </c>
      <c r="E14" s="95">
        <f>'Thuc te theo thang'!AB5</f>
        <v>0</v>
      </c>
      <c r="F14" s="97"/>
      <c r="G14" s="81">
        <f>'KH hieu chinh'!C14</f>
        <v>0</v>
      </c>
      <c r="H14" s="95">
        <f>'Thuc te theo thang'!AB6</f>
        <v>0</v>
      </c>
      <c r="I14" s="97"/>
      <c r="J14" s="81">
        <f>'KH hieu chinh'!D14</f>
        <v>0</v>
      </c>
      <c r="K14" s="95">
        <f>'Thuc te theo thang'!AB208</f>
        <v>0</v>
      </c>
      <c r="L14" s="97">
        <f t="shared" si="0"/>
        <v>900000000</v>
      </c>
      <c r="M14" s="81">
        <f t="shared" si="1"/>
        <v>0</v>
      </c>
      <c r="N14" s="95">
        <f t="shared" si="2"/>
        <v>0</v>
      </c>
      <c r="O14" s="66"/>
      <c r="R14" s="74"/>
      <c r="S14" s="74"/>
      <c r="T14" s="74"/>
      <c r="U14" s="74"/>
      <c r="V14" s="74"/>
      <c r="W14" s="74"/>
      <c r="Z14" s="60"/>
      <c r="AA14" s="60"/>
      <c r="AB14" s="60"/>
    </row>
    <row r="15" spans="1:28">
      <c r="A15" s="79">
        <v>11</v>
      </c>
      <c r="B15" s="80" t="s">
        <v>16</v>
      </c>
      <c r="C15" s="97">
        <v>900000000</v>
      </c>
      <c r="D15" s="97">
        <f>'KH hieu chinh'!M15</f>
        <v>0</v>
      </c>
      <c r="E15" s="95">
        <f>'Thuc te theo thang'!AD5</f>
        <v>0</v>
      </c>
      <c r="F15" s="97"/>
      <c r="G15" s="81">
        <f>'KH hieu chinh'!C15</f>
        <v>0</v>
      </c>
      <c r="H15" s="95">
        <f>'Thuc te theo thang'!AD6</f>
        <v>0</v>
      </c>
      <c r="I15" s="97"/>
      <c r="J15" s="81">
        <f>'KH hieu chinh'!D15</f>
        <v>0</v>
      </c>
      <c r="K15" s="95">
        <f>'Thuc te theo thang'!AD208</f>
        <v>0</v>
      </c>
      <c r="L15" s="97">
        <f t="shared" si="0"/>
        <v>900000000</v>
      </c>
      <c r="M15" s="81">
        <f t="shared" si="1"/>
        <v>0</v>
      </c>
      <c r="N15" s="95">
        <f t="shared" si="2"/>
        <v>0</v>
      </c>
      <c r="R15" s="74"/>
      <c r="S15" s="74"/>
      <c r="T15" s="74"/>
      <c r="U15" s="74"/>
      <c r="V15" s="74"/>
      <c r="W15" s="74"/>
      <c r="Z15" s="60"/>
      <c r="AA15" s="60"/>
      <c r="AB15" s="60"/>
    </row>
    <row r="16" spans="1:28">
      <c r="A16" s="79">
        <v>12</v>
      </c>
      <c r="B16" s="80" t="s">
        <v>11</v>
      </c>
      <c r="C16" s="97">
        <v>900000000</v>
      </c>
      <c r="D16" s="97">
        <f>'KH hieu chinh'!M16</f>
        <v>0</v>
      </c>
      <c r="E16" s="95">
        <f>'Thuc te theo thang'!AF5</f>
        <v>0</v>
      </c>
      <c r="F16" s="97"/>
      <c r="G16" s="81">
        <f>'KH hieu chinh'!C16</f>
        <v>0</v>
      </c>
      <c r="H16" s="95">
        <f>'Thuc te theo thang'!AF6</f>
        <v>0</v>
      </c>
      <c r="I16" s="97"/>
      <c r="J16" s="81">
        <f>'KH hieu chinh'!D16</f>
        <v>854990000</v>
      </c>
      <c r="K16" s="95">
        <f>'Thuc te theo thang'!AF208</f>
        <v>0</v>
      </c>
      <c r="L16" s="97">
        <f t="shared" si="0"/>
        <v>900000000</v>
      </c>
      <c r="M16" s="81">
        <f t="shared" si="1"/>
        <v>854990000</v>
      </c>
      <c r="N16" s="95">
        <f t="shared" si="2"/>
        <v>0</v>
      </c>
      <c r="P16" s="66">
        <f>SUM(N14:N16)</f>
        <v>0</v>
      </c>
      <c r="R16" s="74"/>
      <c r="S16" s="74"/>
      <c r="T16" s="74"/>
      <c r="U16" s="74"/>
      <c r="V16" s="74"/>
      <c r="W16" s="74"/>
      <c r="Z16" s="60"/>
      <c r="AA16" s="60"/>
      <c r="AB16" s="60"/>
    </row>
    <row r="17" spans="1:28">
      <c r="A17" s="82"/>
      <c r="B17" s="83" t="s">
        <v>6</v>
      </c>
      <c r="C17" s="84">
        <f t="shared" ref="C17:K17" si="3">SUM(C5:C16)</f>
        <v>10800000000</v>
      </c>
      <c r="D17" s="84">
        <f t="shared" si="3"/>
        <v>0</v>
      </c>
      <c r="E17" s="96">
        <f t="shared" si="3"/>
        <v>0</v>
      </c>
      <c r="F17" s="84">
        <f t="shared" si="3"/>
        <v>0</v>
      </c>
      <c r="G17" s="84">
        <f>SUM(G5:G16)</f>
        <v>0</v>
      </c>
      <c r="H17" s="96">
        <f>SUM(H5:H16)</f>
        <v>0</v>
      </c>
      <c r="I17" s="84">
        <f t="shared" si="3"/>
        <v>0</v>
      </c>
      <c r="J17" s="84">
        <f t="shared" si="3"/>
        <v>854990000</v>
      </c>
      <c r="K17" s="96">
        <f t="shared" si="3"/>
        <v>0</v>
      </c>
      <c r="L17" s="84">
        <f>C17+F17+I17</f>
        <v>10800000000</v>
      </c>
      <c r="M17" s="84">
        <f>D17+G17+J17</f>
        <v>854990000</v>
      </c>
      <c r="N17" s="326">
        <f>E17+H17+K17</f>
        <v>0</v>
      </c>
      <c r="R17" s="74"/>
      <c r="S17" s="74"/>
      <c r="T17" s="74"/>
      <c r="U17" s="74"/>
      <c r="V17" s="74"/>
      <c r="W17" s="74"/>
      <c r="Z17" s="60"/>
      <c r="AA17" s="60"/>
      <c r="AB17" s="60"/>
    </row>
    <row r="18" spans="1:28">
      <c r="A18" s="85"/>
      <c r="B18" s="85" t="s">
        <v>513</v>
      </c>
      <c r="C18" s="126"/>
      <c r="D18" s="135"/>
      <c r="E18" s="123">
        <f>E17/C17</f>
        <v>0</v>
      </c>
      <c r="F18" s="126"/>
      <c r="G18" s="123"/>
      <c r="H18" s="123" t="e">
        <f>H17/F17</f>
        <v>#DIV/0!</v>
      </c>
      <c r="I18" s="126"/>
      <c r="J18" s="123"/>
      <c r="K18" s="123" t="e">
        <f>K17/I17</f>
        <v>#DIV/0!</v>
      </c>
      <c r="L18" s="126"/>
      <c r="M18" s="123"/>
      <c r="N18" s="293">
        <f>N17/L17</f>
        <v>0</v>
      </c>
      <c r="O18" s="56"/>
      <c r="P18" s="135"/>
      <c r="R18" s="74"/>
      <c r="S18" s="74"/>
      <c r="T18" s="74"/>
      <c r="U18" s="74"/>
      <c r="V18" s="74"/>
      <c r="W18" s="74"/>
    </row>
    <row r="19" spans="1:28" s="89" customFormat="1">
      <c r="A19" s="126"/>
      <c r="B19" s="126"/>
      <c r="D19" s="126"/>
      <c r="E19" s="126"/>
      <c r="F19" s="126"/>
      <c r="G19" s="126"/>
      <c r="H19" s="126"/>
      <c r="I19" s="126"/>
      <c r="J19" s="126"/>
      <c r="K19" s="126"/>
      <c r="L19" s="126"/>
      <c r="M19" s="292" t="s">
        <v>493</v>
      </c>
      <c r="N19" s="230">
        <f>H17+K17</f>
        <v>0</v>
      </c>
      <c r="O19" s="126"/>
      <c r="P19" s="140"/>
      <c r="R19" s="74"/>
      <c r="S19" s="74"/>
      <c r="T19" s="74"/>
      <c r="U19" s="74"/>
      <c r="V19" s="74"/>
      <c r="W19" s="74"/>
      <c r="X19" s="52"/>
      <c r="Y19" s="52"/>
    </row>
    <row r="20" spans="1:28" s="89" customFormat="1" hidden="1">
      <c r="A20" s="126"/>
      <c r="B20" s="126"/>
      <c r="C20" s="126">
        <f t="shared" ref="C20:N20" si="4">SUM(C11:C13)</f>
        <v>2700000000</v>
      </c>
      <c r="D20" s="126">
        <f t="shared" si="4"/>
        <v>0</v>
      </c>
      <c r="E20" s="126">
        <f t="shared" si="4"/>
        <v>0</v>
      </c>
      <c r="F20" s="126">
        <f t="shared" si="4"/>
        <v>0</v>
      </c>
      <c r="G20" s="126">
        <f t="shared" si="4"/>
        <v>0</v>
      </c>
      <c r="H20" s="126">
        <f t="shared" si="4"/>
        <v>0</v>
      </c>
      <c r="I20" s="126">
        <f t="shared" si="4"/>
        <v>0</v>
      </c>
      <c r="J20" s="126">
        <f t="shared" si="4"/>
        <v>0</v>
      </c>
      <c r="K20" s="126">
        <f t="shared" si="4"/>
        <v>0</v>
      </c>
      <c r="L20" s="126">
        <f t="shared" si="4"/>
        <v>2700000000</v>
      </c>
      <c r="M20" s="126">
        <f t="shared" si="4"/>
        <v>0</v>
      </c>
      <c r="N20" s="126">
        <f t="shared" si="4"/>
        <v>0</v>
      </c>
      <c r="O20" s="126">
        <f>M20+N17</f>
        <v>0</v>
      </c>
      <c r="P20" s="140"/>
      <c r="Q20" s="162"/>
      <c r="R20" s="74"/>
      <c r="S20" s="74"/>
      <c r="T20" s="74"/>
      <c r="U20" s="74"/>
      <c r="V20" s="74"/>
      <c r="W20" s="74"/>
      <c r="X20" s="52"/>
      <c r="Y20" s="52"/>
    </row>
    <row r="21" spans="1:28" s="89" customFormat="1" hidden="1">
      <c r="A21" s="126"/>
      <c r="B21" s="126"/>
      <c r="C21" s="126"/>
      <c r="D21" s="336">
        <f>D20/C20</f>
        <v>0</v>
      </c>
      <c r="E21" s="126"/>
      <c r="F21" s="126"/>
      <c r="G21" s="336" t="e">
        <f>G20/F20</f>
        <v>#DIV/0!</v>
      </c>
      <c r="H21" s="126"/>
      <c r="I21" s="126"/>
      <c r="J21" s="336" t="e">
        <f>J20/I20</f>
        <v>#DIV/0!</v>
      </c>
      <c r="K21" s="126"/>
      <c r="L21" s="126"/>
      <c r="M21" s="336">
        <f>M20/L20</f>
        <v>0</v>
      </c>
      <c r="N21" s="230"/>
      <c r="O21" s="336">
        <f>O20/L17</f>
        <v>0</v>
      </c>
      <c r="P21" s="140"/>
      <c r="Q21" s="162"/>
      <c r="R21" s="74"/>
      <c r="S21" s="74"/>
      <c r="T21" s="74"/>
      <c r="U21" s="74"/>
      <c r="V21" s="74"/>
      <c r="W21" s="74"/>
      <c r="X21" s="52"/>
      <c r="Y21" s="52"/>
    </row>
    <row r="22" spans="1:28" s="89" customFormat="1">
      <c r="A22" s="341" t="s">
        <v>517</v>
      </c>
      <c r="B22" s="88"/>
      <c r="C22" s="126"/>
      <c r="D22" s="135"/>
      <c r="E22" s="140"/>
      <c r="F22" s="126"/>
      <c r="G22" s="140"/>
      <c r="H22" s="174"/>
      <c r="I22" s="126"/>
      <c r="K22" s="156"/>
      <c r="L22" s="126"/>
      <c r="M22" s="292"/>
      <c r="N22" s="230"/>
      <c r="O22" s="126"/>
      <c r="P22" s="140"/>
      <c r="Q22" s="162"/>
      <c r="R22" s="74"/>
      <c r="S22" s="74"/>
      <c r="T22" s="74"/>
      <c r="U22" s="74"/>
      <c r="V22" s="74"/>
      <c r="W22" s="74"/>
      <c r="X22" s="52"/>
      <c r="Y22" s="52"/>
    </row>
    <row r="23" spans="1:28" s="89" customFormat="1">
      <c r="A23" s="342"/>
      <c r="B23" s="342"/>
      <c r="C23" s="319"/>
      <c r="D23" s="477" t="s">
        <v>3</v>
      </c>
      <c r="E23" s="478"/>
      <c r="F23" s="319"/>
      <c r="G23" s="494" t="s">
        <v>4</v>
      </c>
      <c r="H23" s="495"/>
      <c r="I23" s="319"/>
      <c r="J23" s="475" t="s">
        <v>329</v>
      </c>
      <c r="K23" s="476"/>
      <c r="L23" s="319"/>
      <c r="M23" s="475" t="s">
        <v>27</v>
      </c>
      <c r="N23" s="476"/>
      <c r="O23" s="126"/>
      <c r="P23" s="140"/>
      <c r="Q23" s="162"/>
      <c r="R23" s="74"/>
      <c r="S23" s="74"/>
      <c r="T23" s="74"/>
      <c r="U23" s="74"/>
      <c r="V23" s="74"/>
      <c r="W23" s="74"/>
      <c r="X23" s="52"/>
      <c r="Y23" s="52"/>
    </row>
    <row r="24" spans="1:28" s="89" customFormat="1">
      <c r="A24" s="491" t="s">
        <v>542</v>
      </c>
      <c r="B24" s="492"/>
      <c r="C24" s="493"/>
      <c r="D24" s="316" t="s">
        <v>512</v>
      </c>
      <c r="E24" s="317" t="s">
        <v>513</v>
      </c>
      <c r="F24" s="318"/>
      <c r="G24" s="316" t="s">
        <v>512</v>
      </c>
      <c r="H24" s="317" t="s">
        <v>513</v>
      </c>
      <c r="I24" s="318"/>
      <c r="J24" s="316" t="s">
        <v>512</v>
      </c>
      <c r="K24" s="317" t="s">
        <v>513</v>
      </c>
      <c r="L24" s="318"/>
      <c r="M24" s="316" t="s">
        <v>512</v>
      </c>
      <c r="N24" s="317" t="s">
        <v>513</v>
      </c>
      <c r="O24" s="126"/>
      <c r="P24" s="140"/>
      <c r="Q24" s="162"/>
      <c r="R24" s="74"/>
      <c r="S24" s="74"/>
      <c r="T24" s="74"/>
      <c r="U24" s="74"/>
      <c r="V24" s="74"/>
      <c r="W24" s="74"/>
      <c r="X24" s="52"/>
      <c r="Y24" s="52"/>
    </row>
    <row r="25" spans="1:28" s="89" customFormat="1">
      <c r="A25" s="491" t="s">
        <v>514</v>
      </c>
      <c r="B25" s="492"/>
      <c r="C25" s="493"/>
      <c r="D25" s="482">
        <f>E17+D17</f>
        <v>0</v>
      </c>
      <c r="E25" s="485">
        <f>D25/C17</f>
        <v>0</v>
      </c>
      <c r="F25" s="319"/>
      <c r="G25" s="338">
        <f>H17+'KH hieu chinh'!E17</f>
        <v>0</v>
      </c>
      <c r="H25" s="323" t="e">
        <f>G25/$F$17</f>
        <v>#DIV/0!</v>
      </c>
      <c r="I25" s="340"/>
      <c r="J25" s="338">
        <f>(K17+'KH hieu chinh'!H17)</f>
        <v>854990000</v>
      </c>
      <c r="K25" s="323" t="e">
        <f>J25/$I$17</f>
        <v>#DIV/0!</v>
      </c>
      <c r="L25" s="340"/>
      <c r="M25" s="339">
        <f>D25+G25+J25</f>
        <v>854990000</v>
      </c>
      <c r="N25" s="323">
        <f>M25/$L$17</f>
        <v>7.9165740740740745E-2</v>
      </c>
      <c r="O25" s="126"/>
      <c r="P25" s="140"/>
      <c r="Q25" s="162"/>
      <c r="R25" s="74"/>
      <c r="S25" s="74"/>
      <c r="T25" s="74"/>
      <c r="U25" s="74"/>
      <c r="V25" s="74"/>
      <c r="W25" s="74"/>
      <c r="X25" s="52"/>
      <c r="Y25" s="52"/>
    </row>
    <row r="26" spans="1:28" s="89" customFormat="1">
      <c r="A26" s="491" t="s">
        <v>515</v>
      </c>
      <c r="B26" s="492"/>
      <c r="C26" s="493"/>
      <c r="D26" s="483"/>
      <c r="E26" s="486"/>
      <c r="F26" s="319"/>
      <c r="G26" s="338">
        <f>G25+'KH hieu chinh'!F17</f>
        <v>0</v>
      </c>
      <c r="H26" s="323" t="e">
        <f t="shared" ref="H26:H27" si="5">G26/$F$17</f>
        <v>#DIV/0!</v>
      </c>
      <c r="I26" s="340"/>
      <c r="J26" s="338">
        <f>J25+'KH hieu chinh'!I17</f>
        <v>854990000</v>
      </c>
      <c r="K26" s="323" t="e">
        <f t="shared" ref="K26:K27" si="6">J26/$I$17</f>
        <v>#DIV/0!</v>
      </c>
      <c r="L26" s="340"/>
      <c r="M26" s="339">
        <f>D25+G26+J26</f>
        <v>854990000</v>
      </c>
      <c r="N26" s="323">
        <f>M26/$L$17</f>
        <v>7.9165740740740745E-2</v>
      </c>
      <c r="O26" s="126"/>
      <c r="P26" s="140"/>
      <c r="Q26" s="162"/>
      <c r="R26" s="74"/>
      <c r="S26" s="74"/>
      <c r="T26" s="74"/>
      <c r="U26" s="74"/>
      <c r="V26" s="74"/>
      <c r="W26" s="74"/>
      <c r="X26" s="52"/>
      <c r="Y26" s="52"/>
    </row>
    <row r="27" spans="1:28" s="89" customFormat="1">
      <c r="A27" s="491" t="s">
        <v>516</v>
      </c>
      <c r="B27" s="492"/>
      <c r="C27" s="493"/>
      <c r="D27" s="484"/>
      <c r="E27" s="487"/>
      <c r="F27" s="319"/>
      <c r="G27" s="338">
        <f>G26+'KH hieu chinh'!G17</f>
        <v>0</v>
      </c>
      <c r="H27" s="323" t="e">
        <f t="shared" si="5"/>
        <v>#DIV/0!</v>
      </c>
      <c r="I27" s="340"/>
      <c r="J27" s="338">
        <f>J26+'KH hieu chinh'!J17</f>
        <v>854990000</v>
      </c>
      <c r="K27" s="323" t="e">
        <f t="shared" si="6"/>
        <v>#DIV/0!</v>
      </c>
      <c r="L27" s="340"/>
      <c r="M27" s="339">
        <f>D25+G27+J27</f>
        <v>854990000</v>
      </c>
      <c r="N27" s="323">
        <f>M27/$L$17</f>
        <v>7.9165740740740745E-2</v>
      </c>
      <c r="O27" s="126"/>
      <c r="P27" s="140"/>
      <c r="Q27" s="162"/>
      <c r="R27" s="74"/>
      <c r="S27" s="74"/>
      <c r="T27" s="74"/>
      <c r="U27" s="74"/>
      <c r="V27" s="74"/>
      <c r="W27" s="74"/>
      <c r="X27" s="52"/>
      <c r="Y27" s="52"/>
    </row>
    <row r="28" spans="1:28" s="89" customFormat="1">
      <c r="A28" s="88"/>
      <c r="B28" s="88"/>
      <c r="C28" s="126"/>
      <c r="D28" s="135"/>
      <c r="E28" s="140"/>
      <c r="F28" s="126"/>
      <c r="H28" s="174"/>
      <c r="I28" s="126"/>
      <c r="K28" s="156"/>
      <c r="L28" s="126"/>
      <c r="M28" s="292"/>
      <c r="N28" s="230"/>
      <c r="O28" s="126"/>
      <c r="P28" s="140"/>
      <c r="Q28" s="162"/>
      <c r="R28" s="74"/>
      <c r="S28" s="74"/>
      <c r="T28" s="74"/>
      <c r="U28" s="74"/>
      <c r="V28" s="74"/>
      <c r="W28" s="74"/>
      <c r="X28" s="52"/>
      <c r="Y28" s="52"/>
    </row>
    <row r="29" spans="1:28" s="89" customFormat="1">
      <c r="A29" s="491" t="s">
        <v>543</v>
      </c>
      <c r="B29" s="492"/>
      <c r="C29" s="493"/>
      <c r="D29" s="316" t="s">
        <v>512</v>
      </c>
      <c r="E29" s="317" t="s">
        <v>513</v>
      </c>
      <c r="F29" s="318"/>
      <c r="G29" s="316" t="s">
        <v>512</v>
      </c>
      <c r="H29" s="317" t="s">
        <v>513</v>
      </c>
      <c r="I29" s="318"/>
      <c r="J29" s="316" t="s">
        <v>512</v>
      </c>
      <c r="K29" s="317" t="s">
        <v>513</v>
      </c>
      <c r="L29" s="318"/>
      <c r="M29" s="316" t="s">
        <v>512</v>
      </c>
      <c r="N29" s="317" t="s">
        <v>513</v>
      </c>
      <c r="O29" s="126"/>
      <c r="P29" s="140"/>
      <c r="Q29" s="162"/>
      <c r="R29" s="74"/>
      <c r="S29" s="74"/>
      <c r="T29" s="74"/>
      <c r="U29" s="74"/>
      <c r="V29" s="74"/>
      <c r="W29" s="74"/>
      <c r="X29" s="52"/>
      <c r="Y29" s="52"/>
    </row>
    <row r="30" spans="1:28" s="89" customFormat="1">
      <c r="A30" s="491" t="s">
        <v>540</v>
      </c>
      <c r="B30" s="492"/>
      <c r="C30" s="493"/>
      <c r="D30" s="482">
        <f>E17+D17</f>
        <v>0</v>
      </c>
      <c r="E30" s="485">
        <f>D30/C17</f>
        <v>0</v>
      </c>
      <c r="F30" s="319"/>
      <c r="G30" s="338">
        <f>H17+SUM('KH hieu chinh'!C11:C13)</f>
        <v>0</v>
      </c>
      <c r="H30" s="323" t="e">
        <f>G30/$F$17</f>
        <v>#DIV/0!</v>
      </c>
      <c r="I30" s="340"/>
      <c r="J30" s="338">
        <f>K17+SUM('KH hieu chinh'!D11:D13)</f>
        <v>0</v>
      </c>
      <c r="K30" s="323" t="e">
        <f>J30/$I$17</f>
        <v>#DIV/0!</v>
      </c>
      <c r="L30" s="340"/>
      <c r="M30" s="339">
        <f>D30+G30+J30</f>
        <v>0</v>
      </c>
      <c r="N30" s="323">
        <f>M30/$L$17</f>
        <v>0</v>
      </c>
      <c r="O30" s="126"/>
      <c r="P30" s="140"/>
      <c r="Q30" s="162"/>
      <c r="R30" s="74"/>
      <c r="S30" s="74"/>
      <c r="T30" s="74"/>
      <c r="U30" s="74"/>
      <c r="V30" s="74"/>
      <c r="W30" s="74"/>
      <c r="X30" s="52"/>
      <c r="Y30" s="52"/>
    </row>
    <row r="31" spans="1:28" s="89" customFormat="1">
      <c r="A31" s="491" t="s">
        <v>541</v>
      </c>
      <c r="B31" s="492"/>
      <c r="C31" s="493"/>
      <c r="D31" s="484"/>
      <c r="E31" s="487"/>
      <c r="F31" s="319"/>
      <c r="G31" s="338">
        <f>G30+SUM('KH hieu chinh'!C14:C16)</f>
        <v>0</v>
      </c>
      <c r="H31" s="323" t="e">
        <f>G31/$F$17</f>
        <v>#DIV/0!</v>
      </c>
      <c r="I31" s="340"/>
      <c r="J31" s="338">
        <f>J30+SUM('KH hieu chinh'!D14:D16)</f>
        <v>854990000</v>
      </c>
      <c r="K31" s="323" t="e">
        <f t="shared" ref="K31" si="7">J31/$I$17</f>
        <v>#DIV/0!</v>
      </c>
      <c r="L31" s="340"/>
      <c r="M31" s="384">
        <f>D30+G31+J31</f>
        <v>854990000</v>
      </c>
      <c r="N31" s="344">
        <f>M31/$L$17</f>
        <v>7.9165740740740745E-2</v>
      </c>
      <c r="O31" s="126"/>
      <c r="P31" s="140"/>
      <c r="Q31" s="162"/>
      <c r="R31" s="74"/>
      <c r="S31" s="74"/>
      <c r="T31" s="74"/>
      <c r="U31" s="74"/>
      <c r="V31" s="74"/>
      <c r="W31" s="74"/>
      <c r="X31" s="52"/>
      <c r="Y31" s="52"/>
    </row>
    <row r="32" spans="1:28" s="89" customFormat="1">
      <c r="A32" s="88"/>
      <c r="B32" s="88"/>
      <c r="C32" s="126"/>
      <c r="D32" s="141"/>
      <c r="E32" s="132"/>
      <c r="F32" s="126"/>
      <c r="H32" s="175"/>
      <c r="I32" s="176"/>
      <c r="K32" s="364" t="s">
        <v>629</v>
      </c>
      <c r="L32" s="362"/>
      <c r="M32" s="361">
        <v>25877043393</v>
      </c>
      <c r="N32" s="363">
        <v>0.86799999999999999</v>
      </c>
      <c r="O32" s="160"/>
      <c r="P32" s="141"/>
      <c r="Q32" s="141"/>
      <c r="S32" s="60"/>
      <c r="T32" s="60"/>
      <c r="U32" s="52"/>
      <c r="V32" s="52"/>
      <c r="W32" s="52"/>
      <c r="X32" s="52"/>
      <c r="Y32" s="52"/>
    </row>
    <row r="33" spans="1:25" s="89" customFormat="1">
      <c r="A33" s="88"/>
      <c r="B33" s="88"/>
      <c r="C33" s="126"/>
      <c r="D33" s="141"/>
      <c r="E33" s="132"/>
      <c r="F33" s="126"/>
      <c r="H33" s="175"/>
      <c r="I33" s="176"/>
      <c r="K33" s="364" t="s">
        <v>630</v>
      </c>
      <c r="L33" s="362"/>
      <c r="M33" s="361">
        <f>M31-M32</f>
        <v>-25022053393</v>
      </c>
      <c r="N33" s="363">
        <f>N31-N32</f>
        <v>-0.78883425925925921</v>
      </c>
      <c r="O33" s="160"/>
      <c r="P33" s="141"/>
      <c r="Q33" s="141"/>
      <c r="S33" s="60"/>
      <c r="T33" s="60"/>
      <c r="U33" s="52"/>
      <c r="V33" s="52"/>
      <c r="W33" s="52"/>
      <c r="X33" s="52"/>
      <c r="Y33" s="52"/>
    </row>
    <row r="34" spans="1:25">
      <c r="A34" s="75" t="s">
        <v>32</v>
      </c>
      <c r="B34" s="76"/>
      <c r="C34" s="77"/>
      <c r="D34" s="123"/>
      <c r="E34" s="86"/>
      <c r="F34" s="77"/>
      <c r="G34" s="76"/>
      <c r="H34" s="78"/>
      <c r="I34" s="77"/>
      <c r="J34" s="77"/>
      <c r="K34" s="78"/>
      <c r="L34" s="77"/>
      <c r="M34" s="76"/>
      <c r="N34" s="121"/>
      <c r="O34" s="77"/>
      <c r="P34" s="86"/>
      <c r="Q34" s="78"/>
      <c r="S34" s="60"/>
      <c r="T34" s="60"/>
    </row>
    <row r="35" spans="1:25">
      <c r="A35" s="499" t="s">
        <v>0</v>
      </c>
      <c r="B35" s="501" t="s">
        <v>28</v>
      </c>
      <c r="C35" s="488" t="s">
        <v>26</v>
      </c>
      <c r="D35" s="489"/>
      <c r="E35" s="490"/>
      <c r="F35" s="488" t="s">
        <v>9</v>
      </c>
      <c r="G35" s="489"/>
      <c r="H35" s="490"/>
      <c r="I35" s="488" t="s">
        <v>330</v>
      </c>
      <c r="J35" s="489"/>
      <c r="K35" s="490"/>
      <c r="L35" s="488" t="s">
        <v>27</v>
      </c>
      <c r="M35" s="489"/>
      <c r="N35" s="490"/>
    </row>
    <row r="36" spans="1:25">
      <c r="A36" s="500"/>
      <c r="B36" s="502"/>
      <c r="C36" s="243" t="s">
        <v>5</v>
      </c>
      <c r="D36" s="243" t="s">
        <v>10</v>
      </c>
      <c r="E36" s="243" t="s">
        <v>2</v>
      </c>
      <c r="F36" s="243" t="s">
        <v>5</v>
      </c>
      <c r="G36" s="243" t="s">
        <v>10</v>
      </c>
      <c r="H36" s="243" t="s">
        <v>2</v>
      </c>
      <c r="I36" s="243" t="s">
        <v>5</v>
      </c>
      <c r="J36" s="243" t="s">
        <v>10</v>
      </c>
      <c r="K36" s="243" t="s">
        <v>2</v>
      </c>
      <c r="L36" s="243" t="s">
        <v>5</v>
      </c>
      <c r="M36" s="243" t="s">
        <v>10</v>
      </c>
      <c r="N36" s="243" t="s">
        <v>2</v>
      </c>
    </row>
    <row r="37" spans="1:25">
      <c r="A37" s="79">
        <v>1</v>
      </c>
      <c r="B37" s="80" t="s">
        <v>19</v>
      </c>
      <c r="C37" s="97">
        <v>900000000</v>
      </c>
      <c r="D37" s="97">
        <f>'KH hieu chinh'!N5</f>
        <v>0</v>
      </c>
      <c r="E37" s="95">
        <f>'Thuc te theo thang'!K5</f>
        <v>0</v>
      </c>
      <c r="F37" s="97">
        <v>198000000</v>
      </c>
      <c r="G37" s="81">
        <f>'KH hieu chinh'!M30</f>
        <v>0</v>
      </c>
      <c r="H37" s="95">
        <f>'Thuc te theo thang'!K6</f>
        <v>0</v>
      </c>
      <c r="I37" s="97">
        <v>31786170</v>
      </c>
      <c r="J37" s="81">
        <f>'KH hieu chinh'!N30</f>
        <v>0</v>
      </c>
      <c r="K37" s="95">
        <f>'Thuc te theo thang'!K208</f>
        <v>0</v>
      </c>
      <c r="L37" s="97">
        <f>C37+F37+I37</f>
        <v>1129786170</v>
      </c>
      <c r="M37" s="81">
        <f>D37+G37+J37</f>
        <v>0</v>
      </c>
      <c r="N37" s="95">
        <f>E37+H37+K37</f>
        <v>0</v>
      </c>
      <c r="O37" s="121"/>
      <c r="P37" s="66"/>
      <c r="Q37" s="66"/>
      <c r="R37" s="121"/>
    </row>
    <row r="38" spans="1:25">
      <c r="A38" s="79">
        <v>2</v>
      </c>
      <c r="B38" s="80" t="s">
        <v>20</v>
      </c>
      <c r="C38" s="97">
        <v>900000000</v>
      </c>
      <c r="D38" s="97">
        <f>'KH hieu chinh'!N6</f>
        <v>0</v>
      </c>
      <c r="E38" s="95">
        <f>'Thuc te theo thang'!M5</f>
        <v>0</v>
      </c>
      <c r="F38" s="97">
        <v>0</v>
      </c>
      <c r="G38" s="81">
        <f>'KH hieu chinh'!M31</f>
        <v>0</v>
      </c>
      <c r="H38" s="95">
        <f>'Thuc te theo thang'!M6</f>
        <v>0</v>
      </c>
      <c r="I38" s="97">
        <v>0</v>
      </c>
      <c r="J38" s="81">
        <f>'KH hieu chinh'!N31</f>
        <v>0</v>
      </c>
      <c r="K38" s="95">
        <f>'Thuc te theo thang'!M208</f>
        <v>0</v>
      </c>
      <c r="L38" s="97">
        <f t="shared" ref="L38:L48" si="8">C38+F38+I38</f>
        <v>900000000</v>
      </c>
      <c r="M38" s="81">
        <f t="shared" ref="M38:M47" si="9">D38+G38+J38</f>
        <v>0</v>
      </c>
      <c r="N38" s="95">
        <f t="shared" ref="N38:N48" si="10">E38+H38+K38</f>
        <v>0</v>
      </c>
      <c r="O38" s="121"/>
      <c r="P38" s="66"/>
      <c r="Q38" s="66"/>
      <c r="R38" s="121"/>
    </row>
    <row r="39" spans="1:25">
      <c r="A39" s="79">
        <v>3</v>
      </c>
      <c r="B39" s="80" t="s">
        <v>21</v>
      </c>
      <c r="C39" s="97">
        <v>900000000</v>
      </c>
      <c r="D39" s="97">
        <f>'KH hieu chinh'!N7</f>
        <v>0</v>
      </c>
      <c r="E39" s="95">
        <f>'Thuc te theo thang'!O5</f>
        <v>0</v>
      </c>
      <c r="F39" s="97">
        <v>624572500</v>
      </c>
      <c r="G39" s="81">
        <f>'KH hieu chinh'!M32</f>
        <v>0</v>
      </c>
      <c r="H39" s="95">
        <f>'Thuc te theo thang'!O6</f>
        <v>0</v>
      </c>
      <c r="I39" s="97">
        <v>16500000</v>
      </c>
      <c r="J39" s="81">
        <f>'KH hieu chinh'!N32</f>
        <v>0</v>
      </c>
      <c r="K39" s="95">
        <f>'Thuc te theo thang'!O208</f>
        <v>0</v>
      </c>
      <c r="L39" s="97">
        <f t="shared" si="8"/>
        <v>1541072500</v>
      </c>
      <c r="M39" s="81">
        <f t="shared" si="9"/>
        <v>0</v>
      </c>
      <c r="N39" s="95">
        <f t="shared" si="10"/>
        <v>0</v>
      </c>
      <c r="O39" s="121"/>
      <c r="P39" s="66">
        <f>SUM(O37:O39)</f>
        <v>0</v>
      </c>
      <c r="Q39" s="66"/>
      <c r="R39" s="122"/>
    </row>
    <row r="40" spans="1:25">
      <c r="A40" s="79">
        <v>4</v>
      </c>
      <c r="B40" s="80" t="s">
        <v>22</v>
      </c>
      <c r="C40" s="97">
        <v>900000000</v>
      </c>
      <c r="D40" s="97">
        <f>'KH hieu chinh'!N8</f>
        <v>0</v>
      </c>
      <c r="E40" s="95">
        <f>'Thuc te theo thang'!Q5</f>
        <v>0</v>
      </c>
      <c r="F40" s="97">
        <v>198507000</v>
      </c>
      <c r="G40" s="81">
        <f>'KH hieu chinh'!M33</f>
        <v>0</v>
      </c>
      <c r="H40" s="95">
        <f>'Thuc te theo thang'!Q6</f>
        <v>0</v>
      </c>
      <c r="I40" s="97">
        <v>72000000</v>
      </c>
      <c r="J40" s="81">
        <f>'KH hieu chinh'!N33</f>
        <v>0</v>
      </c>
      <c r="K40" s="95">
        <f>'Thuc te theo thang'!Q208</f>
        <v>0</v>
      </c>
      <c r="L40" s="97">
        <f t="shared" si="8"/>
        <v>1170507000</v>
      </c>
      <c r="M40" s="81">
        <f t="shared" si="9"/>
        <v>0</v>
      </c>
      <c r="N40" s="95">
        <f t="shared" si="10"/>
        <v>0</v>
      </c>
      <c r="O40" s="121"/>
      <c r="P40" s="66"/>
      <c r="Q40" s="66"/>
      <c r="R40" s="121"/>
    </row>
    <row r="41" spans="1:25">
      <c r="A41" s="79">
        <v>5</v>
      </c>
      <c r="B41" s="80" t="s">
        <v>23</v>
      </c>
      <c r="C41" s="97">
        <v>900000000</v>
      </c>
      <c r="D41" s="97">
        <f>'KH hieu chinh'!N9</f>
        <v>0</v>
      </c>
      <c r="E41" s="95">
        <f>'Thuc te theo thang'!S5</f>
        <v>0</v>
      </c>
      <c r="F41" s="97">
        <v>406300000</v>
      </c>
      <c r="G41" s="81">
        <f>'KH hieu chinh'!M34</f>
        <v>0</v>
      </c>
      <c r="H41" s="95">
        <f>'Thuc te theo thang'!S6</f>
        <v>0</v>
      </c>
      <c r="I41" s="97">
        <v>116250000</v>
      </c>
      <c r="J41" s="81">
        <f>'KH hieu chinh'!N34</f>
        <v>0</v>
      </c>
      <c r="K41" s="95">
        <f>'Thuc te theo thang'!S208</f>
        <v>0</v>
      </c>
      <c r="L41" s="97">
        <f t="shared" si="8"/>
        <v>1422550000</v>
      </c>
      <c r="M41" s="81">
        <f t="shared" si="9"/>
        <v>0</v>
      </c>
      <c r="N41" s="95">
        <f t="shared" si="10"/>
        <v>0</v>
      </c>
      <c r="O41" s="121"/>
      <c r="R41" s="121"/>
      <c r="T41" s="66"/>
    </row>
    <row r="42" spans="1:25">
      <c r="A42" s="79">
        <v>6</v>
      </c>
      <c r="B42" s="80" t="s">
        <v>24</v>
      </c>
      <c r="C42" s="97">
        <v>900000000</v>
      </c>
      <c r="D42" s="97">
        <f>'KH hieu chinh'!N10</f>
        <v>0</v>
      </c>
      <c r="E42" s="95">
        <f>'Thuc te theo thang'!U5</f>
        <v>0</v>
      </c>
      <c r="F42" s="97">
        <v>1732949500</v>
      </c>
      <c r="G42" s="81">
        <f>'KH hieu chinh'!M35</f>
        <v>0</v>
      </c>
      <c r="H42" s="95">
        <f>'Thuc te theo thang'!U6</f>
        <v>0</v>
      </c>
      <c r="I42" s="97">
        <v>899340800</v>
      </c>
      <c r="J42" s="81">
        <f>'KH hieu chinh'!N35</f>
        <v>0</v>
      </c>
      <c r="K42" s="95">
        <f>'Thuc te theo thang'!U208</f>
        <v>0</v>
      </c>
      <c r="L42" s="97">
        <f t="shared" si="8"/>
        <v>3532290300</v>
      </c>
      <c r="M42" s="81">
        <f t="shared" si="9"/>
        <v>0</v>
      </c>
      <c r="N42" s="95">
        <f t="shared" si="10"/>
        <v>0</v>
      </c>
      <c r="O42" s="121"/>
      <c r="P42" s="66">
        <f>SUM(O40:O42)</f>
        <v>0</v>
      </c>
      <c r="Q42" s="122"/>
      <c r="R42" s="121"/>
    </row>
    <row r="43" spans="1:25">
      <c r="A43" s="79">
        <v>7</v>
      </c>
      <c r="B43" s="80" t="s">
        <v>12</v>
      </c>
      <c r="C43" s="97">
        <v>900000000</v>
      </c>
      <c r="D43" s="97">
        <f>'KH hieu chinh'!N11</f>
        <v>0</v>
      </c>
      <c r="E43" s="95">
        <f>'Thuc te theo thang'!W5</f>
        <v>0</v>
      </c>
      <c r="F43" s="97">
        <v>565583000</v>
      </c>
      <c r="G43" s="81">
        <f>'KH hieu chinh'!M36</f>
        <v>0</v>
      </c>
      <c r="H43" s="95">
        <f>'Thuc te theo thang'!W6</f>
        <v>0</v>
      </c>
      <c r="I43" s="97">
        <v>549000000</v>
      </c>
      <c r="J43" s="81">
        <f>'KH hieu chinh'!N36</f>
        <v>0</v>
      </c>
      <c r="K43" s="95">
        <f>'Thuc te theo thang'!W208</f>
        <v>0</v>
      </c>
      <c r="L43" s="97">
        <f t="shared" si="8"/>
        <v>2014583000</v>
      </c>
      <c r="M43" s="81">
        <f t="shared" si="9"/>
        <v>0</v>
      </c>
      <c r="N43" s="95">
        <f t="shared" si="10"/>
        <v>0</v>
      </c>
      <c r="O43" s="121"/>
      <c r="R43" s="121"/>
    </row>
    <row r="44" spans="1:25">
      <c r="A44" s="79">
        <v>8</v>
      </c>
      <c r="B44" s="80" t="s">
        <v>13</v>
      </c>
      <c r="C44" s="97">
        <v>900000000</v>
      </c>
      <c r="D44" s="97">
        <f>'KH hieu chinh'!N12</f>
        <v>0</v>
      </c>
      <c r="E44" s="95">
        <f>'Thuc te theo thang'!Y5</f>
        <v>0</v>
      </c>
      <c r="F44" s="97">
        <v>434291400</v>
      </c>
      <c r="G44" s="81">
        <f>'KH hieu chinh'!M37</f>
        <v>0</v>
      </c>
      <c r="H44" s="95">
        <f>'Thuc te theo thang'!Y6</f>
        <v>0</v>
      </c>
      <c r="I44" s="97">
        <v>1558273030</v>
      </c>
      <c r="J44" s="81">
        <f>'KH hieu chinh'!N37</f>
        <v>0</v>
      </c>
      <c r="K44" s="95">
        <f>'Thuc te theo thang'!Y208</f>
        <v>0</v>
      </c>
      <c r="L44" s="97">
        <f t="shared" si="8"/>
        <v>2892564430</v>
      </c>
      <c r="M44" s="81">
        <f t="shared" si="9"/>
        <v>0</v>
      </c>
      <c r="N44" s="95">
        <f t="shared" si="10"/>
        <v>0</v>
      </c>
      <c r="O44" s="121"/>
      <c r="Q44" s="66"/>
      <c r="R44" s="121"/>
    </row>
    <row r="45" spans="1:25">
      <c r="A45" s="79">
        <v>9</v>
      </c>
      <c r="B45" s="80" t="s">
        <v>14</v>
      </c>
      <c r="C45" s="97">
        <v>900000000</v>
      </c>
      <c r="D45" s="97">
        <f>'KH hieu chinh'!N13</f>
        <v>0</v>
      </c>
      <c r="E45" s="95">
        <f>'Thuc te theo thang'!AA5</f>
        <v>0</v>
      </c>
      <c r="F45" s="97">
        <v>1243950000</v>
      </c>
      <c r="G45" s="81">
        <f>'KH hieu chinh'!M38</f>
        <v>0</v>
      </c>
      <c r="H45" s="95">
        <f>'Thuc te theo thang'!AA6</f>
        <v>0</v>
      </c>
      <c r="I45" s="97">
        <v>936100000</v>
      </c>
      <c r="J45" s="81">
        <f>'KH hieu chinh'!N38</f>
        <v>0</v>
      </c>
      <c r="K45" s="95">
        <f>'Thuc te theo thang'!AA208</f>
        <v>0</v>
      </c>
      <c r="L45" s="97">
        <f t="shared" si="8"/>
        <v>3080050000</v>
      </c>
      <c r="M45" s="81">
        <f t="shared" si="9"/>
        <v>0</v>
      </c>
      <c r="N45" s="95">
        <f t="shared" si="10"/>
        <v>0</v>
      </c>
      <c r="O45" s="121"/>
      <c r="P45" s="66">
        <f>SUM(O43:O45)</f>
        <v>0</v>
      </c>
      <c r="Q45" s="66"/>
      <c r="R45" s="121"/>
    </row>
    <row r="46" spans="1:25">
      <c r="A46" s="79">
        <v>10</v>
      </c>
      <c r="B46" s="80" t="s">
        <v>15</v>
      </c>
      <c r="C46" s="97">
        <v>900000000</v>
      </c>
      <c r="D46" s="97">
        <f>'KH hieu chinh'!N14</f>
        <v>0</v>
      </c>
      <c r="E46" s="95">
        <f>'Thuc te theo thang'!AC5</f>
        <v>0</v>
      </c>
      <c r="F46" s="97">
        <v>1359290000</v>
      </c>
      <c r="G46" s="81">
        <f>'KH hieu chinh'!M39</f>
        <v>0</v>
      </c>
      <c r="H46" s="95">
        <f>'Thuc te theo thang'!AC6</f>
        <v>0</v>
      </c>
      <c r="I46" s="97">
        <v>1000000000</v>
      </c>
      <c r="J46" s="81">
        <f>'KH hieu chinh'!N39</f>
        <v>0</v>
      </c>
      <c r="K46" s="95">
        <f>'Thuc te theo thang'!AC208</f>
        <v>0</v>
      </c>
      <c r="L46" s="97">
        <f t="shared" si="8"/>
        <v>3259290000</v>
      </c>
      <c r="M46" s="81">
        <f t="shared" si="9"/>
        <v>0</v>
      </c>
      <c r="N46" s="95">
        <f t="shared" si="10"/>
        <v>0</v>
      </c>
      <c r="O46" s="121"/>
      <c r="Q46" s="66"/>
      <c r="R46" s="121"/>
    </row>
    <row r="47" spans="1:25">
      <c r="A47" s="79">
        <v>11</v>
      </c>
      <c r="B47" s="80" t="s">
        <v>16</v>
      </c>
      <c r="C47" s="97">
        <v>900000000</v>
      </c>
      <c r="D47" s="97">
        <f>'KH hieu chinh'!N15</f>
        <v>0</v>
      </c>
      <c r="E47" s="95">
        <f>'Thuc te theo thang'!AE5</f>
        <v>0</v>
      </c>
      <c r="F47" s="97">
        <v>1230000000</v>
      </c>
      <c r="G47" s="81">
        <f>'KH hieu chinh'!M40</f>
        <v>0</v>
      </c>
      <c r="H47" s="95">
        <f>'Thuc te theo thang'!AE6</f>
        <v>0</v>
      </c>
      <c r="I47" s="97">
        <v>1000000000</v>
      </c>
      <c r="J47" s="81">
        <f>'KH hieu chinh'!N40</f>
        <v>0</v>
      </c>
      <c r="K47" s="95">
        <f>'Thuc te theo thang'!AE208</f>
        <v>0</v>
      </c>
      <c r="L47" s="97">
        <f t="shared" si="8"/>
        <v>3130000000</v>
      </c>
      <c r="M47" s="81">
        <f t="shared" si="9"/>
        <v>0</v>
      </c>
      <c r="N47" s="95">
        <f t="shared" si="10"/>
        <v>0</v>
      </c>
      <c r="O47" s="121"/>
      <c r="P47" s="66"/>
      <c r="R47" s="121"/>
    </row>
    <row r="48" spans="1:25">
      <c r="A48" s="79">
        <v>12</v>
      </c>
      <c r="B48" s="80" t="s">
        <v>11</v>
      </c>
      <c r="C48" s="97">
        <v>900000000</v>
      </c>
      <c r="D48" s="97">
        <f>'KH hieu chinh'!N16</f>
        <v>0</v>
      </c>
      <c r="E48" s="95">
        <f>'Thuc te theo thang'!AG5</f>
        <v>0</v>
      </c>
      <c r="F48" s="97">
        <v>2006556600</v>
      </c>
      <c r="G48" s="81">
        <f>'KH hieu chinh'!M41</f>
        <v>0</v>
      </c>
      <c r="H48" s="95">
        <f>'Thuc te theo thang'!AG6</f>
        <v>0</v>
      </c>
      <c r="I48" s="97">
        <v>2820750000</v>
      </c>
      <c r="J48" s="81">
        <f>'KH hieu chinh'!N41</f>
        <v>854990000</v>
      </c>
      <c r="K48" s="95">
        <f>'Thuc te theo thang'!AG208</f>
        <v>0</v>
      </c>
      <c r="L48" s="97">
        <f t="shared" si="8"/>
        <v>5727306600</v>
      </c>
      <c r="M48" s="81">
        <f>D48+G48+J48</f>
        <v>854990000</v>
      </c>
      <c r="N48" s="95">
        <f t="shared" si="10"/>
        <v>0</v>
      </c>
      <c r="O48" s="121"/>
      <c r="P48" s="66">
        <f>SUM(O46:O48)</f>
        <v>0</v>
      </c>
      <c r="R48" s="121"/>
    </row>
    <row r="49" spans="1:25">
      <c r="A49" s="82"/>
      <c r="B49" s="83" t="s">
        <v>131</v>
      </c>
      <c r="C49" s="84">
        <f t="shared" ref="C49:K49" si="11">SUM(C37:C48)</f>
        <v>10800000000</v>
      </c>
      <c r="D49" s="84">
        <f t="shared" si="11"/>
        <v>0</v>
      </c>
      <c r="E49" s="96">
        <f t="shared" si="11"/>
        <v>0</v>
      </c>
      <c r="F49" s="84">
        <f t="shared" si="11"/>
        <v>10000000000</v>
      </c>
      <c r="G49" s="84">
        <f>SUM(G37:G48)</f>
        <v>0</v>
      </c>
      <c r="H49" s="96">
        <f t="shared" si="11"/>
        <v>0</v>
      </c>
      <c r="I49" s="84">
        <f t="shared" si="11"/>
        <v>9000000000</v>
      </c>
      <c r="J49" s="84">
        <f t="shared" si="11"/>
        <v>854990000</v>
      </c>
      <c r="K49" s="96">
        <f t="shared" si="11"/>
        <v>0</v>
      </c>
      <c r="L49" s="84">
        <f>C49+F49+I49</f>
        <v>29800000000</v>
      </c>
      <c r="M49" s="84">
        <f>D49+G49+J49</f>
        <v>854990000</v>
      </c>
      <c r="N49" s="326">
        <f>E49+H49+K49</f>
        <v>0</v>
      </c>
      <c r="O49" s="121">
        <v>16507561600</v>
      </c>
      <c r="P49" s="391" t="s">
        <v>659</v>
      </c>
      <c r="R49" s="133"/>
    </row>
    <row r="50" spans="1:25">
      <c r="A50" s="87"/>
      <c r="B50" s="85" t="s">
        <v>513</v>
      </c>
      <c r="D50" s="135"/>
      <c r="E50" s="123">
        <f>E49/C49</f>
        <v>0</v>
      </c>
      <c r="F50" s="140"/>
      <c r="G50" s="335"/>
      <c r="H50" s="123">
        <f>H49/F49</f>
        <v>0</v>
      </c>
      <c r="I50" s="140"/>
      <c r="J50" s="123"/>
      <c r="K50" s="123">
        <f>K49/I49</f>
        <v>0</v>
      </c>
      <c r="L50" s="140"/>
      <c r="M50" s="123"/>
      <c r="N50" s="293">
        <f>N49/L49</f>
        <v>0</v>
      </c>
      <c r="O50" s="56"/>
      <c r="P50" s="135"/>
      <c r="Q50" s="123"/>
      <c r="R50" s="123"/>
      <c r="T50" s="132"/>
    </row>
    <row r="51" spans="1:25">
      <c r="A51" s="87"/>
      <c r="B51" s="224"/>
      <c r="E51" s="224"/>
      <c r="F51" s="89"/>
      <c r="G51" s="89"/>
      <c r="H51" s="157"/>
      <c r="I51" s="140"/>
      <c r="J51" s="89"/>
      <c r="K51" s="141"/>
      <c r="L51" s="89"/>
      <c r="M51" s="292" t="s">
        <v>493</v>
      </c>
      <c r="N51" s="230">
        <f>H49+K49</f>
        <v>0</v>
      </c>
      <c r="O51" s="124"/>
      <c r="Q51" s="141"/>
      <c r="R51" s="87"/>
    </row>
    <row r="52" spans="1:25" hidden="1">
      <c r="A52" s="87"/>
      <c r="B52" s="224"/>
      <c r="C52" s="126">
        <f>SUM(C43:C45)</f>
        <v>2700000000</v>
      </c>
      <c r="D52" s="126">
        <f>SUM(D43:D45)</f>
        <v>0</v>
      </c>
      <c r="E52" s="126">
        <f t="shared" ref="E52:N52" si="12">SUM(E43:E45)</f>
        <v>0</v>
      </c>
      <c r="F52" s="126">
        <f>SUM(F43:F45)</f>
        <v>2243824400</v>
      </c>
      <c r="G52" s="126">
        <f>SUM(G43:G45)</f>
        <v>0</v>
      </c>
      <c r="H52" s="126">
        <f t="shared" si="12"/>
        <v>0</v>
      </c>
      <c r="I52" s="126">
        <f t="shared" si="12"/>
        <v>3043373030</v>
      </c>
      <c r="J52" s="126">
        <f>SUM(J43:J45)</f>
        <v>0</v>
      </c>
      <c r="K52" s="126">
        <f t="shared" si="12"/>
        <v>0</v>
      </c>
      <c r="L52" s="126">
        <f>SUM(L43:L45)</f>
        <v>7987197430</v>
      </c>
      <c r="M52" s="126">
        <f>SUM(M43:M45)</f>
        <v>0</v>
      </c>
      <c r="N52" s="126">
        <f t="shared" si="12"/>
        <v>0</v>
      </c>
      <c r="O52" s="126">
        <f>M52+N49</f>
        <v>0</v>
      </c>
      <c r="Q52" s="141"/>
      <c r="R52" s="87"/>
    </row>
    <row r="53" spans="1:25" hidden="1">
      <c r="A53" s="87"/>
      <c r="B53" s="224"/>
      <c r="C53" s="126"/>
      <c r="D53" s="336">
        <f>D52/C52</f>
        <v>0</v>
      </c>
      <c r="E53" s="126"/>
      <c r="F53" s="126"/>
      <c r="G53" s="336">
        <f>G52/F52</f>
        <v>0</v>
      </c>
      <c r="H53" s="126"/>
      <c r="I53" s="126"/>
      <c r="J53" s="336">
        <f>J52/I52</f>
        <v>0</v>
      </c>
      <c r="K53" s="126"/>
      <c r="L53" s="126"/>
      <c r="M53" s="336">
        <f>M52/L52</f>
        <v>0</v>
      </c>
      <c r="N53" s="230"/>
      <c r="O53" s="336">
        <f>O52/L49</f>
        <v>0</v>
      </c>
      <c r="Q53" s="141"/>
      <c r="R53" s="87"/>
    </row>
    <row r="54" spans="1:25">
      <c r="A54" s="341" t="s">
        <v>517</v>
      </c>
      <c r="G54" s="66"/>
      <c r="J54" s="66"/>
    </row>
    <row r="55" spans="1:25" s="89" customFormat="1">
      <c r="A55" s="342"/>
      <c r="B55" s="342"/>
      <c r="C55" s="319"/>
      <c r="D55" s="479" t="s">
        <v>3</v>
      </c>
      <c r="E55" s="479"/>
      <c r="F55" s="319"/>
      <c r="G55" s="480" t="s">
        <v>4</v>
      </c>
      <c r="H55" s="480"/>
      <c r="I55" s="319"/>
      <c r="J55" s="481" t="s">
        <v>329</v>
      </c>
      <c r="K55" s="481"/>
      <c r="L55" s="319"/>
      <c r="M55" s="481" t="s">
        <v>27</v>
      </c>
      <c r="N55" s="481"/>
      <c r="O55" s="126"/>
      <c r="P55" s="140"/>
      <c r="Q55" s="162"/>
      <c r="S55" s="60"/>
      <c r="T55" s="74"/>
      <c r="U55" s="52"/>
      <c r="V55" s="52"/>
      <c r="W55" s="52"/>
      <c r="X55" s="52"/>
      <c r="Y55" s="52"/>
    </row>
    <row r="56" spans="1:25">
      <c r="A56" s="491" t="s">
        <v>542</v>
      </c>
      <c r="B56" s="492"/>
      <c r="C56" s="493"/>
      <c r="D56" s="316" t="s">
        <v>512</v>
      </c>
      <c r="E56" s="317" t="s">
        <v>513</v>
      </c>
      <c r="F56" s="318"/>
      <c r="G56" s="316" t="s">
        <v>512</v>
      </c>
      <c r="H56" s="317" t="s">
        <v>513</v>
      </c>
      <c r="I56" s="318"/>
      <c r="J56" s="316" t="s">
        <v>512</v>
      </c>
      <c r="K56" s="317" t="s">
        <v>513</v>
      </c>
      <c r="L56" s="318"/>
      <c r="M56" s="316" t="s">
        <v>512</v>
      </c>
      <c r="N56" s="317" t="s">
        <v>513</v>
      </c>
    </row>
    <row r="57" spans="1:25">
      <c r="A57" s="491" t="s">
        <v>514</v>
      </c>
      <c r="B57" s="492"/>
      <c r="C57" s="493"/>
      <c r="D57" s="496">
        <f>E49+D49</f>
        <v>0</v>
      </c>
      <c r="E57" s="497">
        <f>D57/C49</f>
        <v>0</v>
      </c>
      <c r="F57" s="319"/>
      <c r="G57" s="320">
        <f>H49+'KH hieu chinh'!E42+'KH hieu chinh'!K42</f>
        <v>0</v>
      </c>
      <c r="H57" s="321" t="e">
        <f>G57/$F$17</f>
        <v>#DIV/0!</v>
      </c>
      <c r="I57" s="319"/>
      <c r="J57" s="320">
        <f>K49+'KH hieu chinh'!H42+'KH hieu chinh'!L42</f>
        <v>854990000</v>
      </c>
      <c r="K57" s="321" t="e">
        <f>J57/$I$17</f>
        <v>#DIV/0!</v>
      </c>
      <c r="L57" s="319"/>
      <c r="M57" s="322">
        <f>D57+G57+J57</f>
        <v>854990000</v>
      </c>
      <c r="N57" s="323">
        <f>M57/$L$49</f>
        <v>2.8690939597315435E-2</v>
      </c>
    </row>
    <row r="58" spans="1:25">
      <c r="A58" s="491" t="s">
        <v>515</v>
      </c>
      <c r="B58" s="492"/>
      <c r="C58" s="493"/>
      <c r="D58" s="496"/>
      <c r="E58" s="497"/>
      <c r="F58" s="319"/>
      <c r="G58" s="338">
        <f>G57+'KH hieu chinh'!F42</f>
        <v>0</v>
      </c>
      <c r="H58" s="321" t="e">
        <f t="shared" ref="H58:H59" si="13">G58/$F$17</f>
        <v>#DIV/0!</v>
      </c>
      <c r="I58" s="319"/>
      <c r="J58" s="338">
        <f>J57+'KH hieu chinh'!I42</f>
        <v>854990000</v>
      </c>
      <c r="K58" s="321" t="e">
        <f t="shared" ref="K58:K59" si="14">J58/$I$17</f>
        <v>#DIV/0!</v>
      </c>
      <c r="L58" s="319"/>
      <c r="M58" s="339">
        <f>D57+G58+J58</f>
        <v>854990000</v>
      </c>
      <c r="N58" s="323">
        <f t="shared" ref="N58:N59" si="15">M58/$L$49</f>
        <v>2.8690939597315435E-2</v>
      </c>
    </row>
    <row r="59" spans="1:25">
      <c r="A59" s="498" t="s">
        <v>516</v>
      </c>
      <c r="B59" s="498"/>
      <c r="C59" s="498"/>
      <c r="D59" s="496"/>
      <c r="E59" s="497"/>
      <c r="F59" s="319"/>
      <c r="G59" s="320">
        <f>G58+'KH hieu chinh'!G42</f>
        <v>0</v>
      </c>
      <c r="H59" s="321" t="e">
        <f t="shared" si="13"/>
        <v>#DIV/0!</v>
      </c>
      <c r="I59" s="319"/>
      <c r="J59" s="320">
        <f>J58+'KH hieu chinh'!J42</f>
        <v>854990000</v>
      </c>
      <c r="K59" s="321" t="e">
        <f t="shared" si="14"/>
        <v>#DIV/0!</v>
      </c>
      <c r="L59" s="319"/>
      <c r="M59" s="322">
        <f>D57+G59+J59</f>
        <v>854990000</v>
      </c>
      <c r="N59" s="323">
        <f t="shared" si="15"/>
        <v>2.8690939597315435E-2</v>
      </c>
    </row>
    <row r="61" spans="1:25">
      <c r="A61" s="491" t="s">
        <v>543</v>
      </c>
      <c r="B61" s="492"/>
      <c r="C61" s="493"/>
      <c r="D61" s="316" t="s">
        <v>512</v>
      </c>
      <c r="E61" s="317" t="s">
        <v>513</v>
      </c>
      <c r="F61" s="318"/>
      <c r="G61" s="316" t="s">
        <v>512</v>
      </c>
      <c r="H61" s="317" t="s">
        <v>513</v>
      </c>
      <c r="I61" s="318"/>
      <c r="J61" s="316" t="s">
        <v>512</v>
      </c>
      <c r="K61" s="317" t="s">
        <v>513</v>
      </c>
      <c r="L61" s="318"/>
      <c r="M61" s="316" t="s">
        <v>512</v>
      </c>
      <c r="N61" s="317" t="s">
        <v>513</v>
      </c>
    </row>
    <row r="62" spans="1:25">
      <c r="A62" s="498" t="s">
        <v>540</v>
      </c>
      <c r="B62" s="498"/>
      <c r="C62" s="498"/>
      <c r="D62" s="496">
        <f>E49+D49</f>
        <v>0</v>
      </c>
      <c r="E62" s="497">
        <f>D62/C49</f>
        <v>0</v>
      </c>
      <c r="F62" s="319"/>
      <c r="G62" s="320">
        <f>H49+SUM(G43:G45)</f>
        <v>0</v>
      </c>
      <c r="H62" s="321" t="e">
        <f>G62/$F$17</f>
        <v>#DIV/0!</v>
      </c>
      <c r="I62" s="319"/>
      <c r="J62" s="320">
        <f>K49+SUM(J43:J45)</f>
        <v>0</v>
      </c>
      <c r="K62" s="321" t="e">
        <f>J62/$I$17</f>
        <v>#DIV/0!</v>
      </c>
      <c r="L62" s="319"/>
      <c r="M62" s="322">
        <f>D62+G62+J62</f>
        <v>0</v>
      </c>
      <c r="N62" s="323">
        <f>M62/$L$49</f>
        <v>0</v>
      </c>
    </row>
    <row r="63" spans="1:25">
      <c r="A63" s="498" t="s">
        <v>541</v>
      </c>
      <c r="B63" s="498"/>
      <c r="C63" s="498"/>
      <c r="D63" s="496"/>
      <c r="E63" s="497"/>
      <c r="F63" s="319"/>
      <c r="G63" s="338">
        <f>G62+ SUM(G46:G48)</f>
        <v>0</v>
      </c>
      <c r="H63" s="321" t="e">
        <f>G63/$F$17</f>
        <v>#DIV/0!</v>
      </c>
      <c r="I63" s="319"/>
      <c r="J63" s="338">
        <f>J62+SUM(J46:J48)</f>
        <v>854990000</v>
      </c>
      <c r="K63" s="321" t="e">
        <f t="shared" ref="K63" si="16">J63/$I$17</f>
        <v>#DIV/0!</v>
      </c>
      <c r="L63" s="319"/>
      <c r="M63" s="384">
        <f>D62+G63+J63</f>
        <v>854990000</v>
      </c>
      <c r="N63" s="344">
        <f>M63/$L$49</f>
        <v>2.8690939597315435E-2</v>
      </c>
    </row>
    <row r="64" spans="1:25">
      <c r="K64" s="364" t="s">
        <v>629</v>
      </c>
      <c r="L64" s="362"/>
      <c r="M64" s="361">
        <v>28039812425</v>
      </c>
      <c r="N64" s="363">
        <v>0.94099999999999995</v>
      </c>
    </row>
    <row r="65" spans="2:14">
      <c r="K65" s="364" t="s">
        <v>630</v>
      </c>
      <c r="L65" s="362"/>
      <c r="M65" s="361">
        <f>M63-M64</f>
        <v>-27184822425</v>
      </c>
      <c r="N65" s="363">
        <f>N63-N64</f>
        <v>-0.91230906040268456</v>
      </c>
    </row>
    <row r="66" spans="2:14">
      <c r="B66" s="52" t="s">
        <v>7</v>
      </c>
      <c r="F66" s="78"/>
      <c r="G66" s="121"/>
      <c r="I66" s="122"/>
    </row>
    <row r="67" spans="2:14" ht="37.5">
      <c r="B67" s="312" t="s">
        <v>129</v>
      </c>
      <c r="C67" s="305" t="s">
        <v>466</v>
      </c>
      <c r="D67" s="305" t="s">
        <v>509</v>
      </c>
      <c r="E67" s="305" t="s">
        <v>2</v>
      </c>
      <c r="F67" s="305" t="s">
        <v>508</v>
      </c>
      <c r="G67" s="305" t="s">
        <v>510</v>
      </c>
      <c r="I67" s="122"/>
      <c r="M67" s="334"/>
    </row>
    <row r="68" spans="2:14">
      <c r="B68" s="313" t="s">
        <v>3</v>
      </c>
      <c r="C68" s="306">
        <f>C17</f>
        <v>10800000000</v>
      </c>
      <c r="D68" s="307">
        <f>D17</f>
        <v>0</v>
      </c>
      <c r="E68" s="308">
        <f>E17</f>
        <v>0</v>
      </c>
      <c r="F68" s="311">
        <f>E18</f>
        <v>0</v>
      </c>
      <c r="G68" s="311"/>
      <c r="I68" s="122"/>
      <c r="M68" s="66"/>
    </row>
    <row r="69" spans="2:14">
      <c r="B69" s="313" t="s">
        <v>4</v>
      </c>
      <c r="C69" s="306">
        <f>F17</f>
        <v>0</v>
      </c>
      <c r="D69" s="307">
        <f>G17</f>
        <v>0</v>
      </c>
      <c r="E69" s="308">
        <f>H17</f>
        <v>0</v>
      </c>
      <c r="F69" s="311" t="e">
        <f>H18</f>
        <v>#DIV/0!</v>
      </c>
      <c r="G69" s="311">
        <f>G18</f>
        <v>0</v>
      </c>
      <c r="I69" s="122"/>
    </row>
    <row r="70" spans="2:14">
      <c r="B70" s="313" t="s">
        <v>329</v>
      </c>
      <c r="C70" s="306">
        <f>I17</f>
        <v>0</v>
      </c>
      <c r="D70" s="307">
        <f>J17</f>
        <v>854990000</v>
      </c>
      <c r="E70" s="308">
        <f>K17</f>
        <v>0</v>
      </c>
      <c r="F70" s="311" t="e">
        <f>K18</f>
        <v>#DIV/0!</v>
      </c>
      <c r="G70" s="311">
        <f>J18</f>
        <v>0</v>
      </c>
      <c r="I70" s="122"/>
      <c r="M70" s="66"/>
    </row>
    <row r="71" spans="2:14">
      <c r="B71" s="314" t="s">
        <v>27</v>
      </c>
      <c r="C71" s="309">
        <f>L17</f>
        <v>10800000000</v>
      </c>
      <c r="D71" s="309">
        <f>M17</f>
        <v>854990000</v>
      </c>
      <c r="E71" s="309">
        <f>N17</f>
        <v>0</v>
      </c>
      <c r="F71" s="310">
        <f>N18</f>
        <v>0</v>
      </c>
      <c r="G71" s="310">
        <f>M18</f>
        <v>0</v>
      </c>
    </row>
    <row r="73" spans="2:14">
      <c r="B73" s="52" t="s">
        <v>1</v>
      </c>
    </row>
    <row r="74" spans="2:14" ht="37.5">
      <c r="B74" s="312" t="s">
        <v>129</v>
      </c>
      <c r="C74" s="305" t="s">
        <v>466</v>
      </c>
      <c r="D74" s="305" t="s">
        <v>509</v>
      </c>
      <c r="E74" s="305" t="s">
        <v>2</v>
      </c>
      <c r="F74" s="305" t="s">
        <v>508</v>
      </c>
      <c r="G74" s="305" t="s">
        <v>510</v>
      </c>
      <c r="I74" s="122"/>
    </row>
    <row r="75" spans="2:14">
      <c r="B75" s="313" t="s">
        <v>3</v>
      </c>
      <c r="C75" s="306">
        <f>C49</f>
        <v>10800000000</v>
      </c>
      <c r="D75" s="307">
        <f>D49</f>
        <v>0</v>
      </c>
      <c r="E75" s="308">
        <f>E49</f>
        <v>0</v>
      </c>
      <c r="F75" s="311">
        <f>E50</f>
        <v>0</v>
      </c>
      <c r="G75" s="311"/>
      <c r="I75" s="122"/>
    </row>
    <row r="76" spans="2:14">
      <c r="B76" s="313" t="s">
        <v>4</v>
      </c>
      <c r="C76" s="306">
        <f>F49</f>
        <v>10000000000</v>
      </c>
      <c r="D76" s="307">
        <f>G49</f>
        <v>0</v>
      </c>
      <c r="E76" s="308">
        <f>H49</f>
        <v>0</v>
      </c>
      <c r="F76" s="311">
        <f>H50</f>
        <v>0</v>
      </c>
      <c r="G76" s="311">
        <f>G50</f>
        <v>0</v>
      </c>
      <c r="I76" s="122"/>
    </row>
    <row r="77" spans="2:14">
      <c r="B77" s="313" t="s">
        <v>329</v>
      </c>
      <c r="C77" s="306">
        <f>I49</f>
        <v>9000000000</v>
      </c>
      <c r="D77" s="307">
        <f>J49</f>
        <v>854990000</v>
      </c>
      <c r="E77" s="308">
        <f>K49</f>
        <v>0</v>
      </c>
      <c r="F77" s="311">
        <f>K50</f>
        <v>0</v>
      </c>
      <c r="G77" s="311">
        <f>J50</f>
        <v>0</v>
      </c>
      <c r="I77" s="122"/>
    </row>
    <row r="78" spans="2:14">
      <c r="B78" s="314" t="s">
        <v>27</v>
      </c>
      <c r="C78" s="309">
        <f>L49</f>
        <v>29800000000</v>
      </c>
      <c r="D78" s="309">
        <f>M49</f>
        <v>854990000</v>
      </c>
      <c r="E78" s="309">
        <f>N49</f>
        <v>0</v>
      </c>
      <c r="F78" s="310">
        <f>N50</f>
        <v>0</v>
      </c>
      <c r="G78" s="310">
        <f>M50</f>
        <v>0</v>
      </c>
    </row>
  </sheetData>
  <mergeCells count="42">
    <mergeCell ref="A61:C61"/>
    <mergeCell ref="A62:C62"/>
    <mergeCell ref="D62:D63"/>
    <mergeCell ref="E62:E63"/>
    <mergeCell ref="A63:C63"/>
    <mergeCell ref="L3:N3"/>
    <mergeCell ref="A24:C24"/>
    <mergeCell ref="A35:A36"/>
    <mergeCell ref="B35:B36"/>
    <mergeCell ref="C35:E35"/>
    <mergeCell ref="F35:H35"/>
    <mergeCell ref="A25:C25"/>
    <mergeCell ref="A26:C26"/>
    <mergeCell ref="A27:C27"/>
    <mergeCell ref="A3:A4"/>
    <mergeCell ref="B3:B4"/>
    <mergeCell ref="C3:E3"/>
    <mergeCell ref="F3:H3"/>
    <mergeCell ref="I3:K3"/>
    <mergeCell ref="A29:C29"/>
    <mergeCell ref="A30:C30"/>
    <mergeCell ref="A31:C31"/>
    <mergeCell ref="E30:E31"/>
    <mergeCell ref="D30:D31"/>
    <mergeCell ref="G23:H23"/>
    <mergeCell ref="A58:C58"/>
    <mergeCell ref="D57:D59"/>
    <mergeCell ref="E57:E59"/>
    <mergeCell ref="A59:C59"/>
    <mergeCell ref="A56:C56"/>
    <mergeCell ref="A57:C57"/>
    <mergeCell ref="M23:N23"/>
    <mergeCell ref="D23:E23"/>
    <mergeCell ref="D55:E55"/>
    <mergeCell ref="G55:H55"/>
    <mergeCell ref="J55:K55"/>
    <mergeCell ref="M55:N55"/>
    <mergeCell ref="D25:D27"/>
    <mergeCell ref="E25:E27"/>
    <mergeCell ref="I35:K35"/>
    <mergeCell ref="L35:N35"/>
    <mergeCell ref="J23:K23"/>
  </mergeCells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zoomScale="70" zoomScaleNormal="70" workbookViewId="0">
      <pane xSplit="2" topLeftCell="C1" activePane="topRight" state="frozen"/>
      <selection pane="topRight" activeCell="F41" sqref="F41"/>
    </sheetView>
  </sheetViews>
  <sheetFormatPr defaultColWidth="9" defaultRowHeight="18.75"/>
  <cols>
    <col min="1" max="1" width="8.7109375" style="52" customWidth="1"/>
    <col min="2" max="2" width="13.42578125" style="52" customWidth="1"/>
    <col min="3" max="3" width="21.140625" style="52" customWidth="1"/>
    <col min="4" max="7" width="21.140625" style="52" bestFit="1" customWidth="1"/>
    <col min="8" max="8" width="21.140625" style="52" customWidth="1"/>
    <col min="9" max="9" width="21.140625" style="52" bestFit="1" customWidth="1"/>
    <col min="10" max="10" width="20.7109375" style="52" customWidth="1"/>
    <col min="11" max="11" width="19.7109375" style="52" bestFit="1" customWidth="1"/>
    <col min="12" max="13" width="21.140625" style="52" bestFit="1" customWidth="1"/>
    <col min="14" max="14" width="21" style="52" customWidth="1"/>
    <col min="15" max="15" width="20.7109375" style="52" customWidth="1"/>
    <col min="16" max="16" width="22.7109375" style="52" customWidth="1"/>
    <col min="17" max="17" width="23.42578125" style="52" customWidth="1"/>
    <col min="18" max="18" width="23" style="52" customWidth="1"/>
    <col min="19" max="19" width="20.7109375" style="52" customWidth="1"/>
    <col min="20" max="20" width="22.7109375" style="52" customWidth="1"/>
    <col min="21" max="27" width="19.28515625" style="52" customWidth="1"/>
    <col min="28" max="16384" width="9" style="52"/>
  </cols>
  <sheetData>
    <row r="1" spans="1:27" s="60" customFormat="1">
      <c r="A1" s="73" t="s">
        <v>18</v>
      </c>
      <c r="E1" s="132"/>
      <c r="F1" s="74"/>
      <c r="I1" s="74"/>
      <c r="L1" s="74"/>
      <c r="N1" s="74"/>
      <c r="Q1" s="74"/>
    </row>
    <row r="2" spans="1:27">
      <c r="A2" s="75" t="s">
        <v>31</v>
      </c>
      <c r="B2" s="76"/>
      <c r="C2" s="410">
        <v>2026</v>
      </c>
      <c r="D2" s="123"/>
      <c r="E2" s="86"/>
      <c r="F2" s="77"/>
      <c r="G2" s="76"/>
      <c r="H2" s="122"/>
      <c r="I2" s="77"/>
      <c r="J2" s="76"/>
      <c r="K2" s="122"/>
      <c r="L2" s="77"/>
      <c r="M2" s="76"/>
      <c r="N2" s="122"/>
      <c r="P2" s="121"/>
    </row>
    <row r="3" spans="1:27">
      <c r="A3" s="499" t="s">
        <v>0</v>
      </c>
      <c r="B3" s="501" t="s">
        <v>28</v>
      </c>
      <c r="C3" s="488" t="s">
        <v>26</v>
      </c>
      <c r="D3" s="489"/>
      <c r="E3" s="490"/>
      <c r="F3" s="488" t="s">
        <v>9</v>
      </c>
      <c r="G3" s="489"/>
      <c r="H3" s="490"/>
      <c r="I3" s="488" t="s">
        <v>330</v>
      </c>
      <c r="J3" s="489"/>
      <c r="K3" s="490"/>
      <c r="L3" s="488" t="s">
        <v>27</v>
      </c>
      <c r="M3" s="489"/>
      <c r="N3" s="490"/>
      <c r="Q3" s="60"/>
      <c r="Y3" s="60"/>
      <c r="Z3" s="60"/>
      <c r="AA3" s="60"/>
    </row>
    <row r="4" spans="1:27">
      <c r="A4" s="500"/>
      <c r="B4" s="502"/>
      <c r="C4" s="243" t="s">
        <v>5</v>
      </c>
      <c r="D4" s="243" t="s">
        <v>783</v>
      </c>
      <c r="E4" s="243" t="s">
        <v>2</v>
      </c>
      <c r="F4" s="243" t="s">
        <v>5</v>
      </c>
      <c r="G4" s="243" t="s">
        <v>783</v>
      </c>
      <c r="H4" s="243" t="s">
        <v>2</v>
      </c>
      <c r="I4" s="243" t="s">
        <v>5</v>
      </c>
      <c r="J4" s="243" t="s">
        <v>783</v>
      </c>
      <c r="K4" s="243" t="s">
        <v>2</v>
      </c>
      <c r="L4" s="243" t="s">
        <v>5</v>
      </c>
      <c r="M4" s="243" t="s">
        <v>783</v>
      </c>
      <c r="N4" s="243" t="s">
        <v>2</v>
      </c>
      <c r="Q4" s="60"/>
      <c r="Y4" s="60"/>
      <c r="Z4" s="60"/>
      <c r="AA4" s="60"/>
    </row>
    <row r="5" spans="1:27">
      <c r="A5" s="79">
        <v>1</v>
      </c>
      <c r="B5" s="80" t="s">
        <v>19</v>
      </c>
      <c r="C5" s="97">
        <f>KH_Nam_Hieuchinh!C5</f>
        <v>950000000</v>
      </c>
      <c r="D5" s="97">
        <f>KH_Nam_Hieuchinh!G5</f>
        <v>950000000</v>
      </c>
      <c r="E5" s="95">
        <f>SUMPRODUCT(
 (HD_Thucte!$E$2:$E$1001)*
 (HD_Thucte!$A$2:$A$1001="ITO")*
 (YEAR(HD_Thucte!$F$2:$F$1001)=$C$2)*
 (MONTH(HD_Thucte!$F$2:$F$1001)=VALUE(RIGHT($B5,2)))
)</f>
        <v>1003909178</v>
      </c>
      <c r="F5" s="97">
        <f>KH_Nam_Hieuchinh!D5</f>
        <v>42200000</v>
      </c>
      <c r="G5" s="81">
        <f>KH_Nam_Hieuchinh!H5</f>
        <v>42200000</v>
      </c>
      <c r="H5" s="95">
        <f>SUMPRODUCT(
 (HD_Thucte!$E$2:$E$1001)*
 (HD_Thucte!$A$2:$A$1001="UNI")*
 (YEAR(HD_Thucte!$F$2:$F$1001)=$C$2)*
 (MONTH(HD_Thucte!$F$2:$F$1001)=VALUE(RIGHT($B5,2)))
)</f>
        <v>194800000</v>
      </c>
      <c r="I5" s="97">
        <f>KH_Nam_Hieuchinh!E5</f>
        <v>66000000</v>
      </c>
      <c r="J5" s="81">
        <f>KH_Nam_Hieuchinh!I5</f>
        <v>66000000</v>
      </c>
      <c r="K5" s="95">
        <f>SUMPRODUCT(
 (HD_Thucte!$E$2:$E$1001)*
 (HD_Thucte!$A$2:$A$1001="G2B")*
 (YEAR(HD_Thucte!$F$2:$F$1001)=$C$2)*
 (MONTH(HD_Thucte!$F$2:$F$1001)=VALUE(RIGHT($B5,2)))
)</f>
        <v>313791000</v>
      </c>
      <c r="L5" s="97">
        <f t="shared" ref="L5:L17" si="0">C5+F5+I5</f>
        <v>1058200000</v>
      </c>
      <c r="M5" s="81">
        <f t="shared" ref="M5:M17" si="1">D5+G5+J5</f>
        <v>1058200000</v>
      </c>
      <c r="N5" s="95">
        <f t="shared" ref="N5:N17" si="2">E5+H5+K5</f>
        <v>1512500178</v>
      </c>
      <c r="Q5" s="60"/>
      <c r="Y5" s="60"/>
      <c r="Z5" s="60"/>
      <c r="AA5" s="60"/>
    </row>
    <row r="6" spans="1:27">
      <c r="A6" s="79">
        <v>2</v>
      </c>
      <c r="B6" s="80" t="s">
        <v>20</v>
      </c>
      <c r="C6" s="97">
        <f>KH_Nam_Hieuchinh!C6</f>
        <v>950000000</v>
      </c>
      <c r="D6" s="97">
        <f>KH_Nam_Hieuchinh!G6</f>
        <v>950000000</v>
      </c>
      <c r="E6" s="95">
        <f>SUMPRODUCT(
 (HD_Thucte!$E$2:$E$1001)*
 (HD_Thucte!$A$2:$A$1001="ITO")*
 (YEAR(HD_Thucte!$F$2:$F$1001)=$C$2)*
 (MONTH(HD_Thucte!$F$2:$F$1001)=VALUE(RIGHT($B6,2)))
)</f>
        <v>0</v>
      </c>
      <c r="F6" s="97">
        <f>KH_Nam_Hieuchinh!D6</f>
        <v>200000000</v>
      </c>
      <c r="G6" s="81">
        <f>KH_Nam_Hieuchinh!H6</f>
        <v>200000000</v>
      </c>
      <c r="H6" s="95">
        <f>SUMPRODUCT(
 (HD_Thucte!$E$2:$E$1001)*
 (HD_Thucte!$A$2:$A$1001="UNI")*
 (YEAR(HD_Thucte!$F$2:$F$1001)=$C$2)*
 (MONTH(HD_Thucte!$F$2:$F$1001)=VALUE(RIGHT($B6,2)))
)</f>
        <v>0</v>
      </c>
      <c r="I6" s="97">
        <f>KH_Nam_Hieuchinh!E6</f>
        <v>1500000000</v>
      </c>
      <c r="J6" s="81">
        <f>KH_Nam_Hieuchinh!I6</f>
        <v>0</v>
      </c>
      <c r="K6" s="95">
        <f>SUMPRODUCT(
 (HD_Thucte!$E$2:$E$1001)*
 (HD_Thucte!$A$2:$A$1001="G2B")*
 (YEAR(HD_Thucte!$F$2:$F$1001)=$C$2)*
 (MONTH(HD_Thucte!$F$2:$F$1001)=VALUE(RIGHT($B6,2)))
)</f>
        <v>1453500000</v>
      </c>
      <c r="L6" s="97">
        <f t="shared" si="0"/>
        <v>2650000000</v>
      </c>
      <c r="M6" s="81">
        <f t="shared" si="1"/>
        <v>1150000000</v>
      </c>
      <c r="N6" s="95">
        <f t="shared" si="2"/>
        <v>1453500000</v>
      </c>
      <c r="Q6" s="60"/>
      <c r="Y6" s="60"/>
      <c r="Z6" s="60"/>
      <c r="AA6" s="60"/>
    </row>
    <row r="7" spans="1:27">
      <c r="A7" s="79">
        <v>3</v>
      </c>
      <c r="B7" s="80" t="s">
        <v>21</v>
      </c>
      <c r="C7" s="97">
        <f>KH_Nam_Hieuchinh!C7</f>
        <v>950000000</v>
      </c>
      <c r="D7" s="97">
        <f>KH_Nam_Hieuchinh!G7</f>
        <v>950000000</v>
      </c>
      <c r="E7" s="95">
        <f>SUMPRODUCT(
 (HD_Thucte!$E$2:$E$1001)*
 (HD_Thucte!$A$2:$A$1001="ITO")*
 (YEAR(HD_Thucte!$F$2:$F$1001)=$C$2)*
 (MONTH(HD_Thucte!$F$2:$F$1001)=VALUE(RIGHT($B7,2)))
)</f>
        <v>0</v>
      </c>
      <c r="F7" s="97">
        <f>KH_Nam_Hieuchinh!D7</f>
        <v>1000000000</v>
      </c>
      <c r="G7" s="81">
        <f>KH_Nam_Hieuchinh!H7</f>
        <v>3115740000</v>
      </c>
      <c r="H7" s="95">
        <f>SUMPRODUCT(
 (HD_Thucte!$E$2:$E$1001)*
 (HD_Thucte!$A$2:$A$1001="UNI")*
 (YEAR(HD_Thucte!$F$2:$F$1001)=$C$2)*
 (MONTH(HD_Thucte!$F$2:$F$1001)=VALUE(RIGHT($B7,2)))
)</f>
        <v>0</v>
      </c>
      <c r="I7" s="97">
        <f>KH_Nam_Hieuchinh!E7</f>
        <v>500000000</v>
      </c>
      <c r="J7" s="81">
        <f>KH_Nam_Hieuchinh!I7</f>
        <v>0</v>
      </c>
      <c r="K7" s="95">
        <f>SUMPRODUCT(
 (HD_Thucte!$E$2:$E$1001)*
 (HD_Thucte!$A$2:$A$1001="G2B")*
 (YEAR(HD_Thucte!$F$2:$F$1001)=$C$2)*
 (MONTH(HD_Thucte!$F$2:$F$1001)=VALUE(RIGHT($B7,2)))
)</f>
        <v>0</v>
      </c>
      <c r="L7" s="97">
        <f t="shared" si="0"/>
        <v>2450000000</v>
      </c>
      <c r="M7" s="81">
        <f t="shared" si="1"/>
        <v>4065740000</v>
      </c>
      <c r="N7" s="95">
        <f t="shared" si="2"/>
        <v>0</v>
      </c>
      <c r="O7" s="66">
        <f>SUM(N5:N7)</f>
        <v>2966000178</v>
      </c>
      <c r="Q7" s="169"/>
      <c r="S7" s="66"/>
      <c r="Y7" s="60"/>
      <c r="Z7" s="60"/>
      <c r="AA7" s="60"/>
    </row>
    <row r="8" spans="1:27">
      <c r="A8" s="79">
        <v>4</v>
      </c>
      <c r="B8" s="80" t="s">
        <v>22</v>
      </c>
      <c r="C8" s="97">
        <f>KH_Nam_Hieuchinh!C8</f>
        <v>950000000</v>
      </c>
      <c r="D8" s="97">
        <f>KH_Nam_Hieuchinh!G8</f>
        <v>950000000</v>
      </c>
      <c r="E8" s="95">
        <f>SUMPRODUCT(
 (HD_Thucte!$E$2:$E$1001)*
 (HD_Thucte!$A$2:$A$1001="ITO")*
 (YEAR(HD_Thucte!$F$2:$F$1001)=$C$2)*
 (MONTH(HD_Thucte!$F$2:$F$1001)=VALUE(RIGHT($B8,2)))
)</f>
        <v>0</v>
      </c>
      <c r="F8" s="97">
        <f>KH_Nam_Hieuchinh!D8</f>
        <v>800800000</v>
      </c>
      <c r="G8" s="81">
        <f>KH_Nam_Hieuchinh!H8</f>
        <v>2230600000</v>
      </c>
      <c r="H8" s="95">
        <f>SUMPRODUCT(
 (HD_Thucte!$E$2:$E$1001)*
 (HD_Thucte!$A$2:$A$1001="UNI")*
 (YEAR(HD_Thucte!$F$2:$F$1001)=$C$2)*
 (MONTH(HD_Thucte!$F$2:$F$1001)=VALUE(RIGHT($B8,2)))
)</f>
        <v>0</v>
      </c>
      <c r="I8" s="97">
        <f>KH_Nam_Hieuchinh!E8</f>
        <v>1000000000</v>
      </c>
      <c r="J8" s="81">
        <f>KH_Nam_Hieuchinh!I8</f>
        <v>2690500000</v>
      </c>
      <c r="K8" s="95">
        <f>SUMPRODUCT(
 (HD_Thucte!$E$2:$E$1001)*
 (HD_Thucte!$A$2:$A$1001="G2B")*
 (YEAR(HD_Thucte!$F$2:$F$1001)=$C$2)*
 (MONTH(HD_Thucte!$F$2:$F$1001)=VALUE(RIGHT($B8,2)))
)</f>
        <v>0</v>
      </c>
      <c r="L8" s="97">
        <f t="shared" si="0"/>
        <v>2750800000</v>
      </c>
      <c r="M8" s="81">
        <f t="shared" si="1"/>
        <v>5871100000</v>
      </c>
      <c r="N8" s="95">
        <f t="shared" si="2"/>
        <v>0</v>
      </c>
      <c r="Q8" s="74"/>
      <c r="Y8" s="60"/>
      <c r="Z8" s="60"/>
      <c r="AA8" s="60"/>
    </row>
    <row r="9" spans="1:27">
      <c r="A9" s="79">
        <v>5</v>
      </c>
      <c r="B9" s="80" t="s">
        <v>23</v>
      </c>
      <c r="C9" s="97">
        <f>KH_Nam_Hieuchinh!C9</f>
        <v>950000000</v>
      </c>
      <c r="D9" s="97">
        <f>KH_Nam_Hieuchinh!G9</f>
        <v>950000000</v>
      </c>
      <c r="E9" s="95">
        <f>SUMPRODUCT(
 (HD_Thucte!$E$2:$E$1001)*
 (HD_Thucte!$A$2:$A$1001="ITO")*
 (YEAR(HD_Thucte!$F$2:$F$1001)=$C$2)*
 (MONTH(HD_Thucte!$F$2:$F$1001)=VALUE(RIGHT($B9,2)))
)</f>
        <v>0</v>
      </c>
      <c r="F9" s="97">
        <f>KH_Nam_Hieuchinh!D9</f>
        <v>1357000000</v>
      </c>
      <c r="G9" s="81">
        <f>KH_Nam_Hieuchinh!H9</f>
        <v>6049200000</v>
      </c>
      <c r="H9" s="95">
        <f>SUMPRODUCT(
 (HD_Thucte!$E$2:$E$1001)*
 (HD_Thucte!$A$2:$A$1001="UNI")*
 (YEAR(HD_Thucte!$F$2:$F$1001)=$C$2)*
 (MONTH(HD_Thucte!$F$2:$F$1001)=VALUE(RIGHT($B9,2)))
)</f>
        <v>0</v>
      </c>
      <c r="I9" s="97">
        <f>KH_Nam_Hieuchinh!E9</f>
        <v>600000000</v>
      </c>
      <c r="J9" s="81">
        <f>KH_Nam_Hieuchinh!I9</f>
        <v>2800800000</v>
      </c>
      <c r="K9" s="95">
        <f>SUMPRODUCT(
 (HD_Thucte!$E$2:$E$1001)*
 (HD_Thucte!$A$2:$A$1001="G2B")*
 (YEAR(HD_Thucte!$F$2:$F$1001)=$C$2)*
 (MONTH(HD_Thucte!$F$2:$F$1001)=VALUE(RIGHT($B9,2)))
)</f>
        <v>0</v>
      </c>
      <c r="L9" s="97">
        <f t="shared" si="0"/>
        <v>2907000000</v>
      </c>
      <c r="M9" s="81">
        <f t="shared" si="1"/>
        <v>9800000000</v>
      </c>
      <c r="N9" s="95">
        <f t="shared" si="2"/>
        <v>0</v>
      </c>
      <c r="Q9" s="60"/>
      <c r="Y9" s="60"/>
      <c r="Z9" s="60"/>
      <c r="AA9" s="60"/>
    </row>
    <row r="10" spans="1:27">
      <c r="A10" s="79">
        <v>6</v>
      </c>
      <c r="B10" s="80" t="s">
        <v>24</v>
      </c>
      <c r="C10" s="97">
        <f>KH_Nam_Hieuchinh!C10</f>
        <v>950000000</v>
      </c>
      <c r="D10" s="97">
        <f>KH_Nam_Hieuchinh!G10</f>
        <v>950000000</v>
      </c>
      <c r="E10" s="95">
        <f>SUMPRODUCT(
 (HD_Thucte!$E$2:$E$1001)*
 (HD_Thucte!$A$2:$A$1001="ITO")*
 (YEAR(HD_Thucte!$F$2:$F$1001)=$C$2)*
 (MONTH(HD_Thucte!$F$2:$F$1001)=VALUE(RIGHT($B10,2)))
)</f>
        <v>0</v>
      </c>
      <c r="F10" s="97">
        <f>KH_Nam_Hieuchinh!D10</f>
        <v>1200000000</v>
      </c>
      <c r="G10" s="81">
        <f>KH_Nam_Hieuchinh!H10</f>
        <v>1900000000</v>
      </c>
      <c r="H10" s="95">
        <f>SUMPRODUCT(
 (HD_Thucte!$E$2:$E$1001)*
 (HD_Thucte!$A$2:$A$1001="UNI")*
 (YEAR(HD_Thucte!$F$2:$F$1001)=$C$2)*
 (MONTH(HD_Thucte!$F$2:$F$1001)=VALUE(RIGHT($B10,2)))
)</f>
        <v>0</v>
      </c>
      <c r="I10" s="97">
        <f>KH_Nam_Hieuchinh!E10</f>
        <v>500000000</v>
      </c>
      <c r="J10" s="81">
        <f>KH_Nam_Hieuchinh!I10</f>
        <v>1891700000</v>
      </c>
      <c r="K10" s="95">
        <f>SUMPRODUCT(
 (HD_Thucte!$E$2:$E$1001)*
 (HD_Thucte!$A$2:$A$1001="G2B")*
 (YEAR(HD_Thucte!$F$2:$F$1001)=$C$2)*
 (MONTH(HD_Thucte!$F$2:$F$1001)=VALUE(RIGHT($B10,2)))
)</f>
        <v>0</v>
      </c>
      <c r="L10" s="97">
        <f t="shared" si="0"/>
        <v>2650000000</v>
      </c>
      <c r="M10" s="81">
        <f t="shared" si="1"/>
        <v>4741700000</v>
      </c>
      <c r="N10" s="95">
        <f t="shared" si="2"/>
        <v>0</v>
      </c>
      <c r="O10" s="66">
        <f>SUM(N8:N10)</f>
        <v>0</v>
      </c>
      <c r="Q10" s="60"/>
      <c r="Y10" s="60"/>
      <c r="Z10" s="60"/>
      <c r="AA10" s="60"/>
    </row>
    <row r="11" spans="1:27">
      <c r="A11" s="79">
        <v>7</v>
      </c>
      <c r="B11" s="80" t="s">
        <v>12</v>
      </c>
      <c r="C11" s="97">
        <f>KH_Nam_Hieuchinh!C11</f>
        <v>950000000</v>
      </c>
      <c r="D11" s="97">
        <f>KH_Nam_Hieuchinh!G11</f>
        <v>950000000</v>
      </c>
      <c r="E11" s="95">
        <f>SUMPRODUCT(
 (HD_Thucte!$E$2:$E$1001)*
 (HD_Thucte!$A$2:$A$1001="ITO")*
 (YEAR(HD_Thucte!$F$2:$F$1001)=$C$2)*
 (MONTH(HD_Thucte!$F$2:$F$1001)=VALUE(RIGHT($B11,2)))
)</f>
        <v>0</v>
      </c>
      <c r="F11" s="97">
        <f>KH_Nam_Hieuchinh!D11</f>
        <v>900000000</v>
      </c>
      <c r="G11" s="81">
        <f>KH_Nam_Hieuchinh!H11</f>
        <v>114240000</v>
      </c>
      <c r="H11" s="95">
        <f>SUMPRODUCT(
 (HD_Thucte!$E$2:$E$1001)*
 (HD_Thucte!$A$2:$A$1001="UNI")*
 (YEAR(HD_Thucte!$F$2:$F$1001)=$C$2)*
 (MONTH(HD_Thucte!$F$2:$F$1001)=VALUE(RIGHT($B11,2)))
)</f>
        <v>0</v>
      </c>
      <c r="I11" s="97">
        <f>KH_Nam_Hieuchinh!E11</f>
        <v>500000000</v>
      </c>
      <c r="J11" s="81">
        <f>KH_Nam_Hieuchinh!I11</f>
        <v>0</v>
      </c>
      <c r="K11" s="95">
        <f>SUMPRODUCT(
 (HD_Thucte!$E$2:$E$1001)*
 (HD_Thucte!$A$2:$A$1001="G2B")*
 (YEAR(HD_Thucte!$F$2:$F$1001)=$C$2)*
 (MONTH(HD_Thucte!$F$2:$F$1001)=VALUE(RIGHT($B11,2)))
)</f>
        <v>0</v>
      </c>
      <c r="L11" s="97">
        <f t="shared" si="0"/>
        <v>2350000000</v>
      </c>
      <c r="M11" s="81">
        <f t="shared" si="1"/>
        <v>1064240000</v>
      </c>
      <c r="N11" s="95">
        <f t="shared" si="2"/>
        <v>0</v>
      </c>
      <c r="Q11" s="60"/>
      <c r="Y11" s="60"/>
      <c r="Z11" s="60"/>
      <c r="AA11" s="60"/>
    </row>
    <row r="12" spans="1:27">
      <c r="A12" s="79">
        <v>8</v>
      </c>
      <c r="B12" s="80" t="s">
        <v>13</v>
      </c>
      <c r="C12" s="97">
        <f>KH_Nam_Hieuchinh!C12</f>
        <v>950000000</v>
      </c>
      <c r="D12" s="97">
        <f>KH_Nam_Hieuchinh!G12</f>
        <v>950000000</v>
      </c>
      <c r="E12" s="95">
        <f>SUMPRODUCT(
 (HD_Thucte!$E$2:$E$1001)*
 (HD_Thucte!$A$2:$A$1001="ITO")*
 (YEAR(HD_Thucte!$F$2:$F$1001)=$C$2)*
 (MONTH(HD_Thucte!$F$2:$F$1001)=VALUE(RIGHT($B12,2)))
)</f>
        <v>0</v>
      </c>
      <c r="F12" s="97">
        <f>KH_Nam_Hieuchinh!D12</f>
        <v>800000000</v>
      </c>
      <c r="G12" s="81">
        <f>KH_Nam_Hieuchinh!H12</f>
        <v>57300000</v>
      </c>
      <c r="H12" s="95">
        <f>SUMPRODUCT(
 (HD_Thucte!$E$2:$E$1001)*
 (HD_Thucte!$A$2:$A$1001="UNI")*
 (YEAR(HD_Thucte!$F$2:$F$1001)=$C$2)*
 (MONTH(HD_Thucte!$F$2:$F$1001)=VALUE(RIGHT($B12,2)))
)</f>
        <v>0</v>
      </c>
      <c r="I12" s="97">
        <f>KH_Nam_Hieuchinh!E12</f>
        <v>1300000000</v>
      </c>
      <c r="J12" s="81">
        <f>KH_Nam_Hieuchinh!I12</f>
        <v>0</v>
      </c>
      <c r="K12" s="95">
        <f>SUMPRODUCT(
 (HD_Thucte!$E$2:$E$1001)*
 (HD_Thucte!$A$2:$A$1001="G2B")*
 (YEAR(HD_Thucte!$F$2:$F$1001)=$C$2)*
 (MONTH(HD_Thucte!$F$2:$F$1001)=VALUE(RIGHT($B12,2)))
)</f>
        <v>0</v>
      </c>
      <c r="L12" s="97">
        <f t="shared" si="0"/>
        <v>3050000000</v>
      </c>
      <c r="M12" s="81">
        <f t="shared" si="1"/>
        <v>1007300000</v>
      </c>
      <c r="N12" s="95">
        <f t="shared" si="2"/>
        <v>0</v>
      </c>
      <c r="Q12" s="60"/>
      <c r="Y12" s="60"/>
      <c r="Z12" s="60"/>
      <c r="AA12" s="60"/>
    </row>
    <row r="13" spans="1:27">
      <c r="A13" s="79">
        <v>9</v>
      </c>
      <c r="B13" s="80" t="s">
        <v>14</v>
      </c>
      <c r="C13" s="97">
        <f>KH_Nam_Hieuchinh!C13</f>
        <v>950000000</v>
      </c>
      <c r="D13" s="97">
        <f>KH_Nam_Hieuchinh!G13</f>
        <v>950000000</v>
      </c>
      <c r="E13" s="95">
        <f>SUMPRODUCT(
 (HD_Thucte!$E$2:$E$1001)*
 (HD_Thucte!$A$2:$A$1001="ITO")*
 (YEAR(HD_Thucte!$F$2:$F$1001)=$C$2)*
 (MONTH(HD_Thucte!$F$2:$F$1001)=VALUE(RIGHT($B13,2)))
)</f>
        <v>0</v>
      </c>
      <c r="F13" s="97">
        <f>KH_Nam_Hieuchinh!D13</f>
        <v>1100000000</v>
      </c>
      <c r="G13" s="81">
        <f>KH_Nam_Hieuchinh!H13</f>
        <v>367732000</v>
      </c>
      <c r="H13" s="95">
        <f>SUMPRODUCT(
 (HD_Thucte!$E$2:$E$1001)*
 (HD_Thucte!$A$2:$A$1001="UNI")*
 (YEAR(HD_Thucte!$F$2:$F$1001)=$C$2)*
 (MONTH(HD_Thucte!$F$2:$F$1001)=VALUE(RIGHT($B13,2)))
)</f>
        <v>0</v>
      </c>
      <c r="I13" s="97">
        <f>KH_Nam_Hieuchinh!E13</f>
        <v>1334000000</v>
      </c>
      <c r="J13" s="81">
        <f>KH_Nam_Hieuchinh!I13</f>
        <v>0</v>
      </c>
      <c r="K13" s="95">
        <f>SUMPRODUCT(
 (HD_Thucte!$E$2:$E$1001)*
 (HD_Thucte!$A$2:$A$1001="G2B")*
 (YEAR(HD_Thucte!$F$2:$F$1001)=$C$2)*
 (MONTH(HD_Thucte!$F$2:$F$1001)=VALUE(RIGHT($B13,2)))
)</f>
        <v>0</v>
      </c>
      <c r="L13" s="97">
        <f t="shared" si="0"/>
        <v>3384000000</v>
      </c>
      <c r="M13" s="81">
        <f t="shared" si="1"/>
        <v>1317732000</v>
      </c>
      <c r="N13" s="95">
        <f t="shared" si="2"/>
        <v>0</v>
      </c>
      <c r="O13" s="66">
        <f>SUM(N11:N13)</f>
        <v>0</v>
      </c>
      <c r="Q13" s="74"/>
      <c r="R13" s="74"/>
      <c r="S13" s="74"/>
      <c r="T13" s="74"/>
      <c r="U13" s="74"/>
      <c r="V13" s="74"/>
      <c r="Y13" s="60"/>
      <c r="Z13" s="60"/>
      <c r="AA13" s="60"/>
    </row>
    <row r="14" spans="1:27">
      <c r="A14" s="79">
        <v>10</v>
      </c>
      <c r="B14" s="80" t="s">
        <v>15</v>
      </c>
      <c r="C14" s="97">
        <f>KH_Nam_Hieuchinh!C14</f>
        <v>950000000</v>
      </c>
      <c r="D14" s="97">
        <f>KH_Nam_Hieuchinh!G14</f>
        <v>950000000</v>
      </c>
      <c r="E14" s="95">
        <f>SUMPRODUCT(
 (HD_Thucte!$E$2:$E$1001)*
 (HD_Thucte!$A$2:$A$1001="ITO")*
 (YEAR(HD_Thucte!$F$2:$F$1001)=$C$2)*
 (MONTH(HD_Thucte!$F$2:$F$1001)=VALUE(RIGHT($B14,2)))
)</f>
        <v>0</v>
      </c>
      <c r="F14" s="97">
        <f>KH_Nam_Hieuchinh!D14</f>
        <v>800000000</v>
      </c>
      <c r="G14" s="81">
        <f>KH_Nam_Hieuchinh!H14</f>
        <v>12500000</v>
      </c>
      <c r="H14" s="95">
        <f>SUMPRODUCT(
 (HD_Thucte!$E$2:$E$1001)*
 (HD_Thucte!$A$2:$A$1001="UNI")*
 (YEAR(HD_Thucte!$F$2:$F$1001)=$C$2)*
 (MONTH(HD_Thucte!$F$2:$F$1001)=VALUE(RIGHT($B14,2)))
)</f>
        <v>0</v>
      </c>
      <c r="I14" s="97">
        <f>KH_Nam_Hieuchinh!E14</f>
        <v>800000000</v>
      </c>
      <c r="J14" s="81">
        <f>KH_Nam_Hieuchinh!I14</f>
        <v>0</v>
      </c>
      <c r="K14" s="95">
        <f>SUMPRODUCT(
 (HD_Thucte!$E$2:$E$1001)*
 (HD_Thucte!$A$2:$A$1001="G2B")*
 (YEAR(HD_Thucte!$F$2:$F$1001)=$C$2)*
 (MONTH(HD_Thucte!$F$2:$F$1001)=VALUE(RIGHT($B14,2)))
)</f>
        <v>0</v>
      </c>
      <c r="L14" s="97">
        <f t="shared" si="0"/>
        <v>2550000000</v>
      </c>
      <c r="M14" s="81">
        <f t="shared" si="1"/>
        <v>962500000</v>
      </c>
      <c r="N14" s="95">
        <f t="shared" si="2"/>
        <v>0</v>
      </c>
      <c r="Q14" s="74"/>
      <c r="R14" s="74"/>
      <c r="S14" s="74"/>
      <c r="T14" s="74"/>
      <c r="U14" s="74"/>
      <c r="V14" s="74"/>
      <c r="Y14" s="60"/>
      <c r="Z14" s="60"/>
      <c r="AA14" s="60"/>
    </row>
    <row r="15" spans="1:27">
      <c r="A15" s="79">
        <v>11</v>
      </c>
      <c r="B15" s="80" t="s">
        <v>16</v>
      </c>
      <c r="C15" s="97">
        <f>KH_Nam_Hieuchinh!C15</f>
        <v>950000000</v>
      </c>
      <c r="D15" s="97">
        <f>KH_Nam_Hieuchinh!G15</f>
        <v>950000000</v>
      </c>
      <c r="E15" s="95">
        <f>SUMPRODUCT(
 (HD_Thucte!$E$2:$E$1001)*
 (HD_Thucte!$A$2:$A$1001="ITO")*
 (YEAR(HD_Thucte!$F$2:$F$1001)=$C$2)*
 (MONTH(HD_Thucte!$F$2:$F$1001)=VALUE(RIGHT($B15,2)))
)</f>
        <v>0</v>
      </c>
      <c r="F15" s="97">
        <f>KH_Nam_Hieuchinh!D15</f>
        <v>900000000</v>
      </c>
      <c r="G15" s="81">
        <f>KH_Nam_Hieuchinh!H15</f>
        <v>60000000</v>
      </c>
      <c r="H15" s="95">
        <f>SUMPRODUCT(
 (HD_Thucte!$E$2:$E$1001)*
 (HD_Thucte!$A$2:$A$1001="UNI")*
 (YEAR(HD_Thucte!$F$2:$F$1001)=$C$2)*
 (MONTH(HD_Thucte!$F$2:$F$1001)=VALUE(RIGHT($B15,2)))
)</f>
        <v>0</v>
      </c>
      <c r="I15" s="97">
        <f>KH_Nam_Hieuchinh!E15</f>
        <v>900000000</v>
      </c>
      <c r="J15" s="81">
        <f>KH_Nam_Hieuchinh!I15</f>
        <v>3300000</v>
      </c>
      <c r="K15" s="95">
        <f>SUMPRODUCT(
 (HD_Thucte!$E$2:$E$1001)*
 (HD_Thucte!$A$2:$A$1001="G2B")*
 (YEAR(HD_Thucte!$F$2:$F$1001)=$C$2)*
 (MONTH(HD_Thucte!$F$2:$F$1001)=VALUE(RIGHT($B15,2)))
)</f>
        <v>0</v>
      </c>
      <c r="L15" s="97">
        <f t="shared" si="0"/>
        <v>2750000000</v>
      </c>
      <c r="M15" s="81">
        <f t="shared" si="1"/>
        <v>1013300000</v>
      </c>
      <c r="N15" s="95">
        <f t="shared" si="2"/>
        <v>0</v>
      </c>
      <c r="Q15" s="74"/>
      <c r="R15" s="74"/>
      <c r="S15" s="74"/>
      <c r="T15" s="74"/>
      <c r="U15" s="74"/>
      <c r="V15" s="74"/>
      <c r="Y15" s="60"/>
      <c r="Z15" s="60"/>
      <c r="AA15" s="60"/>
    </row>
    <row r="16" spans="1:27">
      <c r="A16" s="79">
        <v>12</v>
      </c>
      <c r="B16" s="80" t="s">
        <v>11</v>
      </c>
      <c r="C16" s="97">
        <f>KH_Nam_Hieuchinh!C16</f>
        <v>950000000</v>
      </c>
      <c r="D16" s="97">
        <f>KH_Nam_Hieuchinh!G16</f>
        <v>950000000</v>
      </c>
      <c r="E16" s="95">
        <f>SUMPRODUCT(
 (HD_Thucte!$E$2:$E$1001)*
 (HD_Thucte!$A$2:$A$1001="ITO")*
 (YEAR(HD_Thucte!$F$2:$F$1001)=$C$2)*
 (MONTH(HD_Thucte!$F$2:$F$1001)=VALUE(RIGHT($B16,2)))
)</f>
        <v>0</v>
      </c>
      <c r="F16" s="97">
        <f>KH_Nam_Hieuchinh!D16</f>
        <v>1000000000</v>
      </c>
      <c r="G16" s="81">
        <f>KH_Nam_Hieuchinh!H16</f>
        <v>35000000</v>
      </c>
      <c r="H16" s="95">
        <f>SUMPRODUCT(
 (HD_Thucte!$E$2:$E$1001)*
 (HD_Thucte!$A$2:$A$1001="UNI")*
 (YEAR(HD_Thucte!$F$2:$F$1001)=$C$2)*
 (MONTH(HD_Thucte!$F$2:$F$1001)=VALUE(RIGHT($B16,2)))
)</f>
        <v>0</v>
      </c>
      <c r="I16" s="97">
        <f>KH_Nam_Hieuchinh!E16</f>
        <v>1000000000</v>
      </c>
      <c r="J16" s="81">
        <f>KH_Nam_Hieuchinh!I16</f>
        <v>17500000</v>
      </c>
      <c r="K16" s="95">
        <f>SUMPRODUCT(
 (HD_Thucte!$E$2:$E$1001)*
 (HD_Thucte!$A$2:$A$1001="G2B")*
 (YEAR(HD_Thucte!$F$2:$F$1001)=$C$2)*
 (MONTH(HD_Thucte!$F$2:$F$1001)=VALUE(RIGHT($B16,2)))
)</f>
        <v>0</v>
      </c>
      <c r="L16" s="97">
        <f t="shared" si="0"/>
        <v>2950000000</v>
      </c>
      <c r="M16" s="81">
        <f t="shared" si="1"/>
        <v>1002500000</v>
      </c>
      <c r="N16" s="95">
        <f t="shared" si="2"/>
        <v>0</v>
      </c>
      <c r="O16" s="66">
        <f>SUM(N14:N16)</f>
        <v>0</v>
      </c>
      <c r="Q16" s="74"/>
      <c r="R16" s="74"/>
      <c r="S16" s="74"/>
      <c r="T16" s="74"/>
      <c r="U16" s="74"/>
      <c r="V16" s="74"/>
      <c r="Y16" s="60"/>
      <c r="Z16" s="60"/>
      <c r="AA16" s="60"/>
    </row>
    <row r="17" spans="1:27">
      <c r="A17" s="82"/>
      <c r="B17" s="83" t="s">
        <v>6</v>
      </c>
      <c r="C17" s="84">
        <f t="shared" ref="C17" si="3">SUM(C5:C16)</f>
        <v>11400000000</v>
      </c>
      <c r="D17" s="84">
        <f t="shared" ref="D17:K17" si="4">SUM(D5:D16)</f>
        <v>11400000000</v>
      </c>
      <c r="E17" s="96">
        <f t="shared" si="4"/>
        <v>1003909178</v>
      </c>
      <c r="F17" s="84">
        <f t="shared" si="4"/>
        <v>10100000000</v>
      </c>
      <c r="G17" s="84">
        <f t="shared" si="4"/>
        <v>14184512000</v>
      </c>
      <c r="H17" s="96">
        <f t="shared" si="4"/>
        <v>194800000</v>
      </c>
      <c r="I17" s="84">
        <f t="shared" si="4"/>
        <v>10000000000</v>
      </c>
      <c r="J17" s="84">
        <f t="shared" si="4"/>
        <v>7469800000</v>
      </c>
      <c r="K17" s="96">
        <f t="shared" si="4"/>
        <v>1767291000</v>
      </c>
      <c r="L17" s="84">
        <f t="shared" si="0"/>
        <v>31500000000</v>
      </c>
      <c r="M17" s="84">
        <f t="shared" si="1"/>
        <v>33054312000</v>
      </c>
      <c r="N17" s="326">
        <f t="shared" si="2"/>
        <v>2966000178</v>
      </c>
      <c r="Q17" s="74"/>
      <c r="R17" s="74"/>
      <c r="S17" s="74"/>
      <c r="T17" s="74"/>
      <c r="U17" s="74"/>
      <c r="V17" s="74"/>
      <c r="Y17" s="60"/>
      <c r="Z17" s="60"/>
      <c r="AA17" s="60"/>
    </row>
    <row r="18" spans="1:27">
      <c r="A18" s="85"/>
      <c r="B18" s="85" t="s">
        <v>513</v>
      </c>
      <c r="C18" s="126"/>
      <c r="D18" s="135"/>
      <c r="E18" s="123">
        <f>E17/C17</f>
        <v>8.8062208596491234E-2</v>
      </c>
      <c r="F18" s="126"/>
      <c r="G18" s="123"/>
      <c r="H18" s="123">
        <f>H17/F17</f>
        <v>1.9287128712871287E-2</v>
      </c>
      <c r="I18" s="126"/>
      <c r="J18" s="123"/>
      <c r="K18" s="123">
        <f>K17/I17</f>
        <v>0.1767291</v>
      </c>
      <c r="L18" s="126"/>
      <c r="M18" s="123"/>
      <c r="N18" s="293">
        <f>N17/L17</f>
        <v>9.4158735809523816E-2</v>
      </c>
      <c r="O18" s="135"/>
      <c r="Q18" s="74"/>
      <c r="R18" s="74"/>
      <c r="S18" s="74"/>
      <c r="T18" s="74"/>
      <c r="U18" s="74"/>
      <c r="V18" s="74"/>
    </row>
    <row r="19" spans="1:27" s="89" customFormat="1">
      <c r="A19" s="126"/>
      <c r="B19" s="126"/>
      <c r="D19" s="126"/>
      <c r="E19" s="126"/>
      <c r="F19" s="126"/>
      <c r="G19" s="126"/>
      <c r="H19" s="126"/>
      <c r="I19" s="126"/>
      <c r="J19" s="126"/>
      <c r="K19" s="126"/>
      <c r="L19" s="126"/>
      <c r="M19" s="292" t="s">
        <v>493</v>
      </c>
      <c r="N19" s="230">
        <f>H17+K17</f>
        <v>1962091000</v>
      </c>
      <c r="O19" s="140"/>
      <c r="Q19" s="74"/>
      <c r="R19" s="74"/>
      <c r="S19" s="74"/>
      <c r="T19" s="74"/>
      <c r="U19" s="74"/>
      <c r="V19" s="74"/>
      <c r="W19" s="52"/>
      <c r="X19" s="52"/>
    </row>
    <row r="20" spans="1:27">
      <c r="A20" s="75" t="s">
        <v>32</v>
      </c>
      <c r="B20" s="76"/>
      <c r="C20" s="410">
        <v>2026</v>
      </c>
      <c r="D20" s="123"/>
      <c r="E20" s="86"/>
      <c r="F20" s="77"/>
      <c r="G20" s="76"/>
      <c r="H20" s="78"/>
      <c r="I20" s="77"/>
      <c r="J20" s="77"/>
      <c r="K20" s="78"/>
      <c r="L20" s="77"/>
      <c r="M20" s="76"/>
      <c r="N20" s="121"/>
      <c r="O20" s="86"/>
      <c r="P20" s="78"/>
      <c r="R20" s="60"/>
      <c r="S20" s="60"/>
    </row>
    <row r="21" spans="1:27">
      <c r="A21" s="499" t="s">
        <v>0</v>
      </c>
      <c r="B21" s="501" t="s">
        <v>28</v>
      </c>
      <c r="C21" s="488" t="s">
        <v>26</v>
      </c>
      <c r="D21" s="489"/>
      <c r="E21" s="490"/>
      <c r="F21" s="488" t="s">
        <v>9</v>
      </c>
      <c r="G21" s="489"/>
      <c r="H21" s="489"/>
      <c r="I21" s="490"/>
      <c r="J21" s="488" t="s">
        <v>330</v>
      </c>
      <c r="K21" s="489"/>
      <c r="L21" s="489"/>
      <c r="M21" s="490"/>
      <c r="N21" s="488" t="s">
        <v>27</v>
      </c>
      <c r="O21" s="489"/>
      <c r="P21" s="489"/>
      <c r="Q21" s="490"/>
    </row>
    <row r="22" spans="1:27">
      <c r="A22" s="500"/>
      <c r="B22" s="502"/>
      <c r="C22" s="243" t="s">
        <v>5</v>
      </c>
      <c r="D22" s="243" t="s">
        <v>783</v>
      </c>
      <c r="E22" s="243" t="s">
        <v>2</v>
      </c>
      <c r="F22" s="243" t="s">
        <v>5</v>
      </c>
      <c r="G22" s="243" t="s">
        <v>784</v>
      </c>
      <c r="H22" s="243" t="s">
        <v>783</v>
      </c>
      <c r="I22" s="243" t="s">
        <v>2</v>
      </c>
      <c r="J22" s="243" t="s">
        <v>5</v>
      </c>
      <c r="K22" s="243" t="s">
        <v>784</v>
      </c>
      <c r="L22" s="243" t="s">
        <v>783</v>
      </c>
      <c r="M22" s="243" t="s">
        <v>2</v>
      </c>
      <c r="N22" s="243" t="s">
        <v>5</v>
      </c>
      <c r="O22" s="243" t="s">
        <v>784</v>
      </c>
      <c r="P22" s="243" t="s">
        <v>783</v>
      </c>
      <c r="Q22" s="243" t="s">
        <v>2</v>
      </c>
    </row>
    <row r="23" spans="1:27">
      <c r="A23" s="79">
        <v>1</v>
      </c>
      <c r="B23" s="80" t="s">
        <v>19</v>
      </c>
      <c r="C23" s="97">
        <f>KH_Nam_Hieuchinh!C22</f>
        <v>950000000</v>
      </c>
      <c r="D23" s="97">
        <f>KH_Nam_Hieuchinh!G22</f>
        <v>950000000</v>
      </c>
      <c r="E23" s="95">
        <f>SUMPRODUCT(
 (DT_Thucte!$E$2:$E$1002)*
 (DT_Thucte!$A$2:$A$1002="ITO")*
 (YEAR(DT_Thucte!$F$2:$F$1002)=$C$20)*
 (MONTH(DT_Thucte!$F$2:$F$1002)=VALUE(RIGHT($B23,2)))
)</f>
        <v>1003909178</v>
      </c>
      <c r="F23" s="97">
        <f>KH_Nam_Hieuchinh!D22</f>
        <v>851000000</v>
      </c>
      <c r="G23" s="430">
        <f>SUMPRODUCT(
 ('KH DT_HD da ky'!$E$2:$E$999)*
 ('KH DT_HD da ky'!$A$2:$A$999="UNI")*
 (YEAR('KH DT_HD da ky'!$F$2:$F$999)=$C$20)*
 (MONTH('KH DT_HD da ky'!$F$2:$F$999)=VALUE(RIGHT($B23,2)))
)</f>
        <v>770116000</v>
      </c>
      <c r="H23" s="81">
        <f>KH_Nam_Hieuchinh!H22</f>
        <v>0</v>
      </c>
      <c r="I23" s="95">
        <f>SUMPRODUCT(
 (DT_Thucte!$E$2:$E$1002)*
 (DT_Thucte!$A$2:$A$1002="UNI")*
 (YEAR(DT_Thucte!$F$2:$F$1002)=$C$20)*
 (MONTH(DT_Thucte!$F$2:$F$1002)=VALUE(RIGHT($B23,2)))
)</f>
        <v>451766000</v>
      </c>
      <c r="J23" s="97">
        <f>KH_Nam_Hieuchinh!E22</f>
        <v>270000000</v>
      </c>
      <c r="K23" s="430">
        <f>SUMPRODUCT(
 ('KH DT_HD da ky'!$E$2:$E$999)*
 ('KH DT_HD da ky'!$A$2:$A$999="G2B")*
 (YEAR('KH DT_HD da ky'!$F$2:$F$999)=$C$20)*
 (MONTH('KH DT_HD da ky'!$F$2:$F$999)=VALUE(RIGHT($B23,2)))
)</f>
        <v>87780000</v>
      </c>
      <c r="L23" s="81">
        <f>KH_Nam_Hieuchinh!I22</f>
        <v>0</v>
      </c>
      <c r="M23" s="95">
        <f>SUMPRODUCT(
 (DT_Thucte!$E$2:$E$1002)*
 (DT_Thucte!$A$2:$A$1002="G2B")*
 (YEAR(DT_Thucte!$F$2:$F$1002)=$C$20)*
 (MONTH(DT_Thucte!$F$2:$F$1002)=VALUE(RIGHT($B23,2)))
)</f>
        <v>96000000</v>
      </c>
      <c r="N23" s="97">
        <f t="shared" ref="N23:N35" si="5">C23+F23+J23</f>
        <v>2071000000</v>
      </c>
      <c r="O23" s="430">
        <f>G23+K23</f>
        <v>857896000</v>
      </c>
      <c r="P23" s="81">
        <f t="shared" ref="P23:P35" si="6">D23+H23+L23</f>
        <v>950000000</v>
      </c>
      <c r="Q23" s="95">
        <f t="shared" ref="Q23:Q35" si="7">E23+I23+M23</f>
        <v>1551675178</v>
      </c>
      <c r="R23" s="66"/>
    </row>
    <row r="24" spans="1:27">
      <c r="A24" s="79">
        <v>2</v>
      </c>
      <c r="B24" s="80" t="s">
        <v>20</v>
      </c>
      <c r="C24" s="97">
        <f>KH_Nam_Hieuchinh!C23</f>
        <v>950000000</v>
      </c>
      <c r="D24" s="97">
        <f>KH_Nam_Hieuchinh!G23</f>
        <v>950000000</v>
      </c>
      <c r="E24" s="95">
        <f>SUMPRODUCT(
 (DT_Thucte!$E$2:$E$1002)*
 (DT_Thucte!$A$2:$A$1002="ITO")*
 (YEAR(DT_Thucte!$F$2:$F$1002)=$C$20)*
 (MONTH(DT_Thucte!$F$2:$F$1002)=VALUE(RIGHT($B24,2)))
)</f>
        <v>0</v>
      </c>
      <c r="F24" s="97">
        <f>KH_Nam_Hieuchinh!D23</f>
        <v>30000000</v>
      </c>
      <c r="G24" s="430">
        <f>SUMPRODUCT(
 ('KH DT_HD da ky'!$E$2:$E$999)*
 ('KH DT_HD da ky'!$A$2:$A$999="UNI")*
 (YEAR('KH DT_HD da ky'!$F$2:$F$999)=$C$20)*
 (MONTH('KH DT_HD da ky'!$F$2:$F$999)=VALUE(RIGHT($B24,2)))
)</f>
        <v>30000000</v>
      </c>
      <c r="H24" s="81">
        <f>KH_Nam_Hieuchinh!H23</f>
        <v>0</v>
      </c>
      <c r="I24" s="95">
        <f>SUMPRODUCT(
 (DT_Thucte!$E$2:$E$1002)*
 (DT_Thucte!$A$2:$A$1002="UNI")*
 (YEAR(DT_Thucte!$F$2:$F$1002)=$C$20)*
 (MONTH(DT_Thucte!$F$2:$F$1002)=VALUE(RIGHT($B24,2)))
)</f>
        <v>507326000</v>
      </c>
      <c r="J24" s="97">
        <f>KH_Nam_Hieuchinh!E23</f>
        <v>1405000000</v>
      </c>
      <c r="K24" s="430">
        <f>SUMPRODUCT(
 ('KH DT_HD da ky'!$E$2:$E$999)*
 ('KH DT_HD da ky'!$A$2:$A$999="G2B")*
 (YEAR('KH DT_HD da ky'!$F$2:$F$999)=$C$20)*
 (MONTH('KH DT_HD da ky'!$F$2:$F$999)=VALUE(RIGHT($B24,2)))
)</f>
        <v>253145500</v>
      </c>
      <c r="L24" s="81">
        <f>KH_Nam_Hieuchinh!I23</f>
        <v>0</v>
      </c>
      <c r="M24" s="95">
        <f>SUMPRODUCT(
 (DT_Thucte!$E$2:$E$1002)*
 (DT_Thucte!$A$2:$A$1002="G2B")*
 (YEAR(DT_Thucte!$F$2:$F$1002)=$C$20)*
 (MONTH(DT_Thucte!$F$2:$F$1002)=VALUE(RIGHT($B24,2)))
)</f>
        <v>112532400</v>
      </c>
      <c r="N24" s="97">
        <f t="shared" si="5"/>
        <v>2385000000</v>
      </c>
      <c r="O24" s="430">
        <f t="shared" ref="O24:O34" si="8">G24+K24</f>
        <v>283145500</v>
      </c>
      <c r="P24" s="81">
        <f t="shared" si="6"/>
        <v>950000000</v>
      </c>
      <c r="Q24" s="95">
        <f t="shared" si="7"/>
        <v>619858400</v>
      </c>
      <c r="R24" s="66"/>
    </row>
    <row r="25" spans="1:27">
      <c r="A25" s="79">
        <v>3</v>
      </c>
      <c r="B25" s="80" t="s">
        <v>21</v>
      </c>
      <c r="C25" s="97">
        <f>KH_Nam_Hieuchinh!C24</f>
        <v>950000000</v>
      </c>
      <c r="D25" s="97">
        <f>KH_Nam_Hieuchinh!G24</f>
        <v>950000000</v>
      </c>
      <c r="E25" s="95">
        <f>SUMPRODUCT(
 (DT_Thucte!$E$2:$E$1002)*
 (DT_Thucte!$A$2:$A$1002="ITO")*
 (YEAR(DT_Thucte!$F$2:$F$1002)=$C$20)*
 (MONTH(DT_Thucte!$F$2:$F$1002)=VALUE(RIGHT($B25,2)))
)</f>
        <v>0</v>
      </c>
      <c r="F25" s="97">
        <f>KH_Nam_Hieuchinh!D24</f>
        <v>770000000</v>
      </c>
      <c r="G25" s="430">
        <f>SUMPRODUCT(
 ('KH DT_HD da ky'!$E$2:$E$999)*
 ('KH DT_HD da ky'!$A$2:$A$999="UNI")*
 (YEAR('KH DT_HD da ky'!$F$2:$F$999)=$C$20)*
 (MONTH('KH DT_HD da ky'!$F$2:$F$999)=VALUE(RIGHT($B25,2)))
)</f>
        <v>70000000</v>
      </c>
      <c r="H25" s="81">
        <f>KH_Nam_Hieuchinh!H24</f>
        <v>904860000</v>
      </c>
      <c r="I25" s="95">
        <f>SUMPRODUCT(
 (DT_Thucte!$E$2:$E$1002)*
 (DT_Thucte!$A$2:$A$1002="UNI")*
 (YEAR(DT_Thucte!$F$2:$F$1002)=$C$20)*
 (MONTH(DT_Thucte!$F$2:$F$1002)=VALUE(RIGHT($B25,2)))
)</f>
        <v>0</v>
      </c>
      <c r="J25" s="97">
        <f>KH_Nam_Hieuchinh!E24</f>
        <v>500000000</v>
      </c>
      <c r="K25" s="430">
        <f>SUMPRODUCT(
 ('KH DT_HD da ky'!$E$2:$E$999)*
 ('KH DT_HD da ky'!$A$2:$A$999="G2B")*
 (YEAR('KH DT_HD da ky'!$F$2:$F$999)=$C$20)*
 (MONTH('KH DT_HD da ky'!$F$2:$F$999)=VALUE(RIGHT($B25,2)))
)</f>
        <v>581400000</v>
      </c>
      <c r="L25" s="81">
        <f>KH_Nam_Hieuchinh!I24</f>
        <v>0</v>
      </c>
      <c r="M25" s="95">
        <f>SUMPRODUCT(
 (DT_Thucte!$E$2:$E$1002)*
 (DT_Thucte!$A$2:$A$1002="G2B")*
 (YEAR(DT_Thucte!$F$2:$F$1002)=$C$20)*
 (MONTH(DT_Thucte!$F$2:$F$1002)=VALUE(RIGHT($B25,2)))
)</f>
        <v>0</v>
      </c>
      <c r="N25" s="97">
        <f t="shared" si="5"/>
        <v>2220000000</v>
      </c>
      <c r="O25" s="430">
        <f t="shared" si="8"/>
        <v>651400000</v>
      </c>
      <c r="P25" s="81">
        <f t="shared" si="6"/>
        <v>1854860000</v>
      </c>
      <c r="Q25" s="95">
        <f t="shared" si="7"/>
        <v>0</v>
      </c>
      <c r="R25" s="66">
        <f>SUM(Q23:Q25)</f>
        <v>2171533578</v>
      </c>
    </row>
    <row r="26" spans="1:27">
      <c r="A26" s="79">
        <v>4</v>
      </c>
      <c r="B26" s="80" t="s">
        <v>22</v>
      </c>
      <c r="C26" s="97">
        <f>KH_Nam_Hieuchinh!C25</f>
        <v>950000000</v>
      </c>
      <c r="D26" s="97">
        <f>KH_Nam_Hieuchinh!G25</f>
        <v>950000000</v>
      </c>
      <c r="E26" s="95">
        <f>SUMPRODUCT(
 (DT_Thucte!$E$2:$E$1002)*
 (DT_Thucte!$A$2:$A$1002="ITO")*
 (YEAR(DT_Thucte!$F$2:$F$1002)=$C$20)*
 (MONTH(DT_Thucte!$F$2:$F$1002)=VALUE(RIGHT($B26,2)))
)</f>
        <v>0</v>
      </c>
      <c r="F26" s="97">
        <f>KH_Nam_Hieuchinh!D25</f>
        <v>660000000</v>
      </c>
      <c r="G26" s="430">
        <f>SUMPRODUCT(
 ('KH DT_HD da ky'!$E$2:$E$999)*
 ('KH DT_HD da ky'!$A$2:$A$999="UNI")*
 (YEAR('KH DT_HD da ky'!$F$2:$F$999)=$C$20)*
 (MONTH('KH DT_HD da ky'!$F$2:$F$999)=VALUE(RIGHT($B26,2)))
)</f>
        <v>0</v>
      </c>
      <c r="H26" s="81">
        <f>KH_Nam_Hieuchinh!H25</f>
        <v>660000000</v>
      </c>
      <c r="I26" s="95">
        <f>SUMPRODUCT(
 (DT_Thucte!$E$2:$E$1002)*
 (DT_Thucte!$A$2:$A$1002="UNI")*
 (YEAR(DT_Thucte!$F$2:$F$1002)=$C$20)*
 (MONTH(DT_Thucte!$F$2:$F$1002)=VALUE(RIGHT($B26,2)))
)</f>
        <v>0</v>
      </c>
      <c r="J26" s="97">
        <f>KH_Nam_Hieuchinh!E25</f>
        <v>890000000</v>
      </c>
      <c r="K26" s="430">
        <f>SUMPRODUCT(
 ('KH DT_HD da ky'!$E$2:$E$999)*
 ('KH DT_HD da ky'!$A$2:$A$999="G2B")*
 (YEAR('KH DT_HD da ky'!$F$2:$F$999)=$C$20)*
 (MONTH('KH DT_HD da ky'!$F$2:$F$999)=VALUE(RIGHT($B26,2)))
)</f>
        <v>390000000</v>
      </c>
      <c r="L26" s="81">
        <f>KH_Nam_Hieuchinh!I25</f>
        <v>0</v>
      </c>
      <c r="M26" s="95">
        <f>SUMPRODUCT(
 (DT_Thucte!$E$2:$E$1002)*
 (DT_Thucte!$A$2:$A$1002="G2B")*
 (YEAR(DT_Thucte!$F$2:$F$1002)=$C$20)*
 (MONTH(DT_Thucte!$F$2:$F$1002)=VALUE(RIGHT($B26,2)))
)</f>
        <v>0</v>
      </c>
      <c r="N26" s="97">
        <f t="shared" si="5"/>
        <v>2500000000</v>
      </c>
      <c r="O26" s="430">
        <f t="shared" si="8"/>
        <v>390000000</v>
      </c>
      <c r="P26" s="81">
        <f t="shared" si="6"/>
        <v>1610000000</v>
      </c>
      <c r="Q26" s="95">
        <f t="shared" si="7"/>
        <v>0</v>
      </c>
      <c r="R26" s="66"/>
    </row>
    <row r="27" spans="1:27">
      <c r="A27" s="79">
        <v>5</v>
      </c>
      <c r="B27" s="80" t="s">
        <v>23</v>
      </c>
      <c r="C27" s="97">
        <f>KH_Nam_Hieuchinh!C26</f>
        <v>950000000</v>
      </c>
      <c r="D27" s="97">
        <f>KH_Nam_Hieuchinh!G26</f>
        <v>950000000</v>
      </c>
      <c r="E27" s="95">
        <f>SUMPRODUCT(
 (DT_Thucte!$E$2:$E$1002)*
 (DT_Thucte!$A$2:$A$1002="ITO")*
 (YEAR(DT_Thucte!$F$2:$F$1002)=$C$20)*
 (MONTH(DT_Thucte!$F$2:$F$1002)=VALUE(RIGHT($B27,2)))
)</f>
        <v>0</v>
      </c>
      <c r="F27" s="97">
        <f>KH_Nam_Hieuchinh!D26</f>
        <v>865000000</v>
      </c>
      <c r="G27" s="430">
        <f>SUMPRODUCT(
 ('KH DT_HD da ky'!$E$2:$E$999)*
 ('KH DT_HD da ky'!$A$2:$A$999="UNI")*
 (YEAR('KH DT_HD da ky'!$F$2:$F$999)=$C$20)*
 (MONTH('KH DT_HD da ky'!$F$2:$F$999)=VALUE(RIGHT($B27,2)))
)</f>
        <v>45000000</v>
      </c>
      <c r="H27" s="81">
        <f>KH_Nam_Hieuchinh!H26</f>
        <v>2000000000</v>
      </c>
      <c r="I27" s="95">
        <f>SUMPRODUCT(
 (DT_Thucte!$E$2:$E$1002)*
 (DT_Thucte!$A$2:$A$1002="UNI")*
 (YEAR(DT_Thucte!$F$2:$F$1002)=$C$20)*
 (MONTH(DT_Thucte!$F$2:$F$1002)=VALUE(RIGHT($B27,2)))
)</f>
        <v>0</v>
      </c>
      <c r="J27" s="97">
        <f>KH_Nam_Hieuchinh!E26</f>
        <v>300000000</v>
      </c>
      <c r="K27" s="430">
        <f>SUMPRODUCT(
 ('KH DT_HD da ky'!$E$2:$E$999)*
 ('KH DT_HD da ky'!$A$2:$A$999="G2B")*
 (YEAR('KH DT_HD da ky'!$F$2:$F$999)=$C$20)*
 (MONTH('KH DT_HD da ky'!$F$2:$F$999)=VALUE(RIGHT($B27,2)))
)</f>
        <v>872100000</v>
      </c>
      <c r="L27" s="81">
        <f>KH_Nam_Hieuchinh!I26</f>
        <v>0</v>
      </c>
      <c r="M27" s="95">
        <f>SUMPRODUCT(
 (DT_Thucte!$E$2:$E$1002)*
 (DT_Thucte!$A$2:$A$1002="G2B")*
 (YEAR(DT_Thucte!$F$2:$F$1002)=$C$20)*
 (MONTH(DT_Thucte!$F$2:$F$1002)=VALUE(RIGHT($B27,2)))
)</f>
        <v>0</v>
      </c>
      <c r="N27" s="97">
        <f t="shared" si="5"/>
        <v>2115000000</v>
      </c>
      <c r="O27" s="430">
        <f t="shared" si="8"/>
        <v>917100000</v>
      </c>
      <c r="P27" s="81">
        <f t="shared" si="6"/>
        <v>2950000000</v>
      </c>
      <c r="Q27" s="95">
        <f t="shared" si="7"/>
        <v>0</v>
      </c>
      <c r="S27" s="66"/>
    </row>
    <row r="28" spans="1:27">
      <c r="A28" s="79">
        <v>6</v>
      </c>
      <c r="B28" s="80" t="s">
        <v>24</v>
      </c>
      <c r="C28" s="97">
        <f>KH_Nam_Hieuchinh!C27</f>
        <v>950000000</v>
      </c>
      <c r="D28" s="97">
        <f>KH_Nam_Hieuchinh!G27</f>
        <v>950000000</v>
      </c>
      <c r="E28" s="95">
        <f>SUMPRODUCT(
 (DT_Thucte!$E$2:$E$1002)*
 (DT_Thucte!$A$2:$A$1002="ITO")*
 (YEAR(DT_Thucte!$F$2:$F$1002)=$C$20)*
 (MONTH(DT_Thucte!$F$2:$F$1002)=VALUE(RIGHT($B28,2)))
)</f>
        <v>0</v>
      </c>
      <c r="F28" s="97">
        <f>KH_Nam_Hieuchinh!D27</f>
        <v>870000000</v>
      </c>
      <c r="G28" s="430">
        <f>SUMPRODUCT(
 ('KH DT_HD da ky'!$E$2:$E$999)*
 ('KH DT_HD da ky'!$A$2:$A$999="UNI")*
 (YEAR('KH DT_HD da ky'!$F$2:$F$999)=$C$20)*
 (MONTH('KH DT_HD da ky'!$F$2:$F$999)=VALUE(RIGHT($B28,2)))
)</f>
        <v>484461600</v>
      </c>
      <c r="H28" s="81">
        <f>KH_Nam_Hieuchinh!H27</f>
        <v>570000000</v>
      </c>
      <c r="I28" s="95">
        <f>SUMPRODUCT(
 (DT_Thucte!$E$2:$E$1002)*
 (DT_Thucte!$A$2:$A$1002="UNI")*
 (YEAR(DT_Thucte!$F$2:$F$1002)=$C$20)*
 (MONTH(DT_Thucte!$F$2:$F$1002)=VALUE(RIGHT($B28,2)))
)</f>
        <v>0</v>
      </c>
      <c r="J28" s="97">
        <f>KH_Nam_Hieuchinh!E27</f>
        <v>765000000</v>
      </c>
      <c r="K28" s="430">
        <f>SUMPRODUCT(
 ('KH DT_HD da ky'!$E$2:$E$999)*
 ('KH DT_HD da ky'!$A$2:$A$999="G2B")*
 (YEAR('KH DT_HD da ky'!$F$2:$F$999)=$C$20)*
 (MONTH('KH DT_HD da ky'!$F$2:$F$999)=VALUE(RIGHT($B28,2)))
)</f>
        <v>215115068</v>
      </c>
      <c r="L28" s="81">
        <f>KH_Nam_Hieuchinh!I27</f>
        <v>0</v>
      </c>
      <c r="M28" s="95">
        <f>SUMPRODUCT(
 (DT_Thucte!$E$2:$E$1002)*
 (DT_Thucte!$A$2:$A$1002="G2B")*
 (YEAR(DT_Thucte!$F$2:$F$1002)=$C$20)*
 (MONTH(DT_Thucte!$F$2:$F$1002)=VALUE(RIGHT($B28,2)))
)</f>
        <v>0</v>
      </c>
      <c r="N28" s="97">
        <f t="shared" si="5"/>
        <v>2585000000</v>
      </c>
      <c r="O28" s="430">
        <f t="shared" si="8"/>
        <v>699576668</v>
      </c>
      <c r="P28" s="81">
        <f t="shared" si="6"/>
        <v>1520000000</v>
      </c>
      <c r="Q28" s="95">
        <f t="shared" si="7"/>
        <v>0</v>
      </c>
      <c r="R28" s="66">
        <f>SUM(Q26:Q28)</f>
        <v>0</v>
      </c>
    </row>
    <row r="29" spans="1:27">
      <c r="A29" s="79">
        <v>7</v>
      </c>
      <c r="B29" s="80" t="s">
        <v>12</v>
      </c>
      <c r="C29" s="97">
        <f>KH_Nam_Hieuchinh!C28</f>
        <v>950000000</v>
      </c>
      <c r="D29" s="97">
        <f>KH_Nam_Hieuchinh!G28</f>
        <v>950000000</v>
      </c>
      <c r="E29" s="95">
        <f>SUMPRODUCT(
 (DT_Thucte!$E$2:$E$1002)*
 (DT_Thucte!$A$2:$A$1002="ITO")*
 (YEAR(DT_Thucte!$F$2:$F$1002)=$C$20)*
 (MONTH(DT_Thucte!$F$2:$F$1002)=VALUE(RIGHT($B29,2)))
)</f>
        <v>0</v>
      </c>
      <c r="F29" s="97">
        <f>KH_Nam_Hieuchinh!D28</f>
        <v>670000000</v>
      </c>
      <c r="G29" s="430">
        <f>SUMPRODUCT(
 ('KH DT_HD da ky'!$E$2:$E$999)*
 ('KH DT_HD da ky'!$A$2:$A$999="UNI")*
 (YEAR('KH DT_HD da ky'!$F$2:$F$999)=$C$20)*
 (MONTH('KH DT_HD da ky'!$F$2:$F$999)=VALUE(RIGHT($B29,2)))
)</f>
        <v>0</v>
      </c>
      <c r="H29" s="81">
        <f>KH_Nam_Hieuchinh!H28</f>
        <v>0</v>
      </c>
      <c r="I29" s="95">
        <f>SUMPRODUCT(
 (DT_Thucte!$E$2:$E$1002)*
 (DT_Thucte!$A$2:$A$1002="UNI")*
 (YEAR(DT_Thucte!$F$2:$F$1002)=$C$20)*
 (MONTH(DT_Thucte!$F$2:$F$1002)=VALUE(RIGHT($B29,2)))
)</f>
        <v>0</v>
      </c>
      <c r="J29" s="97">
        <f>KH_Nam_Hieuchinh!E28</f>
        <v>400000000</v>
      </c>
      <c r="K29" s="430">
        <f>SUMPRODUCT(
 ('KH DT_HD da ky'!$E$2:$E$999)*
 ('KH DT_HD da ky'!$A$2:$A$999="G2B")*
 (YEAR('KH DT_HD da ky'!$F$2:$F$999)=$C$20)*
 (MONTH('KH DT_HD da ky'!$F$2:$F$999)=VALUE(RIGHT($B29,2)))
)</f>
        <v>0</v>
      </c>
      <c r="L29" s="81">
        <f>KH_Nam_Hieuchinh!I28</f>
        <v>0</v>
      </c>
      <c r="M29" s="95">
        <f>SUMPRODUCT(
 (DT_Thucte!$E$2:$E$1002)*
 (DT_Thucte!$A$2:$A$1002="G2B")*
 (YEAR(DT_Thucte!$F$2:$F$1002)=$C$20)*
 (MONTH(DT_Thucte!$F$2:$F$1002)=VALUE(RIGHT($B29,2)))
)</f>
        <v>0</v>
      </c>
      <c r="N29" s="97">
        <f t="shared" si="5"/>
        <v>2020000000</v>
      </c>
      <c r="O29" s="430">
        <f t="shared" si="8"/>
        <v>0</v>
      </c>
      <c r="P29" s="81">
        <f t="shared" si="6"/>
        <v>950000000</v>
      </c>
      <c r="Q29" s="95">
        <f t="shared" si="7"/>
        <v>0</v>
      </c>
    </row>
    <row r="30" spans="1:27">
      <c r="A30" s="79">
        <v>8</v>
      </c>
      <c r="B30" s="80" t="s">
        <v>13</v>
      </c>
      <c r="C30" s="97">
        <f>KH_Nam_Hieuchinh!C29</f>
        <v>950000000</v>
      </c>
      <c r="D30" s="97">
        <f>KH_Nam_Hieuchinh!G29</f>
        <v>950000000</v>
      </c>
      <c r="E30" s="95">
        <f>SUMPRODUCT(
 (DT_Thucte!$E$2:$E$1002)*
 (DT_Thucte!$A$2:$A$1002="ITO")*
 (YEAR(DT_Thucte!$F$2:$F$1002)=$C$20)*
 (MONTH(DT_Thucte!$F$2:$F$1002)=VALUE(RIGHT($B30,2)))
)</f>
        <v>0</v>
      </c>
      <c r="F30" s="97">
        <f>KH_Nam_Hieuchinh!D29</f>
        <v>831000000</v>
      </c>
      <c r="G30" s="430">
        <f>SUMPRODUCT(
 ('KH DT_HD da ky'!$E$2:$E$999)*
 ('KH DT_HD da ky'!$A$2:$A$999="UNI")*
 (YEAR('KH DT_HD da ky'!$F$2:$F$999)=$C$20)*
 (MONTH('KH DT_HD da ky'!$F$2:$F$999)=VALUE(RIGHT($B30,2)))
)</f>
        <v>0</v>
      </c>
      <c r="H30" s="81">
        <f>KH_Nam_Hieuchinh!H29</f>
        <v>1540000000</v>
      </c>
      <c r="I30" s="95">
        <f>SUMPRODUCT(
 (DT_Thucte!$E$2:$E$1002)*
 (DT_Thucte!$A$2:$A$1002="UNI")*
 (YEAR(DT_Thucte!$F$2:$F$1002)=$C$20)*
 (MONTH(DT_Thucte!$F$2:$F$1002)=VALUE(RIGHT($B30,2)))
)</f>
        <v>0</v>
      </c>
      <c r="J30" s="97">
        <f>KH_Nam_Hieuchinh!E29</f>
        <v>900000000</v>
      </c>
      <c r="K30" s="430">
        <f>SUMPRODUCT(
 ('KH DT_HD da ky'!$E$2:$E$999)*
 ('KH DT_HD da ky'!$A$2:$A$999="G2B")*
 (YEAR('KH DT_HD da ky'!$F$2:$F$999)=$C$20)*
 (MONTH('KH DT_HD da ky'!$F$2:$F$999)=VALUE(RIGHT($B30,2)))
)</f>
        <v>148145500</v>
      </c>
      <c r="L30" s="81">
        <f>KH_Nam_Hieuchinh!I29</f>
        <v>0</v>
      </c>
      <c r="M30" s="95">
        <f>SUMPRODUCT(
 (DT_Thucte!$E$2:$E$1002)*
 (DT_Thucte!$A$2:$A$1002="G2B")*
 (YEAR(DT_Thucte!$F$2:$F$1002)=$C$20)*
 (MONTH(DT_Thucte!$F$2:$F$1002)=VALUE(RIGHT($B30,2)))
)</f>
        <v>0</v>
      </c>
      <c r="N30" s="97">
        <f t="shared" si="5"/>
        <v>2681000000</v>
      </c>
      <c r="O30" s="430">
        <f t="shared" si="8"/>
        <v>148145500</v>
      </c>
      <c r="P30" s="81">
        <f t="shared" si="6"/>
        <v>2490000000</v>
      </c>
      <c r="Q30" s="95">
        <f t="shared" si="7"/>
        <v>0</v>
      </c>
    </row>
    <row r="31" spans="1:27">
      <c r="A31" s="79">
        <v>9</v>
      </c>
      <c r="B31" s="80" t="s">
        <v>14</v>
      </c>
      <c r="C31" s="97">
        <f>KH_Nam_Hieuchinh!C30</f>
        <v>950000000</v>
      </c>
      <c r="D31" s="97">
        <f>KH_Nam_Hieuchinh!G30</f>
        <v>950000000</v>
      </c>
      <c r="E31" s="95">
        <f>SUMPRODUCT(
 (DT_Thucte!$E$2:$E$1002)*
 (DT_Thucte!$A$2:$A$1002="ITO")*
 (YEAR(DT_Thucte!$F$2:$F$1002)=$C$20)*
 (MONTH(DT_Thucte!$F$2:$F$1002)=VALUE(RIGHT($B31,2)))
)</f>
        <v>0</v>
      </c>
      <c r="F31" s="97">
        <f>KH_Nam_Hieuchinh!D30</f>
        <v>725500000</v>
      </c>
      <c r="G31" s="430">
        <f>SUMPRODUCT(
 ('KH DT_HD da ky'!$E$2:$E$999)*
 ('KH DT_HD da ky'!$A$2:$A$999="UNI")*
 (YEAR('KH DT_HD da ky'!$F$2:$F$999)=$C$20)*
 (MONTH('KH DT_HD da ky'!$F$2:$F$999)=VALUE(RIGHT($B31,2)))
)</f>
        <v>25500000</v>
      </c>
      <c r="H31" s="81">
        <f>KH_Nam_Hieuchinh!H30</f>
        <v>6311340000</v>
      </c>
      <c r="I31" s="95">
        <f>SUMPRODUCT(
 (DT_Thucte!$E$2:$E$1002)*
 (DT_Thucte!$A$2:$A$1002="UNI")*
 (YEAR(DT_Thucte!$F$2:$F$1002)=$C$20)*
 (MONTH(DT_Thucte!$F$2:$F$1002)=VALUE(RIGHT($B31,2)))
)</f>
        <v>0</v>
      </c>
      <c r="J31" s="97">
        <f>KH_Nam_Hieuchinh!E30</f>
        <v>800000000</v>
      </c>
      <c r="K31" s="430">
        <f>SUMPRODUCT(
 ('KH DT_HD da ky'!$E$2:$E$999)*
 ('KH DT_HD da ky'!$A$2:$A$999="G2B")*
 (YEAR('KH DT_HD da ky'!$F$2:$F$999)=$C$20)*
 (MONTH('KH DT_HD da ky'!$F$2:$F$999)=VALUE(RIGHT($B31,2)))
)</f>
        <v>0</v>
      </c>
      <c r="L31" s="81">
        <f>KH_Nam_Hieuchinh!I30</f>
        <v>0</v>
      </c>
      <c r="M31" s="95">
        <f>SUMPRODUCT(
 (DT_Thucte!$E$2:$E$1002)*
 (DT_Thucte!$A$2:$A$1002="G2B")*
 (YEAR(DT_Thucte!$F$2:$F$1002)=$C$20)*
 (MONTH(DT_Thucte!$F$2:$F$1002)=VALUE(RIGHT($B31,2)))
)</f>
        <v>0</v>
      </c>
      <c r="N31" s="97">
        <f t="shared" si="5"/>
        <v>2475500000</v>
      </c>
      <c r="O31" s="430">
        <f t="shared" si="8"/>
        <v>25500000</v>
      </c>
      <c r="P31" s="81">
        <f t="shared" si="6"/>
        <v>7261340000</v>
      </c>
      <c r="Q31" s="95">
        <f t="shared" si="7"/>
        <v>0</v>
      </c>
      <c r="R31" s="66">
        <f>SUM(Q29:Q31)</f>
        <v>0</v>
      </c>
    </row>
    <row r="32" spans="1:27">
      <c r="A32" s="79">
        <v>10</v>
      </c>
      <c r="B32" s="80" t="s">
        <v>15</v>
      </c>
      <c r="C32" s="97">
        <f>KH_Nam_Hieuchinh!C31</f>
        <v>950000000</v>
      </c>
      <c r="D32" s="97">
        <f>KH_Nam_Hieuchinh!G31</f>
        <v>950000000</v>
      </c>
      <c r="E32" s="95">
        <f>SUMPRODUCT(
 (DT_Thucte!$E$2:$E$1002)*
 (DT_Thucte!$A$2:$A$1002="ITO")*
 (YEAR(DT_Thucte!$F$2:$F$1002)=$C$20)*
 (MONTH(DT_Thucte!$F$2:$F$1002)=VALUE(RIGHT($B32,2)))
)</f>
        <v>0</v>
      </c>
      <c r="F32" s="97">
        <f>KH_Nam_Hieuchinh!D31</f>
        <v>682500000</v>
      </c>
      <c r="G32" s="430">
        <f>SUMPRODUCT(
 ('KH DT_HD da ky'!$E$2:$E$999)*
 ('KH DT_HD da ky'!$A$2:$A$999="UNI")*
 (YEAR('KH DT_HD da ky'!$F$2:$F$999)=$C$20)*
 (MONTH('KH DT_HD da ky'!$F$2:$F$999)=VALUE(RIGHT($B32,2)))
)</f>
        <v>12500000</v>
      </c>
      <c r="H32" s="81">
        <f>KH_Nam_Hieuchinh!H31</f>
        <v>0</v>
      </c>
      <c r="I32" s="95">
        <f>SUMPRODUCT(
 (DT_Thucte!$E$2:$E$1002)*
 (DT_Thucte!$A$2:$A$1002="UNI")*
 (YEAR(DT_Thucte!$F$2:$F$1002)=$C$20)*
 (MONTH(DT_Thucte!$F$2:$F$1002)=VALUE(RIGHT($B32,2)))
)</f>
        <v>0</v>
      </c>
      <c r="J32" s="97">
        <f>KH_Nam_Hieuchinh!E31</f>
        <v>600000000</v>
      </c>
      <c r="K32" s="430">
        <f>SUMPRODUCT(
 ('KH DT_HD da ky'!$E$2:$E$999)*
 ('KH DT_HD da ky'!$A$2:$A$999="G2B")*
 (YEAR('KH DT_HD da ky'!$F$2:$F$999)=$C$20)*
 (MONTH('KH DT_HD da ky'!$F$2:$F$999)=VALUE(RIGHT($B32,2)))
)</f>
        <v>0</v>
      </c>
      <c r="L32" s="81">
        <f>KH_Nam_Hieuchinh!I31</f>
        <v>0</v>
      </c>
      <c r="M32" s="95">
        <f>SUMPRODUCT(
 (DT_Thucte!$E$2:$E$1002)*
 (DT_Thucte!$A$2:$A$1002="G2B")*
 (YEAR(DT_Thucte!$F$2:$F$1002)=$C$20)*
 (MONTH(DT_Thucte!$F$2:$F$1002)=VALUE(RIGHT($B32,2)))
)</f>
        <v>0</v>
      </c>
      <c r="N32" s="97">
        <f t="shared" si="5"/>
        <v>2232500000</v>
      </c>
      <c r="O32" s="430">
        <f t="shared" si="8"/>
        <v>12500000</v>
      </c>
      <c r="P32" s="81">
        <f t="shared" si="6"/>
        <v>950000000</v>
      </c>
      <c r="Q32" s="95">
        <f t="shared" si="7"/>
        <v>0</v>
      </c>
    </row>
    <row r="33" spans="1:24">
      <c r="A33" s="79">
        <v>11</v>
      </c>
      <c r="B33" s="80" t="s">
        <v>16</v>
      </c>
      <c r="C33" s="97">
        <f>KH_Nam_Hieuchinh!C32</f>
        <v>950000000</v>
      </c>
      <c r="D33" s="97">
        <f>KH_Nam_Hieuchinh!G32</f>
        <v>950000000</v>
      </c>
      <c r="E33" s="95">
        <f>SUMPRODUCT(
 (DT_Thucte!$E$2:$E$1002)*
 (DT_Thucte!$A$2:$A$1002="ITO")*
 (YEAR(DT_Thucte!$F$2:$F$1002)=$C$20)*
 (MONTH(DT_Thucte!$F$2:$F$1002)=VALUE(RIGHT($B33,2)))
)</f>
        <v>0</v>
      </c>
      <c r="F33" s="97">
        <f>KH_Nam_Hieuchinh!D32</f>
        <v>700000000</v>
      </c>
      <c r="G33" s="430">
        <f>SUMPRODUCT(
 ('KH DT_HD da ky'!$E$2:$E$999)*
 ('KH DT_HD da ky'!$A$2:$A$999="UNI")*
 (YEAR('KH DT_HD da ky'!$F$2:$F$999)=$C$20)*
 (MONTH('KH DT_HD da ky'!$F$2:$F$999)=VALUE(RIGHT($B33,2)))
)</f>
        <v>0</v>
      </c>
      <c r="H33" s="81">
        <f>KH_Nam_Hieuchinh!H32</f>
        <v>1685232000</v>
      </c>
      <c r="I33" s="95">
        <f>SUMPRODUCT(
 (DT_Thucte!$E$2:$E$1002)*
 (DT_Thucte!$A$2:$A$1002="UNI")*
 (YEAR(DT_Thucte!$F$2:$F$1002)=$C$20)*
 (MONTH(DT_Thucte!$F$2:$F$1002)=VALUE(RIGHT($B33,2)))
)</f>
        <v>0</v>
      </c>
      <c r="J33" s="97">
        <f>KH_Nam_Hieuchinh!E32</f>
        <v>970000000</v>
      </c>
      <c r="K33" s="430">
        <f>SUMPRODUCT(
 ('KH DT_HD da ky'!$E$2:$E$999)*
 ('KH DT_HD da ky'!$A$2:$A$999="G2B")*
 (YEAR('KH DT_HD da ky'!$F$2:$F$999)=$C$20)*
 (MONTH('KH DT_HD da ky'!$F$2:$F$999)=VALUE(RIGHT($B33,2)))
)</f>
        <v>168798600</v>
      </c>
      <c r="L33" s="81">
        <f>KH_Nam_Hieuchinh!I32</f>
        <v>0</v>
      </c>
      <c r="M33" s="95">
        <f>SUMPRODUCT(
 (DT_Thucte!$E$2:$E$1002)*
 (DT_Thucte!$A$2:$A$1002="G2B")*
 (YEAR(DT_Thucte!$F$2:$F$1002)=$C$20)*
 (MONTH(DT_Thucte!$F$2:$F$1002)=VALUE(RIGHT($B33,2)))
)</f>
        <v>0</v>
      </c>
      <c r="N33" s="97">
        <f t="shared" si="5"/>
        <v>2620000000</v>
      </c>
      <c r="O33" s="430">
        <f t="shared" si="8"/>
        <v>168798600</v>
      </c>
      <c r="P33" s="81">
        <f t="shared" si="6"/>
        <v>2635232000</v>
      </c>
      <c r="Q33" s="95">
        <f t="shared" si="7"/>
        <v>0</v>
      </c>
      <c r="R33" s="66"/>
    </row>
    <row r="34" spans="1:24">
      <c r="A34" s="79">
        <v>12</v>
      </c>
      <c r="B34" s="80" t="s">
        <v>11</v>
      </c>
      <c r="C34" s="97">
        <f>KH_Nam_Hieuchinh!C33</f>
        <v>950000000</v>
      </c>
      <c r="D34" s="97">
        <f>KH_Nam_Hieuchinh!G33</f>
        <v>950000000</v>
      </c>
      <c r="E34" s="95">
        <f>SUMPRODUCT(
 (DT_Thucte!$E$2:$E$1002)*
 (DT_Thucte!$A$2:$A$1002="ITO")*
 (YEAR(DT_Thucte!$F$2:$F$1002)=$C$20)*
 (MONTH(DT_Thucte!$F$2:$F$1002)=VALUE(RIGHT($B34,2)))
)</f>
        <v>0</v>
      </c>
      <c r="F34" s="97">
        <f>KH_Nam_Hieuchinh!D33</f>
        <v>1645000000</v>
      </c>
      <c r="G34" s="430">
        <f>SUMPRODUCT(
 ('KH DT_HD da ky'!$E$2:$E$999)*
 ('KH DT_HD da ky'!$A$2:$A$999="UNI")*
 (YEAR('KH DT_HD da ky'!$F$2:$F$999)=$C$20)*
 (MONTH('KH DT_HD da ky'!$F$2:$F$999)=VALUE(RIGHT($B34,2)))
)</f>
        <v>744290588</v>
      </c>
      <c r="H34" s="81">
        <f>KH_Nam_Hieuchinh!H33</f>
        <v>0</v>
      </c>
      <c r="I34" s="95">
        <f>SUMPRODUCT(
 (DT_Thucte!$E$2:$E$1002)*
 (DT_Thucte!$A$2:$A$1002="UNI")*
 (YEAR(DT_Thucte!$F$2:$F$1002)=$C$20)*
 (MONTH(DT_Thucte!$F$2:$F$1002)=VALUE(RIGHT($B34,2)))
)</f>
        <v>0</v>
      </c>
      <c r="J34" s="97">
        <f>KH_Nam_Hieuchinh!E33</f>
        <v>1500000000</v>
      </c>
      <c r="K34" s="430">
        <f>SUMPRODUCT(
 ('KH DT_HD da ky'!$E$2:$E$999)*
 ('KH DT_HD da ky'!$A$2:$A$999="G2B")*
 (YEAR('KH DT_HD da ky'!$F$2:$F$999)=$C$20)*
 (MONTH('KH DT_HD da ky'!$F$2:$F$999)=VALUE(RIGHT($B34,2)))
)</f>
        <v>0</v>
      </c>
      <c r="L34" s="81">
        <f>KH_Nam_Hieuchinh!I33</f>
        <v>0</v>
      </c>
      <c r="M34" s="95">
        <f>SUMPRODUCT(
 (DT_Thucte!$E$2:$E$1002)*
 (DT_Thucte!$A$2:$A$1002="G2B")*
 (YEAR(DT_Thucte!$F$2:$F$1002)=$C$20)*
 (MONTH(DT_Thucte!$F$2:$F$1002)=VALUE(RIGHT($B34,2)))
)</f>
        <v>0</v>
      </c>
      <c r="N34" s="97">
        <f t="shared" si="5"/>
        <v>4095000000</v>
      </c>
      <c r="O34" s="430">
        <f t="shared" si="8"/>
        <v>744290588</v>
      </c>
      <c r="P34" s="81">
        <f t="shared" si="6"/>
        <v>950000000</v>
      </c>
      <c r="Q34" s="95">
        <f t="shared" si="7"/>
        <v>0</v>
      </c>
      <c r="R34" s="66">
        <f>SUM(Q32:Q34)</f>
        <v>0</v>
      </c>
    </row>
    <row r="35" spans="1:24">
      <c r="A35" s="82"/>
      <c r="B35" s="83" t="s">
        <v>131</v>
      </c>
      <c r="C35" s="84">
        <f t="shared" ref="C35:F35" si="9">SUM(C23:C34)</f>
        <v>11400000000</v>
      </c>
      <c r="D35" s="84">
        <f t="shared" si="9"/>
        <v>11400000000</v>
      </c>
      <c r="E35" s="96">
        <f t="shared" si="9"/>
        <v>1003909178</v>
      </c>
      <c r="F35" s="84">
        <f t="shared" si="9"/>
        <v>9300000000</v>
      </c>
      <c r="G35" s="431">
        <f>SUM(G23:G34)</f>
        <v>2181868188</v>
      </c>
      <c r="H35" s="84">
        <f t="shared" ref="H35:M35" si="10">SUM(H23:H34)</f>
        <v>13671432000</v>
      </c>
      <c r="I35" s="96">
        <f t="shared" si="10"/>
        <v>959092000</v>
      </c>
      <c r="J35" s="84">
        <f t="shared" si="10"/>
        <v>9300000000</v>
      </c>
      <c r="K35" s="431">
        <f t="shared" si="10"/>
        <v>2716484668</v>
      </c>
      <c r="L35" s="84">
        <f t="shared" si="10"/>
        <v>0</v>
      </c>
      <c r="M35" s="96">
        <f t="shared" si="10"/>
        <v>208532400</v>
      </c>
      <c r="N35" s="84">
        <f t="shared" si="5"/>
        <v>30000000000</v>
      </c>
      <c r="O35" s="431">
        <f>G35+K35</f>
        <v>4898352856</v>
      </c>
      <c r="P35" s="84">
        <f t="shared" si="6"/>
        <v>25071432000</v>
      </c>
      <c r="Q35" s="326">
        <f t="shared" si="7"/>
        <v>2171533578</v>
      </c>
      <c r="R35" s="391"/>
    </row>
    <row r="36" spans="1:24">
      <c r="A36" s="87"/>
      <c r="B36" s="85" t="s">
        <v>513</v>
      </c>
      <c r="D36" s="135"/>
      <c r="E36" s="123">
        <f>E35/C35</f>
        <v>8.8062208596491234E-2</v>
      </c>
      <c r="F36" s="140"/>
      <c r="H36" s="335"/>
      <c r="I36" s="123">
        <f>I35/F35</f>
        <v>0.10312817204301075</v>
      </c>
      <c r="J36" s="140"/>
      <c r="L36" s="123"/>
      <c r="M36" s="123">
        <f>M35/J35</f>
        <v>2.2422838709677418E-2</v>
      </c>
      <c r="N36" s="140"/>
      <c r="P36" s="123"/>
      <c r="Q36" s="293">
        <f>Q35/N35</f>
        <v>7.2384452599999996E-2</v>
      </c>
      <c r="R36" s="135"/>
      <c r="S36" s="132"/>
    </row>
    <row r="37" spans="1:24">
      <c r="A37" s="87"/>
      <c r="B37" s="224"/>
      <c r="E37" s="224"/>
      <c r="F37" s="89"/>
      <c r="H37" s="89"/>
      <c r="I37" s="157"/>
      <c r="J37" s="140"/>
      <c r="L37" s="89"/>
      <c r="M37" s="141"/>
      <c r="N37" s="89"/>
      <c r="P37" s="292" t="s">
        <v>493</v>
      </c>
      <c r="Q37" s="230">
        <f>I35+M35</f>
        <v>1167624400</v>
      </c>
    </row>
    <row r="38" spans="1:24">
      <c r="Q38" s="87"/>
    </row>
    <row r="39" spans="1:24">
      <c r="Q39" s="87"/>
    </row>
    <row r="41" spans="1:24" s="89" customForma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R41" s="60"/>
      <c r="S41" s="74"/>
      <c r="T41" s="52"/>
      <c r="U41" s="52"/>
      <c r="V41" s="52"/>
      <c r="W41" s="52"/>
      <c r="X41" s="52"/>
    </row>
  </sheetData>
  <mergeCells count="12">
    <mergeCell ref="C3:E3"/>
    <mergeCell ref="A3:A4"/>
    <mergeCell ref="B3:B4"/>
    <mergeCell ref="A21:A22"/>
    <mergeCell ref="B21:B22"/>
    <mergeCell ref="C21:E21"/>
    <mergeCell ref="L3:N3"/>
    <mergeCell ref="I3:K3"/>
    <mergeCell ref="N21:Q21"/>
    <mergeCell ref="J21:M21"/>
    <mergeCell ref="F3:H3"/>
    <mergeCell ref="F21:I21"/>
  </mergeCells>
  <pageMargins left="0.7" right="0.7" top="0.75" bottom="0.75" header="0.3" footer="0.3"/>
  <pageSetup paperSize="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/>
  <dimension ref="A1:BE315"/>
  <sheetViews>
    <sheetView zoomScale="55" zoomScaleNormal="55" workbookViewId="0">
      <pane xSplit="2" ySplit="3" topLeftCell="C103" activePane="bottomRight" state="frozen"/>
      <selection activeCell="E52" sqref="E52"/>
      <selection pane="topRight" activeCell="E52" sqref="E52"/>
      <selection pane="bottomLeft" activeCell="E52" sqref="E52"/>
      <selection pane="bottomRight" activeCell="O224" sqref="O224"/>
    </sheetView>
  </sheetViews>
  <sheetFormatPr defaultColWidth="8.85546875" defaultRowHeight="18.75"/>
  <cols>
    <col min="1" max="1" width="10.7109375" style="52" customWidth="1"/>
    <col min="2" max="2" width="89.140625" style="72" customWidth="1"/>
    <col min="3" max="3" width="10.7109375" style="59" customWidth="1"/>
    <col min="4" max="5" width="20.7109375" style="52" customWidth="1"/>
    <col min="6" max="6" width="20.7109375" style="59" customWidth="1"/>
    <col min="7" max="13" width="20.7109375" style="52" customWidth="1"/>
    <col min="14" max="14" width="21.42578125" style="52" customWidth="1"/>
    <col min="15" max="15" width="19.42578125" style="52" customWidth="1"/>
    <col min="16" max="16" width="19.28515625" style="52" customWidth="1"/>
    <col min="17" max="16384" width="8.85546875" style="52"/>
  </cols>
  <sheetData>
    <row r="1" spans="1:57">
      <c r="D1" s="127">
        <f>D4+D6+D107+D208</f>
        <v>0</v>
      </c>
      <c r="E1" s="127">
        <f>E4+E6+E107+E208</f>
        <v>0</v>
      </c>
      <c r="F1" s="136"/>
      <c r="G1" s="136"/>
      <c r="H1" s="131">
        <f>SUMIF($C$4:$C$308,"X",$H$4:$H$308)</f>
        <v>0</v>
      </c>
      <c r="I1" s="131">
        <f>SUMIF($C$4:$C$308,"X",$I$4:$I$308)</f>
        <v>0</v>
      </c>
    </row>
    <row r="2" spans="1:57" s="51" customFormat="1">
      <c r="A2" s="105" t="s">
        <v>35</v>
      </c>
      <c r="B2" s="106" t="s">
        <v>34</v>
      </c>
      <c r="C2" s="106" t="s">
        <v>38</v>
      </c>
      <c r="D2" s="107"/>
      <c r="E2" s="108" t="s">
        <v>17</v>
      </c>
      <c r="F2" s="111"/>
      <c r="G2" s="109"/>
      <c r="H2" s="107"/>
      <c r="I2" s="110"/>
      <c r="J2" s="111" t="s">
        <v>2</v>
      </c>
      <c r="K2" s="110"/>
      <c r="L2" s="110"/>
      <c r="M2" s="112"/>
      <c r="N2" s="60"/>
      <c r="O2" s="60"/>
      <c r="P2" s="60"/>
      <c r="Q2" s="60"/>
    </row>
    <row r="3" spans="1:57" s="51" customFormat="1">
      <c r="A3" s="113"/>
      <c r="B3" s="114"/>
      <c r="C3" s="115"/>
      <c r="D3" s="116" t="s">
        <v>7</v>
      </c>
      <c r="E3" s="116" t="s">
        <v>1</v>
      </c>
      <c r="F3" s="116" t="s">
        <v>312</v>
      </c>
      <c r="G3" s="116" t="s">
        <v>491</v>
      </c>
      <c r="H3" s="116" t="s">
        <v>7</v>
      </c>
      <c r="I3" s="116" t="s">
        <v>1</v>
      </c>
      <c r="J3" s="116" t="s">
        <v>36</v>
      </c>
      <c r="K3" s="116" t="s">
        <v>154</v>
      </c>
      <c r="L3" s="116" t="s">
        <v>134</v>
      </c>
      <c r="M3" s="116" t="s">
        <v>492</v>
      </c>
      <c r="N3" s="60"/>
      <c r="O3" s="60"/>
      <c r="P3" s="60"/>
      <c r="Q3" s="60"/>
    </row>
    <row r="4" spans="1:57">
      <c r="A4" s="92" t="s">
        <v>70</v>
      </c>
      <c r="B4" s="100"/>
      <c r="C4" s="53"/>
      <c r="D4" s="128">
        <f>D5</f>
        <v>0</v>
      </c>
      <c r="E4" s="128">
        <f>E5</f>
        <v>0</v>
      </c>
      <c r="F4" s="163"/>
      <c r="G4" s="62"/>
      <c r="H4" s="62"/>
      <c r="I4" s="62"/>
      <c r="J4" s="62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</row>
    <row r="5" spans="1:57">
      <c r="A5" s="54" t="s">
        <v>69</v>
      </c>
      <c r="B5" s="94" t="s">
        <v>315</v>
      </c>
      <c r="C5" s="55"/>
      <c r="D5" s="63"/>
      <c r="E5" s="63">
        <f>D5</f>
        <v>0</v>
      </c>
      <c r="F5" s="117"/>
      <c r="G5" s="64"/>
      <c r="H5" s="65">
        <f>VLOOKUP(A5,'Thuc te theo thang'!$A$4:$I$309,8,FALSE)</f>
        <v>0</v>
      </c>
      <c r="I5" s="65">
        <f>VLOOKUP(A5,'Thuc te theo thang'!$A$4:$I$309,9,FALSE)</f>
        <v>0</v>
      </c>
      <c r="J5" s="65"/>
      <c r="K5" s="65">
        <f>H5-I5-J5</f>
        <v>0</v>
      </c>
      <c r="L5" s="65"/>
      <c r="M5" s="65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</row>
    <row r="6" spans="1:57">
      <c r="A6" s="92" t="s">
        <v>33</v>
      </c>
      <c r="B6" s="100"/>
      <c r="C6" s="53"/>
      <c r="D6" s="128">
        <f>SUM(D7:D106)</f>
        <v>0</v>
      </c>
      <c r="E6" s="128">
        <f>SUM(E7:E106)</f>
        <v>0</v>
      </c>
      <c r="F6" s="129"/>
      <c r="G6" s="62"/>
      <c r="H6" s="130">
        <f>SUMIF($C$7:$C$106,"x",H7:H106)</f>
        <v>0</v>
      </c>
      <c r="I6" s="130">
        <f>SUMIF($C$7:$C$106,"x",I7:I106)</f>
        <v>0</v>
      </c>
      <c r="J6" s="62"/>
      <c r="K6" s="222">
        <f>SUM(K7:K106)</f>
        <v>0</v>
      </c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54" t="s">
        <v>37</v>
      </c>
      <c r="B7" s="94"/>
      <c r="C7" s="55"/>
      <c r="D7" s="164"/>
      <c r="E7" s="63"/>
      <c r="F7" s="117"/>
      <c r="G7" s="225"/>
      <c r="H7" s="403">
        <f>VLOOKUP(A7,'Thuc te theo thang'!$A$4:$I$309,8,FALSE)</f>
        <v>0</v>
      </c>
      <c r="I7" s="403">
        <f>VLOOKUP(A7,'Thuc te theo thang'!$A$4:$I$309,9,FALSE)</f>
        <v>0</v>
      </c>
      <c r="J7" s="403"/>
      <c r="K7" s="403">
        <f t="shared" ref="K7:K70" si="0">H7-I7-J7</f>
        <v>0</v>
      </c>
      <c r="L7" s="403"/>
      <c r="M7" s="403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54" t="s">
        <v>39</v>
      </c>
      <c r="B8" s="94"/>
      <c r="C8" s="55"/>
      <c r="D8" s="63"/>
      <c r="E8" s="63"/>
      <c r="F8" s="117"/>
      <c r="G8" s="118"/>
      <c r="H8" s="403">
        <f>VLOOKUP(A8,'Thuc te theo thang'!$A$4:$I$309,8,FALSE)</f>
        <v>0</v>
      </c>
      <c r="I8" s="403">
        <f>VLOOKUP(A8,'Thuc te theo thang'!$A$4:$I$309,9,FALSE)</f>
        <v>0</v>
      </c>
      <c r="J8" s="403"/>
      <c r="K8" s="403">
        <f t="shared" si="0"/>
        <v>0</v>
      </c>
      <c r="L8" s="403"/>
      <c r="M8" s="403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54" t="s">
        <v>40</v>
      </c>
      <c r="B9" s="94"/>
      <c r="C9" s="55"/>
      <c r="D9" s="63"/>
      <c r="E9" s="63"/>
      <c r="F9" s="117"/>
      <c r="G9" s="118"/>
      <c r="H9" s="403">
        <f>VLOOKUP(A9,'Thuc te theo thang'!$A$4:$I$309,8,FALSE)</f>
        <v>0</v>
      </c>
      <c r="I9" s="403">
        <f>VLOOKUP(A9,'Thuc te theo thang'!$A$4:$I$309,9,FALSE)</f>
        <v>0</v>
      </c>
      <c r="J9" s="403"/>
      <c r="K9" s="403">
        <f t="shared" si="0"/>
        <v>0</v>
      </c>
      <c r="L9" s="403"/>
      <c r="M9" s="403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54" t="s">
        <v>41</v>
      </c>
      <c r="B10" s="94"/>
      <c r="C10" s="55"/>
      <c r="D10" s="63"/>
      <c r="E10" s="63"/>
      <c r="F10" s="117"/>
      <c r="G10" s="118"/>
      <c r="H10" s="403">
        <f>VLOOKUP(A10,'Thuc te theo thang'!$A$4:$I$309,8,FALSE)</f>
        <v>0</v>
      </c>
      <c r="I10" s="403">
        <f>VLOOKUP(A10,'Thuc te theo thang'!$A$4:$I$309,9,FALSE)</f>
        <v>0</v>
      </c>
      <c r="J10" s="403"/>
      <c r="K10" s="403">
        <f t="shared" si="0"/>
        <v>0</v>
      </c>
      <c r="L10" s="403"/>
      <c r="M10" s="403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 ht="20.25" customHeight="1">
      <c r="A11" s="54" t="s">
        <v>42</v>
      </c>
      <c r="B11" s="94"/>
      <c r="C11" s="55"/>
      <c r="D11" s="63"/>
      <c r="E11" s="63"/>
      <c r="F11" s="117"/>
      <c r="G11" s="118"/>
      <c r="H11" s="403">
        <f>VLOOKUP(A11,'Thuc te theo thang'!$A$4:$I$309,8,FALSE)</f>
        <v>0</v>
      </c>
      <c r="I11" s="403">
        <f>VLOOKUP(A11,'Thuc te theo thang'!$A$4:$I$309,9,FALSE)</f>
        <v>0</v>
      </c>
      <c r="J11" s="403"/>
      <c r="K11" s="403">
        <f t="shared" si="0"/>
        <v>0</v>
      </c>
      <c r="L11" s="403"/>
      <c r="M11" s="403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>
      <c r="A12" s="54" t="s">
        <v>43</v>
      </c>
      <c r="B12" s="94"/>
      <c r="C12" s="55"/>
      <c r="D12" s="63"/>
      <c r="E12" s="63"/>
      <c r="F12" s="117"/>
      <c r="G12" s="118"/>
      <c r="H12" s="403">
        <f>VLOOKUP(A12,'Thuc te theo thang'!$A$4:$I$309,8,FALSE)</f>
        <v>0</v>
      </c>
      <c r="I12" s="403">
        <f>VLOOKUP(A12,'Thuc te theo thang'!$A$4:$I$309,9,FALSE)</f>
        <v>0</v>
      </c>
      <c r="J12" s="403"/>
      <c r="K12" s="403">
        <f t="shared" si="0"/>
        <v>0</v>
      </c>
      <c r="L12" s="403"/>
      <c r="M12" s="403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>
      <c r="A13" s="54" t="s">
        <v>44</v>
      </c>
      <c r="B13" s="94"/>
      <c r="C13" s="55"/>
      <c r="D13" s="63"/>
      <c r="E13" s="63"/>
      <c r="F13" s="117"/>
      <c r="G13" s="118"/>
      <c r="H13" s="403">
        <f>VLOOKUP(A13,'Thuc te theo thang'!$A$4:$I$309,8,FALSE)</f>
        <v>0</v>
      </c>
      <c r="I13" s="403">
        <f>VLOOKUP(A13,'Thuc te theo thang'!$A$4:$I$309,9,FALSE)</f>
        <v>0</v>
      </c>
      <c r="J13" s="403"/>
      <c r="K13" s="403">
        <f t="shared" si="0"/>
        <v>0</v>
      </c>
      <c r="L13" s="403"/>
      <c r="M13" s="403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</row>
    <row r="14" spans="1:57">
      <c r="A14" s="54" t="s">
        <v>45</v>
      </c>
      <c r="B14" s="94"/>
      <c r="C14" s="55"/>
      <c r="D14" s="63"/>
      <c r="E14" s="63"/>
      <c r="F14" s="117"/>
      <c r="G14" s="117"/>
      <c r="H14" s="403">
        <f>VLOOKUP(A14,'Thuc te theo thang'!$A$4:$I$309,8,FALSE)</f>
        <v>0</v>
      </c>
      <c r="I14" s="403">
        <f>VLOOKUP(A14,'Thuc te theo thang'!$A$4:$I$309,9,FALSE)</f>
        <v>0</v>
      </c>
      <c r="J14" s="403"/>
      <c r="K14" s="403">
        <f t="shared" si="0"/>
        <v>0</v>
      </c>
      <c r="L14" s="403"/>
      <c r="M14" s="403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</row>
    <row r="15" spans="1:57">
      <c r="A15" s="54" t="s">
        <v>46</v>
      </c>
      <c r="B15" s="94"/>
      <c r="C15" s="55"/>
      <c r="D15" s="63"/>
      <c r="E15" s="63"/>
      <c r="F15" s="117"/>
      <c r="G15" s="118"/>
      <c r="H15" s="403">
        <f>VLOOKUP(A15,'Thuc te theo thang'!$A$4:$I$309,8,FALSE)</f>
        <v>0</v>
      </c>
      <c r="I15" s="403">
        <f>VLOOKUP(A15,'Thuc te theo thang'!$A$4:$I$309,9,FALSE)</f>
        <v>0</v>
      </c>
      <c r="J15" s="403"/>
      <c r="K15" s="403">
        <f t="shared" si="0"/>
        <v>0</v>
      </c>
      <c r="L15" s="403"/>
      <c r="M15" s="403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54" t="s">
        <v>47</v>
      </c>
      <c r="B16" s="94"/>
      <c r="C16" s="55"/>
      <c r="D16" s="63"/>
      <c r="E16" s="63"/>
      <c r="F16" s="117"/>
      <c r="G16" s="117"/>
      <c r="H16" s="403">
        <f>VLOOKUP(A16,'Thuc te theo thang'!$A$4:$I$309,8,FALSE)</f>
        <v>0</v>
      </c>
      <c r="I16" s="403">
        <f>VLOOKUP(A16,'Thuc te theo thang'!$A$4:$I$309,9,FALSE)</f>
        <v>0</v>
      </c>
      <c r="J16" s="403"/>
      <c r="K16" s="403">
        <f t="shared" si="0"/>
        <v>0</v>
      </c>
      <c r="L16" s="403"/>
      <c r="M16" s="403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 ht="18.75" customHeight="1">
      <c r="A17" s="54" t="s">
        <v>48</v>
      </c>
      <c r="B17" s="94"/>
      <c r="C17" s="55"/>
      <c r="D17" s="63"/>
      <c r="E17" s="63"/>
      <c r="F17" s="117"/>
      <c r="G17" s="118"/>
      <c r="H17" s="403">
        <f>VLOOKUP(A17,'Thuc te theo thang'!$A$4:$I$309,8,FALSE)</f>
        <v>0</v>
      </c>
      <c r="I17" s="403">
        <f>VLOOKUP(A17,'Thuc te theo thang'!$A$4:$I$309,9,FALSE)</f>
        <v>0</v>
      </c>
      <c r="J17" s="403"/>
      <c r="K17" s="403">
        <f t="shared" si="0"/>
        <v>0</v>
      </c>
      <c r="L17" s="403"/>
      <c r="M17" s="403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54" t="s">
        <v>49</v>
      </c>
      <c r="B18" s="94"/>
      <c r="C18" s="55"/>
      <c r="D18" s="63"/>
      <c r="E18" s="63"/>
      <c r="F18" s="117"/>
      <c r="G18" s="226"/>
      <c r="H18" s="403">
        <f>VLOOKUP(A18,'Thuc te theo thang'!$A$4:$I$309,8,FALSE)</f>
        <v>0</v>
      </c>
      <c r="I18" s="403">
        <f>VLOOKUP(A18,'Thuc te theo thang'!$A$4:$I$309,9,FALSE)</f>
        <v>0</v>
      </c>
      <c r="J18" s="403"/>
      <c r="K18" s="403">
        <f t="shared" si="0"/>
        <v>0</v>
      </c>
      <c r="L18" s="403"/>
      <c r="M18" s="403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 ht="20.25" customHeight="1">
      <c r="A19" s="54" t="s">
        <v>50</v>
      </c>
      <c r="B19" s="94"/>
      <c r="C19" s="55"/>
      <c r="D19" s="63"/>
      <c r="E19" s="63"/>
      <c r="F19" s="117"/>
      <c r="G19" s="117"/>
      <c r="H19" s="403">
        <f>VLOOKUP(A19,'Thuc te theo thang'!$A$4:$I$309,8,FALSE)</f>
        <v>0</v>
      </c>
      <c r="I19" s="403">
        <f>VLOOKUP(A19,'Thuc te theo thang'!$A$4:$I$309,9,FALSE)</f>
        <v>0</v>
      </c>
      <c r="J19" s="403"/>
      <c r="K19" s="403">
        <f t="shared" si="0"/>
        <v>0</v>
      </c>
      <c r="L19" s="403"/>
      <c r="M19" s="403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54" t="s">
        <v>51</v>
      </c>
      <c r="B20" s="94"/>
      <c r="C20" s="55"/>
      <c r="D20" s="63"/>
      <c r="E20" s="63"/>
      <c r="F20" s="117"/>
      <c r="G20" s="117"/>
      <c r="H20" s="403">
        <f>VLOOKUP(A20,'Thuc te theo thang'!$A$4:$I$309,8,FALSE)</f>
        <v>0</v>
      </c>
      <c r="I20" s="403">
        <f>VLOOKUP(A20,'Thuc te theo thang'!$A$4:$I$309,9,FALSE)</f>
        <v>0</v>
      </c>
      <c r="J20" s="403"/>
      <c r="K20" s="403">
        <f t="shared" si="0"/>
        <v>0</v>
      </c>
      <c r="L20" s="403"/>
      <c r="M20" s="403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 ht="20.25" customHeight="1">
      <c r="A21" s="54" t="s">
        <v>52</v>
      </c>
      <c r="B21" s="94"/>
      <c r="C21" s="55"/>
      <c r="D21" s="63"/>
      <c r="E21" s="63"/>
      <c r="F21" s="117"/>
      <c r="G21" s="117"/>
      <c r="H21" s="403">
        <f>VLOOKUP(A21,'Thuc te theo thang'!$A$4:$I$309,8,FALSE)</f>
        <v>0</v>
      </c>
      <c r="I21" s="403">
        <f>VLOOKUP(A21,'Thuc te theo thang'!$A$4:$I$309,9,FALSE)</f>
        <v>0</v>
      </c>
      <c r="J21" s="403"/>
      <c r="K21" s="403">
        <f t="shared" si="0"/>
        <v>0</v>
      </c>
      <c r="L21" s="403"/>
      <c r="M21" s="403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>
      <c r="A22" s="54" t="s">
        <v>73</v>
      </c>
      <c r="B22" s="94"/>
      <c r="C22" s="55"/>
      <c r="D22" s="63"/>
      <c r="E22" s="63"/>
      <c r="F22" s="117"/>
      <c r="G22" s="118"/>
      <c r="H22" s="403">
        <f>VLOOKUP(A22,'Thuc te theo thang'!$A$4:$I$309,8,FALSE)</f>
        <v>0</v>
      </c>
      <c r="I22" s="403">
        <f>VLOOKUP(A22,'Thuc te theo thang'!$A$4:$I$309,9,FALSE)</f>
        <v>0</v>
      </c>
      <c r="J22" s="403"/>
      <c r="K22" s="403">
        <f t="shared" si="0"/>
        <v>0</v>
      </c>
      <c r="L22" s="403"/>
      <c r="M22" s="403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</row>
    <row r="23" spans="1:57" ht="20.25" customHeight="1">
      <c r="A23" s="54" t="s">
        <v>74</v>
      </c>
      <c r="B23" s="94"/>
      <c r="C23" s="55"/>
      <c r="D23" s="63"/>
      <c r="E23" s="63"/>
      <c r="F23" s="117"/>
      <c r="G23" s="118"/>
      <c r="H23" s="403">
        <f>VLOOKUP(A23,'Thuc te theo thang'!$A$4:$I$309,8,FALSE)</f>
        <v>0</v>
      </c>
      <c r="I23" s="403">
        <f>VLOOKUP(A23,'Thuc te theo thang'!$A$4:$I$309,9,FALSE)</f>
        <v>0</v>
      </c>
      <c r="J23" s="403"/>
      <c r="K23" s="403">
        <f t="shared" si="0"/>
        <v>0</v>
      </c>
      <c r="L23" s="403"/>
      <c r="M23" s="403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</row>
    <row r="24" spans="1:57" ht="20.25" customHeight="1">
      <c r="A24" s="54" t="s">
        <v>75</v>
      </c>
      <c r="B24" s="94"/>
      <c r="C24" s="55"/>
      <c r="D24" s="63"/>
      <c r="E24" s="63"/>
      <c r="F24" s="117"/>
      <c r="G24" s="117"/>
      <c r="H24" s="403">
        <f>VLOOKUP(A24,'Thuc te theo thang'!$A$4:$I$309,8,FALSE)</f>
        <v>0</v>
      </c>
      <c r="I24" s="403">
        <f>VLOOKUP(A24,'Thuc te theo thang'!$A$4:$I$309,9,FALSE)</f>
        <v>0</v>
      </c>
      <c r="J24" s="403"/>
      <c r="K24" s="403">
        <f t="shared" si="0"/>
        <v>0</v>
      </c>
      <c r="L24" s="403"/>
      <c r="M24" s="403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54" t="s">
        <v>76</v>
      </c>
      <c r="B25" s="94"/>
      <c r="C25" s="55"/>
      <c r="D25" s="63"/>
      <c r="E25" s="63"/>
      <c r="F25" s="117"/>
      <c r="G25" s="118"/>
      <c r="H25" s="403">
        <f>VLOOKUP(A25,'Thuc te theo thang'!$A$4:$I$309,8,FALSE)</f>
        <v>0</v>
      </c>
      <c r="I25" s="403">
        <f>VLOOKUP(A25,'Thuc te theo thang'!$A$4:$I$309,9,FALSE)</f>
        <v>0</v>
      </c>
      <c r="J25" s="403"/>
      <c r="K25" s="403">
        <f t="shared" si="0"/>
        <v>0</v>
      </c>
      <c r="L25" s="403"/>
      <c r="M25" s="403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54" t="s">
        <v>77</v>
      </c>
      <c r="B26" s="94"/>
      <c r="C26" s="55"/>
      <c r="D26" s="63"/>
      <c r="E26" s="63"/>
      <c r="F26" s="117"/>
      <c r="G26" s="117"/>
      <c r="H26" s="403">
        <f>VLOOKUP(A26,'Thuc te theo thang'!$A$4:$I$309,8,FALSE)</f>
        <v>0</v>
      </c>
      <c r="I26" s="403">
        <f>VLOOKUP(A26,'Thuc te theo thang'!$A$4:$I$309,9,FALSE)</f>
        <v>0</v>
      </c>
      <c r="J26" s="403"/>
      <c r="K26" s="403">
        <f t="shared" si="0"/>
        <v>0</v>
      </c>
      <c r="L26" s="403"/>
      <c r="M26" s="403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54" t="s">
        <v>78</v>
      </c>
      <c r="B27" s="94"/>
      <c r="C27" s="55"/>
      <c r="D27" s="63"/>
      <c r="E27" s="63"/>
      <c r="F27" s="117"/>
      <c r="G27" s="118"/>
      <c r="H27" s="403">
        <f>VLOOKUP(A27,'Thuc te theo thang'!$A$4:$I$309,8,FALSE)</f>
        <v>0</v>
      </c>
      <c r="I27" s="403">
        <f>VLOOKUP(A27,'Thuc te theo thang'!$A$4:$I$309,9,FALSE)</f>
        <v>0</v>
      </c>
      <c r="J27" s="403"/>
      <c r="K27" s="403">
        <f t="shared" si="0"/>
        <v>0</v>
      </c>
      <c r="L27" s="404"/>
      <c r="M27" s="40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54" t="s">
        <v>79</v>
      </c>
      <c r="B28" s="94"/>
      <c r="C28" s="55"/>
      <c r="D28" s="63"/>
      <c r="E28" s="63"/>
      <c r="F28" s="117"/>
      <c r="G28" s="118"/>
      <c r="H28" s="403">
        <f>VLOOKUP(A28,'Thuc te theo thang'!$A$4:$I$309,8,FALSE)</f>
        <v>0</v>
      </c>
      <c r="I28" s="403">
        <f>VLOOKUP(A28,'Thuc te theo thang'!$A$4:$I$309,9,FALSE)</f>
        <v>0</v>
      </c>
      <c r="J28" s="403"/>
      <c r="K28" s="403">
        <f t="shared" si="0"/>
        <v>0</v>
      </c>
      <c r="L28" s="403"/>
      <c r="M28" s="403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54" t="s">
        <v>80</v>
      </c>
      <c r="B29" s="94"/>
      <c r="C29" s="55"/>
      <c r="D29" s="63"/>
      <c r="E29" s="63"/>
      <c r="F29" s="117"/>
      <c r="G29" s="118"/>
      <c r="H29" s="403">
        <f>VLOOKUP(A29,'Thuc te theo thang'!$A$4:$I$309,8,FALSE)</f>
        <v>0</v>
      </c>
      <c r="I29" s="403">
        <f>VLOOKUP(A29,'Thuc te theo thang'!$A$4:$I$309,9,FALSE)</f>
        <v>0</v>
      </c>
      <c r="J29" s="403"/>
      <c r="K29" s="403">
        <f t="shared" si="0"/>
        <v>0</v>
      </c>
      <c r="L29" s="403"/>
      <c r="M29" s="403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54" t="s">
        <v>81</v>
      </c>
      <c r="B30" s="94"/>
      <c r="C30" s="55"/>
      <c r="D30" s="63"/>
      <c r="E30" s="63"/>
      <c r="F30" s="117"/>
      <c r="G30" s="118"/>
      <c r="H30" s="403">
        <f>VLOOKUP(A30,'Thuc te theo thang'!$A$4:$I$309,8,FALSE)</f>
        <v>0</v>
      </c>
      <c r="I30" s="403">
        <f>VLOOKUP(A30,'Thuc te theo thang'!$A$4:$I$309,9,FALSE)</f>
        <v>0</v>
      </c>
      <c r="J30" s="403"/>
      <c r="K30" s="403">
        <f t="shared" si="0"/>
        <v>0</v>
      </c>
      <c r="L30" s="403"/>
      <c r="M30" s="403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54" t="s">
        <v>82</v>
      </c>
      <c r="B31" s="94"/>
      <c r="C31" s="55"/>
      <c r="D31" s="63"/>
      <c r="E31" s="63"/>
      <c r="F31" s="117"/>
      <c r="G31" s="117"/>
      <c r="H31" s="403">
        <f>VLOOKUP(A31,'Thuc te theo thang'!$A$4:$I$309,8,FALSE)</f>
        <v>0</v>
      </c>
      <c r="I31" s="403">
        <f>VLOOKUP(A31,'Thuc te theo thang'!$A$4:$I$309,9,FALSE)</f>
        <v>0</v>
      </c>
      <c r="J31" s="403"/>
      <c r="K31" s="403">
        <f t="shared" si="0"/>
        <v>0</v>
      </c>
      <c r="L31" s="403"/>
      <c r="M31" s="403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54" t="s">
        <v>83</v>
      </c>
      <c r="B32" s="94"/>
      <c r="C32" s="55"/>
      <c r="D32" s="173"/>
      <c r="E32" s="63"/>
      <c r="F32" s="117"/>
      <c r="G32" s="118"/>
      <c r="H32" s="403">
        <f>VLOOKUP(A32,'Thuc te theo thang'!$A$4:$I$309,8,FALSE)</f>
        <v>0</v>
      </c>
      <c r="I32" s="403">
        <f>VLOOKUP(A32,'Thuc te theo thang'!$A$4:$I$309,9,FALSE)</f>
        <v>0</v>
      </c>
      <c r="J32" s="403"/>
      <c r="K32" s="403">
        <f t="shared" si="0"/>
        <v>0</v>
      </c>
      <c r="L32" s="403"/>
      <c r="M32" s="40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54" t="s">
        <v>84</v>
      </c>
      <c r="B33" s="94"/>
      <c r="C33" s="55"/>
      <c r="D33" s="173"/>
      <c r="E33" s="63"/>
      <c r="F33" s="117"/>
      <c r="G33" s="118"/>
      <c r="H33" s="403">
        <f>VLOOKUP(A33,'Thuc te theo thang'!$A$4:$I$309,8,FALSE)</f>
        <v>0</v>
      </c>
      <c r="I33" s="403">
        <f>VLOOKUP(A33,'Thuc te theo thang'!$A$4:$I$309,9,FALSE)</f>
        <v>0</v>
      </c>
      <c r="J33" s="403"/>
      <c r="K33" s="403">
        <f t="shared" si="0"/>
        <v>0</v>
      </c>
      <c r="L33" s="403"/>
      <c r="M33" s="403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54" t="s">
        <v>85</v>
      </c>
      <c r="B34" s="94"/>
      <c r="C34" s="55"/>
      <c r="D34" s="63"/>
      <c r="E34" s="63"/>
      <c r="F34" s="117"/>
      <c r="G34" s="64"/>
      <c r="H34" s="403">
        <f>VLOOKUP(A34,'Thuc te theo thang'!$A$4:$I$309,8,FALSE)</f>
        <v>0</v>
      </c>
      <c r="I34" s="403">
        <f>VLOOKUP(A34,'Thuc te theo thang'!$A$4:$I$309,9,FALSE)</f>
        <v>0</v>
      </c>
      <c r="J34" s="403"/>
      <c r="K34" s="403">
        <f t="shared" si="0"/>
        <v>0</v>
      </c>
      <c r="L34" s="403"/>
      <c r="M34" s="403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54" t="s">
        <v>86</v>
      </c>
      <c r="B35" s="94"/>
      <c r="C35" s="55"/>
      <c r="D35" s="63"/>
      <c r="E35" s="63"/>
      <c r="F35" s="117"/>
      <c r="G35" s="118"/>
      <c r="H35" s="403">
        <f>VLOOKUP(A35,'Thuc te theo thang'!$A$4:$I$309,8,FALSE)</f>
        <v>0</v>
      </c>
      <c r="I35" s="403">
        <f>VLOOKUP(A35,'Thuc te theo thang'!$A$4:$I$309,9,FALSE)</f>
        <v>0</v>
      </c>
      <c r="J35" s="403"/>
      <c r="K35" s="403">
        <f t="shared" si="0"/>
        <v>0</v>
      </c>
      <c r="L35" s="403"/>
      <c r="M35" s="403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>
      <c r="A36" s="54" t="s">
        <v>87</v>
      </c>
      <c r="B36" s="94"/>
      <c r="C36" s="55"/>
      <c r="D36" s="63"/>
      <c r="E36" s="63"/>
      <c r="F36" s="117"/>
      <c r="G36" s="64"/>
      <c r="H36" s="403">
        <f>VLOOKUP(A36,'Thuc te theo thang'!$A$4:$I$309,8,FALSE)</f>
        <v>0</v>
      </c>
      <c r="I36" s="403">
        <f>VLOOKUP(A36,'Thuc te theo thang'!$A$4:$I$309,9,FALSE)</f>
        <v>0</v>
      </c>
      <c r="J36" s="403"/>
      <c r="K36" s="403">
        <f t="shared" si="0"/>
        <v>0</v>
      </c>
      <c r="L36" s="403"/>
      <c r="M36" s="403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>
      <c r="A37" s="54" t="s">
        <v>103</v>
      </c>
      <c r="B37" s="94"/>
      <c r="C37" s="55"/>
      <c r="D37" s="63"/>
      <c r="E37" s="63"/>
      <c r="F37" s="117"/>
      <c r="G37" s="64"/>
      <c r="H37" s="403">
        <f>VLOOKUP(A37,'Thuc te theo thang'!$A$4:$I$309,8,FALSE)</f>
        <v>0</v>
      </c>
      <c r="I37" s="403">
        <f>VLOOKUP(A37,'Thuc te theo thang'!$A$4:$I$309,9,FALSE)</f>
        <v>0</v>
      </c>
      <c r="J37" s="403"/>
      <c r="K37" s="403">
        <f t="shared" si="0"/>
        <v>0</v>
      </c>
      <c r="L37" s="403"/>
      <c r="M37" s="403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>
      <c r="A38" s="54" t="s">
        <v>104</v>
      </c>
      <c r="B38" s="57"/>
      <c r="C38" s="55"/>
      <c r="D38" s="63"/>
      <c r="E38" s="63"/>
      <c r="F38" s="117"/>
      <c r="G38" s="64"/>
      <c r="H38" s="403">
        <f>VLOOKUP(A38,'Thuc te theo thang'!$A$4:$I$309,8,FALSE)</f>
        <v>0</v>
      </c>
      <c r="I38" s="403">
        <f>VLOOKUP(A38,'Thuc te theo thang'!$A$4:$I$309,9,FALSE)</f>
        <v>0</v>
      </c>
      <c r="J38" s="403"/>
      <c r="K38" s="403">
        <f t="shared" si="0"/>
        <v>0</v>
      </c>
      <c r="L38" s="403"/>
      <c r="M38" s="40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54" t="s">
        <v>105</v>
      </c>
      <c r="B39" s="94"/>
      <c r="C39" s="55"/>
      <c r="D39" s="63"/>
      <c r="E39" s="63"/>
      <c r="F39" s="117"/>
      <c r="G39" s="64"/>
      <c r="H39" s="403">
        <f>VLOOKUP(A39,'Thuc te theo thang'!$A$4:$I$309,8,FALSE)</f>
        <v>0</v>
      </c>
      <c r="I39" s="403">
        <f>VLOOKUP(A39,'Thuc te theo thang'!$A$4:$I$309,9,FALSE)</f>
        <v>0</v>
      </c>
      <c r="J39" s="403"/>
      <c r="K39" s="403">
        <f t="shared" si="0"/>
        <v>0</v>
      </c>
      <c r="L39" s="403"/>
      <c r="M39" s="403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54" t="s">
        <v>106</v>
      </c>
      <c r="B40" s="94"/>
      <c r="C40" s="55"/>
      <c r="D40" s="63"/>
      <c r="E40" s="63"/>
      <c r="F40" s="117"/>
      <c r="G40" s="64"/>
      <c r="H40" s="403">
        <f>VLOOKUP(A40,'Thuc te theo thang'!$A$4:$I$309,8,FALSE)</f>
        <v>0</v>
      </c>
      <c r="I40" s="403">
        <f>VLOOKUP(A40,'Thuc te theo thang'!$A$4:$I$309,9,FALSE)</f>
        <v>0</v>
      </c>
      <c r="J40" s="403"/>
      <c r="K40" s="403">
        <f t="shared" si="0"/>
        <v>0</v>
      </c>
      <c r="L40" s="403"/>
      <c r="M40" s="403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54" t="s">
        <v>107</v>
      </c>
      <c r="B41" s="94"/>
      <c r="C41" s="55"/>
      <c r="D41" s="63"/>
      <c r="E41" s="63"/>
      <c r="F41" s="117"/>
      <c r="G41" s="63"/>
      <c r="H41" s="403">
        <f>VLOOKUP(A41,'Thuc te theo thang'!$A$4:$I$309,8,FALSE)</f>
        <v>0</v>
      </c>
      <c r="I41" s="403">
        <f>VLOOKUP(A41,'Thuc te theo thang'!$A$4:$I$309,9,FALSE)</f>
        <v>0</v>
      </c>
      <c r="J41" s="403"/>
      <c r="K41" s="403">
        <f t="shared" si="0"/>
        <v>0</v>
      </c>
      <c r="L41" s="403"/>
      <c r="M41" s="403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54" t="s">
        <v>108</v>
      </c>
      <c r="B42" s="94"/>
      <c r="C42" s="55"/>
      <c r="D42" s="63"/>
      <c r="E42" s="63"/>
      <c r="F42" s="117"/>
      <c r="G42" s="63"/>
      <c r="H42" s="403">
        <f>VLOOKUP(A42,'Thuc te theo thang'!$A$4:$I$309,8,FALSE)</f>
        <v>0</v>
      </c>
      <c r="I42" s="403">
        <f>VLOOKUP(A42,'Thuc te theo thang'!$A$4:$I$309,9,FALSE)</f>
        <v>0</v>
      </c>
      <c r="J42" s="403"/>
      <c r="K42" s="403">
        <f t="shared" si="0"/>
        <v>0</v>
      </c>
      <c r="L42" s="403"/>
      <c r="M42" s="403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54" t="s">
        <v>109</v>
      </c>
      <c r="B43" s="57"/>
      <c r="C43" s="55"/>
      <c r="D43" s="63"/>
      <c r="E43" s="63"/>
      <c r="F43" s="117"/>
      <c r="G43" s="101"/>
      <c r="H43" s="403">
        <f>VLOOKUP(A43,'Thuc te theo thang'!$A$4:$I$309,8,FALSE)</f>
        <v>0</v>
      </c>
      <c r="I43" s="403">
        <f>VLOOKUP(A43,'Thuc te theo thang'!$A$4:$I$309,9,FALSE)</f>
        <v>0</v>
      </c>
      <c r="J43" s="403"/>
      <c r="K43" s="403">
        <f t="shared" si="0"/>
        <v>0</v>
      </c>
      <c r="L43" s="403"/>
      <c r="M43" s="403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54" t="s">
        <v>110</v>
      </c>
      <c r="B44" s="94"/>
      <c r="C44" s="55"/>
      <c r="D44" s="63"/>
      <c r="E44" s="63"/>
      <c r="F44" s="117"/>
      <c r="G44" s="63"/>
      <c r="H44" s="403">
        <f>VLOOKUP(A44,'Thuc te theo thang'!$A$4:$I$309,8,FALSE)</f>
        <v>0</v>
      </c>
      <c r="I44" s="403">
        <f>VLOOKUP(A44,'Thuc te theo thang'!$A$4:$I$309,9,FALSE)</f>
        <v>0</v>
      </c>
      <c r="J44" s="403"/>
      <c r="K44" s="403">
        <f t="shared" si="0"/>
        <v>0</v>
      </c>
      <c r="L44" s="403"/>
      <c r="M44" s="403"/>
      <c r="N44" s="74"/>
      <c r="O44" s="74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54" t="s">
        <v>111</v>
      </c>
      <c r="B45" s="94"/>
      <c r="C45" s="55"/>
      <c r="D45" s="63"/>
      <c r="E45" s="63"/>
      <c r="F45" s="118"/>
      <c r="G45" s="64"/>
      <c r="H45" s="403">
        <f>VLOOKUP(A45,'Thuc te theo thang'!$A$4:$I$309,8,FALSE)</f>
        <v>0</v>
      </c>
      <c r="I45" s="403">
        <f>VLOOKUP(A45,'Thuc te theo thang'!$A$4:$I$309,9,FALSE)</f>
        <v>0</v>
      </c>
      <c r="J45" s="403"/>
      <c r="K45" s="403">
        <f t="shared" si="0"/>
        <v>0</v>
      </c>
      <c r="L45" s="403"/>
      <c r="M45" s="403"/>
      <c r="N45" s="74"/>
      <c r="O45" s="74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54" t="s">
        <v>112</v>
      </c>
      <c r="B46" s="57"/>
      <c r="C46" s="55"/>
      <c r="D46" s="63"/>
      <c r="E46" s="63"/>
      <c r="F46" s="118"/>
      <c r="G46" s="64"/>
      <c r="H46" s="403">
        <f>VLOOKUP(A46,'Thuc te theo thang'!$A$4:$I$309,8,FALSE)</f>
        <v>0</v>
      </c>
      <c r="I46" s="403">
        <f>VLOOKUP(A46,'Thuc te theo thang'!$A$4:$I$309,9,FALSE)</f>
        <v>0</v>
      </c>
      <c r="J46" s="403"/>
      <c r="K46" s="403">
        <f t="shared" si="0"/>
        <v>0</v>
      </c>
      <c r="L46" s="403"/>
      <c r="M46" s="403"/>
      <c r="N46" s="74"/>
      <c r="O46" s="74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54" t="s">
        <v>196</v>
      </c>
      <c r="B47" s="57"/>
      <c r="C47" s="55"/>
      <c r="D47" s="63"/>
      <c r="E47" s="63"/>
      <c r="F47" s="117"/>
      <c r="G47" s="63"/>
      <c r="H47" s="403">
        <f>VLOOKUP(A47,'Thuc te theo thang'!$A$4:$I$309,8,FALSE)</f>
        <v>0</v>
      </c>
      <c r="I47" s="403">
        <f>VLOOKUP(A47,'Thuc te theo thang'!$A$4:$I$309,9,FALSE)</f>
        <v>0</v>
      </c>
      <c r="J47" s="403"/>
      <c r="K47" s="403">
        <f t="shared" si="0"/>
        <v>0</v>
      </c>
      <c r="L47" s="403"/>
      <c r="M47" s="403"/>
      <c r="N47" s="74"/>
      <c r="O47" s="74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54" t="s">
        <v>197</v>
      </c>
      <c r="B48" s="57"/>
      <c r="C48" s="55"/>
      <c r="D48" s="63"/>
      <c r="E48" s="63"/>
      <c r="F48" s="117"/>
      <c r="G48" s="63"/>
      <c r="H48" s="403">
        <f>VLOOKUP(A48,'Thuc te theo thang'!$A$4:$I$309,8,FALSE)</f>
        <v>0</v>
      </c>
      <c r="I48" s="403">
        <f>VLOOKUP(A48,'Thuc te theo thang'!$A$4:$I$309,9,FALSE)</f>
        <v>0</v>
      </c>
      <c r="J48" s="403"/>
      <c r="K48" s="403">
        <f t="shared" si="0"/>
        <v>0</v>
      </c>
      <c r="L48" s="403"/>
      <c r="M48" s="403"/>
      <c r="N48" s="74"/>
      <c r="O48" s="74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54" t="s">
        <v>198</v>
      </c>
      <c r="B49" s="57"/>
      <c r="C49" s="55"/>
      <c r="D49" s="63"/>
      <c r="E49" s="63"/>
      <c r="F49" s="117"/>
      <c r="G49" s="63"/>
      <c r="H49" s="403">
        <f>VLOOKUP(A49,'Thuc te theo thang'!$A$4:$I$309,8,FALSE)</f>
        <v>0</v>
      </c>
      <c r="I49" s="403">
        <f>VLOOKUP(A49,'Thuc te theo thang'!$A$4:$I$309,9,FALSE)</f>
        <v>0</v>
      </c>
      <c r="J49" s="403"/>
      <c r="K49" s="403">
        <f t="shared" si="0"/>
        <v>0</v>
      </c>
      <c r="L49" s="403"/>
      <c r="M49" s="403"/>
      <c r="N49" s="74"/>
      <c r="O49" s="74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  <row r="50" spans="1:57">
      <c r="A50" s="54" t="s">
        <v>199</v>
      </c>
      <c r="B50" s="71"/>
      <c r="C50" s="55"/>
      <c r="D50" s="63"/>
      <c r="E50" s="63"/>
      <c r="F50" s="117"/>
      <c r="G50" s="64"/>
      <c r="H50" s="403">
        <f>VLOOKUP(A50,'Thuc te theo thang'!$A$4:$I$309,8,FALSE)</f>
        <v>0</v>
      </c>
      <c r="I50" s="403">
        <f>VLOOKUP(A50,'Thuc te theo thang'!$A$4:$I$309,9,FALSE)</f>
        <v>0</v>
      </c>
      <c r="J50" s="403"/>
      <c r="K50" s="403">
        <f t="shared" si="0"/>
        <v>0</v>
      </c>
      <c r="L50" s="403"/>
      <c r="M50" s="403"/>
      <c r="N50" s="74"/>
      <c r="O50" s="74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</row>
    <row r="51" spans="1:57">
      <c r="A51" s="54" t="s">
        <v>200</v>
      </c>
      <c r="B51" s="71"/>
      <c r="C51" s="55"/>
      <c r="D51" s="63"/>
      <c r="E51" s="63"/>
      <c r="F51" s="117"/>
      <c r="G51" s="64"/>
      <c r="H51" s="403">
        <f>VLOOKUP(A51,'Thuc te theo thang'!$A$4:$I$309,8,FALSE)</f>
        <v>0</v>
      </c>
      <c r="I51" s="403">
        <f>VLOOKUP(A51,'Thuc te theo thang'!$A$4:$I$309,9,FALSE)</f>
        <v>0</v>
      </c>
      <c r="J51" s="403"/>
      <c r="K51" s="403">
        <f t="shared" si="0"/>
        <v>0</v>
      </c>
      <c r="L51" s="403"/>
      <c r="M51" s="403"/>
      <c r="N51" s="74"/>
      <c r="O51" s="74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</row>
    <row r="52" spans="1:57">
      <c r="A52" s="54" t="s">
        <v>201</v>
      </c>
      <c r="B52" s="57"/>
      <c r="C52" s="55"/>
      <c r="D52" s="63"/>
      <c r="E52" s="63"/>
      <c r="F52" s="117"/>
      <c r="G52" s="64"/>
      <c r="H52" s="403">
        <f>VLOOKUP(A52,'Thuc te theo thang'!$A$4:$I$309,8,FALSE)</f>
        <v>0</v>
      </c>
      <c r="I52" s="403">
        <f>VLOOKUP(A52,'Thuc te theo thang'!$A$4:$I$309,9,FALSE)</f>
        <v>0</v>
      </c>
      <c r="J52" s="403"/>
      <c r="K52" s="403">
        <f t="shared" si="0"/>
        <v>0</v>
      </c>
      <c r="L52" s="403"/>
      <c r="M52" s="403"/>
      <c r="N52" s="74"/>
      <c r="O52" s="74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</row>
    <row r="53" spans="1:57">
      <c r="A53" s="54" t="s">
        <v>202</v>
      </c>
      <c r="B53" s="57"/>
      <c r="C53" s="55"/>
      <c r="D53" s="63"/>
      <c r="E53" s="63"/>
      <c r="F53" s="117"/>
      <c r="G53" s="64"/>
      <c r="H53" s="403">
        <f>VLOOKUP(A53,'Thuc te theo thang'!$A$4:$I$309,8,FALSE)</f>
        <v>0</v>
      </c>
      <c r="I53" s="403">
        <f>VLOOKUP(A53,'Thuc te theo thang'!$A$4:$I$309,9,FALSE)</f>
        <v>0</v>
      </c>
      <c r="J53" s="403"/>
      <c r="K53" s="403">
        <f t="shared" si="0"/>
        <v>0</v>
      </c>
      <c r="L53" s="403"/>
      <c r="M53" s="403"/>
      <c r="N53" s="74"/>
      <c r="O53" s="74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</row>
    <row r="54" spans="1:57">
      <c r="A54" s="54" t="s">
        <v>203</v>
      </c>
      <c r="B54" s="57"/>
      <c r="C54" s="55"/>
      <c r="D54" s="63"/>
      <c r="E54" s="63"/>
      <c r="F54" s="117"/>
      <c r="G54" s="64"/>
      <c r="H54" s="403">
        <f>VLOOKUP(A54,'Thuc te theo thang'!$A$4:$I$309,8,FALSE)</f>
        <v>0</v>
      </c>
      <c r="I54" s="403">
        <f>VLOOKUP(A54,'Thuc te theo thang'!$A$4:$I$309,9,FALSE)</f>
        <v>0</v>
      </c>
      <c r="J54" s="403"/>
      <c r="K54" s="403">
        <f t="shared" si="0"/>
        <v>0</v>
      </c>
      <c r="L54" s="403"/>
      <c r="M54" s="403"/>
      <c r="N54" s="74"/>
      <c r="O54" s="74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</row>
    <row r="55" spans="1:57">
      <c r="A55" s="54" t="s">
        <v>204</v>
      </c>
      <c r="B55" s="161"/>
      <c r="C55" s="55"/>
      <c r="D55" s="63"/>
      <c r="E55" s="63"/>
      <c r="F55" s="117"/>
      <c r="G55" s="64"/>
      <c r="H55" s="403">
        <f>VLOOKUP(A55,'Thuc te theo thang'!$A$4:$I$309,8,FALSE)</f>
        <v>0</v>
      </c>
      <c r="I55" s="403">
        <f>VLOOKUP(A55,'Thuc te theo thang'!$A$4:$I$309,9,FALSE)</f>
        <v>0</v>
      </c>
      <c r="J55" s="403"/>
      <c r="K55" s="403">
        <f t="shared" si="0"/>
        <v>0</v>
      </c>
      <c r="L55" s="403"/>
      <c r="M55" s="403"/>
      <c r="N55" s="74"/>
      <c r="O55" s="74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</row>
    <row r="56" spans="1:57">
      <c r="A56" s="54" t="s">
        <v>205</v>
      </c>
      <c r="B56" s="71"/>
      <c r="C56" s="55"/>
      <c r="D56" s="63"/>
      <c r="E56" s="63"/>
      <c r="F56" s="117"/>
      <c r="G56" s="64"/>
      <c r="H56" s="403">
        <f>VLOOKUP(A56,'Thuc te theo thang'!$A$4:$I$309,8,FALSE)</f>
        <v>0</v>
      </c>
      <c r="I56" s="403">
        <f>VLOOKUP(A56,'Thuc te theo thang'!$A$4:$I$309,9,FALSE)</f>
        <v>0</v>
      </c>
      <c r="J56" s="403"/>
      <c r="K56" s="403">
        <f t="shared" si="0"/>
        <v>0</v>
      </c>
      <c r="L56" s="403"/>
      <c r="M56" s="403"/>
      <c r="N56" s="74"/>
      <c r="O56" s="74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</row>
    <row r="57" spans="1:57">
      <c r="A57" s="54" t="s">
        <v>206</v>
      </c>
      <c r="B57" s="94"/>
      <c r="C57" s="55"/>
      <c r="D57" s="173"/>
      <c r="E57" s="63"/>
      <c r="F57" s="117"/>
      <c r="G57" s="64"/>
      <c r="H57" s="403">
        <f>VLOOKUP(A57,'Thuc te theo thang'!$A$4:$I$309,8,FALSE)</f>
        <v>0</v>
      </c>
      <c r="I57" s="403">
        <f>VLOOKUP(A57,'Thuc te theo thang'!$A$4:$I$309,9,FALSE)</f>
        <v>0</v>
      </c>
      <c r="J57" s="403"/>
      <c r="K57" s="403">
        <f t="shared" si="0"/>
        <v>0</v>
      </c>
      <c r="L57" s="403"/>
      <c r="M57" s="403"/>
      <c r="N57" s="74"/>
      <c r="O57" s="74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</row>
    <row r="58" spans="1:57">
      <c r="A58" s="54" t="s">
        <v>207</v>
      </c>
      <c r="B58" s="57"/>
      <c r="C58" s="55"/>
      <c r="D58" s="173"/>
      <c r="E58" s="63"/>
      <c r="F58" s="117"/>
      <c r="G58" s="64"/>
      <c r="H58" s="403">
        <f>VLOOKUP(A58,'Thuc te theo thang'!$A$4:$I$309,8,FALSE)</f>
        <v>0</v>
      </c>
      <c r="I58" s="403">
        <f>VLOOKUP(A58,'Thuc te theo thang'!$A$4:$I$309,9,FALSE)</f>
        <v>0</v>
      </c>
      <c r="J58" s="403"/>
      <c r="K58" s="403">
        <f t="shared" si="0"/>
        <v>0</v>
      </c>
      <c r="L58" s="403"/>
      <c r="M58" s="403"/>
      <c r="N58" s="74"/>
      <c r="O58" s="74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</row>
    <row r="59" spans="1:57">
      <c r="A59" s="54" t="s">
        <v>208</v>
      </c>
      <c r="B59" s="94"/>
      <c r="C59" s="55"/>
      <c r="D59" s="173"/>
      <c r="E59" s="63"/>
      <c r="F59" s="117"/>
      <c r="G59" s="64"/>
      <c r="H59" s="403">
        <f>VLOOKUP(A59,'Thuc te theo thang'!$A$4:$I$309,8,FALSE)</f>
        <v>0</v>
      </c>
      <c r="I59" s="403">
        <f>VLOOKUP(A59,'Thuc te theo thang'!$A$4:$I$309,9,FALSE)</f>
        <v>0</v>
      </c>
      <c r="J59" s="403"/>
      <c r="K59" s="403">
        <f t="shared" si="0"/>
        <v>0</v>
      </c>
      <c r="L59" s="403"/>
      <c r="M59" s="403"/>
      <c r="N59" s="74"/>
      <c r="O59" s="74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</row>
    <row r="60" spans="1:57">
      <c r="A60" s="54" t="s">
        <v>209</v>
      </c>
      <c r="B60" s="94"/>
      <c r="C60" s="55"/>
      <c r="D60" s="173"/>
      <c r="E60" s="63"/>
      <c r="F60" s="117"/>
      <c r="G60" s="64"/>
      <c r="H60" s="403">
        <f>VLOOKUP(A60,'Thuc te theo thang'!$A$4:$I$309,8,FALSE)</f>
        <v>0</v>
      </c>
      <c r="I60" s="403">
        <f>VLOOKUP(A60,'Thuc te theo thang'!$A$4:$I$309,9,FALSE)</f>
        <v>0</v>
      </c>
      <c r="J60" s="403"/>
      <c r="K60" s="403">
        <f t="shared" si="0"/>
        <v>0</v>
      </c>
      <c r="L60" s="403"/>
      <c r="M60" s="403"/>
      <c r="N60" s="7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</row>
    <row r="61" spans="1:57">
      <c r="A61" s="54" t="s">
        <v>210</v>
      </c>
      <c r="B61" s="94"/>
      <c r="C61" s="55"/>
      <c r="D61" s="173"/>
      <c r="E61" s="63"/>
      <c r="F61" s="117"/>
      <c r="G61" s="64"/>
      <c r="H61" s="403">
        <f>VLOOKUP(A61,'Thuc te theo thang'!$A$4:$I$309,8,FALSE)</f>
        <v>0</v>
      </c>
      <c r="I61" s="403">
        <f>VLOOKUP(A61,'Thuc te theo thang'!$A$4:$I$309,9,FALSE)</f>
        <v>0</v>
      </c>
      <c r="J61" s="403"/>
      <c r="K61" s="403">
        <f t="shared" si="0"/>
        <v>0</v>
      </c>
      <c r="L61" s="403"/>
      <c r="M61" s="403"/>
      <c r="N61" s="7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</row>
    <row r="62" spans="1:57">
      <c r="A62" s="54" t="s">
        <v>211</v>
      </c>
      <c r="B62" s="57"/>
      <c r="C62" s="55"/>
      <c r="D62" s="173"/>
      <c r="E62" s="63"/>
      <c r="F62" s="117"/>
      <c r="G62" s="64"/>
      <c r="H62" s="403">
        <f>VLOOKUP(A62,'Thuc te theo thang'!$A$4:$I$309,8,FALSE)</f>
        <v>0</v>
      </c>
      <c r="I62" s="403">
        <f>VLOOKUP(A62,'Thuc te theo thang'!$A$4:$I$309,9,FALSE)</f>
        <v>0</v>
      </c>
      <c r="J62" s="403"/>
      <c r="K62" s="403">
        <f t="shared" si="0"/>
        <v>0</v>
      </c>
      <c r="L62" s="403"/>
      <c r="M62" s="403"/>
      <c r="N62" s="7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</row>
    <row r="63" spans="1:57">
      <c r="A63" s="54" t="s">
        <v>212</v>
      </c>
      <c r="B63" s="94"/>
      <c r="C63" s="55"/>
      <c r="D63" s="63"/>
      <c r="E63" s="63"/>
      <c r="F63" s="117"/>
      <c r="G63" s="64"/>
      <c r="H63" s="403">
        <f>VLOOKUP(A63,'Thuc te theo thang'!$A$4:$I$309,8,FALSE)</f>
        <v>0</v>
      </c>
      <c r="I63" s="403">
        <f>VLOOKUP(A63,'Thuc te theo thang'!$A$4:$I$309,9,FALSE)</f>
        <v>0</v>
      </c>
      <c r="J63" s="403"/>
      <c r="K63" s="403">
        <f t="shared" si="0"/>
        <v>0</v>
      </c>
      <c r="L63" s="403"/>
      <c r="M63" s="403"/>
      <c r="N63" s="7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</row>
    <row r="64" spans="1:57">
      <c r="A64" s="54" t="s">
        <v>213</v>
      </c>
      <c r="B64" s="94"/>
      <c r="C64" s="55"/>
      <c r="D64" s="173"/>
      <c r="E64" s="63"/>
      <c r="F64" s="117"/>
      <c r="G64" s="64"/>
      <c r="H64" s="403">
        <f>VLOOKUP(A64,'Thuc te theo thang'!$A$4:$I$309,8,FALSE)</f>
        <v>0</v>
      </c>
      <c r="I64" s="403">
        <f>VLOOKUP(A64,'Thuc te theo thang'!$A$4:$I$309,9,FALSE)</f>
        <v>0</v>
      </c>
      <c r="J64" s="403"/>
      <c r="K64" s="403">
        <f t="shared" si="0"/>
        <v>0</v>
      </c>
      <c r="L64" s="403"/>
      <c r="M64" s="403"/>
      <c r="N64" s="7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</row>
    <row r="65" spans="1:57">
      <c r="A65" s="54" t="s">
        <v>214</v>
      </c>
      <c r="B65" s="94"/>
      <c r="C65" s="55"/>
      <c r="D65" s="173"/>
      <c r="E65" s="63"/>
      <c r="F65" s="117"/>
      <c r="G65" s="64"/>
      <c r="H65" s="403">
        <f>VLOOKUP(A65,'Thuc te theo thang'!$A$4:$I$309,8,FALSE)</f>
        <v>0</v>
      </c>
      <c r="I65" s="403">
        <f>VLOOKUP(A65,'Thuc te theo thang'!$A$4:$I$309,9,FALSE)</f>
        <v>0</v>
      </c>
      <c r="J65" s="403"/>
      <c r="K65" s="403">
        <f t="shared" si="0"/>
        <v>0</v>
      </c>
      <c r="L65" s="403"/>
      <c r="M65" s="403"/>
      <c r="N65" s="7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  <row r="66" spans="1:57">
      <c r="A66" s="54" t="s">
        <v>215</v>
      </c>
      <c r="B66" s="94"/>
      <c r="C66" s="55"/>
      <c r="D66" s="173"/>
      <c r="E66" s="63"/>
      <c r="F66" s="117"/>
      <c r="G66" s="64"/>
      <c r="H66" s="403">
        <f>VLOOKUP(A66,'Thuc te theo thang'!$A$4:$I$309,8,FALSE)</f>
        <v>0</v>
      </c>
      <c r="I66" s="403">
        <f>VLOOKUP(A66,'Thuc te theo thang'!$A$4:$I$309,9,FALSE)</f>
        <v>0</v>
      </c>
      <c r="J66" s="403"/>
      <c r="K66" s="403">
        <f t="shared" si="0"/>
        <v>0</v>
      </c>
      <c r="L66" s="403"/>
      <c r="M66" s="403"/>
      <c r="N66" s="7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</row>
    <row r="67" spans="1:57">
      <c r="A67" s="54" t="s">
        <v>216</v>
      </c>
      <c r="B67" s="94"/>
      <c r="C67" s="55"/>
      <c r="D67" s="173"/>
      <c r="E67" s="63"/>
      <c r="F67" s="117"/>
      <c r="G67" s="64"/>
      <c r="H67" s="403">
        <f>VLOOKUP(A67,'Thuc te theo thang'!$A$4:$I$309,8,FALSE)</f>
        <v>0</v>
      </c>
      <c r="I67" s="403">
        <f>VLOOKUP(A67,'Thuc te theo thang'!$A$4:$I$309,9,FALSE)</f>
        <v>0</v>
      </c>
      <c r="J67" s="403"/>
      <c r="K67" s="403">
        <f t="shared" si="0"/>
        <v>0</v>
      </c>
      <c r="L67" s="403"/>
      <c r="M67" s="403"/>
      <c r="N67" s="7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</row>
    <row r="68" spans="1:57">
      <c r="A68" s="54" t="s">
        <v>217</v>
      </c>
      <c r="B68" s="94"/>
      <c r="C68" s="55"/>
      <c r="D68" s="173"/>
      <c r="E68" s="63"/>
      <c r="F68" s="117"/>
      <c r="G68" s="64"/>
      <c r="H68" s="403">
        <f>VLOOKUP(A68,'Thuc te theo thang'!$A$4:$I$309,8,FALSE)</f>
        <v>0</v>
      </c>
      <c r="I68" s="403">
        <f>VLOOKUP(A68,'Thuc te theo thang'!$A$4:$I$309,9,FALSE)</f>
        <v>0</v>
      </c>
      <c r="J68" s="403"/>
      <c r="K68" s="403">
        <f t="shared" si="0"/>
        <v>0</v>
      </c>
      <c r="L68" s="403"/>
      <c r="M68" s="403"/>
      <c r="N68" s="7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</row>
    <row r="69" spans="1:57">
      <c r="A69" s="54" t="s">
        <v>218</v>
      </c>
      <c r="B69" s="94"/>
      <c r="C69" s="55"/>
      <c r="D69" s="173"/>
      <c r="E69" s="63"/>
      <c r="F69" s="117"/>
      <c r="G69" s="64"/>
      <c r="H69" s="403">
        <f>VLOOKUP(A69,'Thuc te theo thang'!$A$4:$I$309,8,FALSE)</f>
        <v>0</v>
      </c>
      <c r="I69" s="403">
        <f>VLOOKUP(A69,'Thuc te theo thang'!$A$4:$I$309,9,FALSE)</f>
        <v>0</v>
      </c>
      <c r="J69" s="403"/>
      <c r="K69" s="403">
        <f t="shared" si="0"/>
        <v>0</v>
      </c>
      <c r="L69" s="403"/>
      <c r="M69" s="403"/>
      <c r="N69" s="7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</row>
    <row r="70" spans="1:57">
      <c r="A70" s="54" t="s">
        <v>219</v>
      </c>
      <c r="B70" s="94"/>
      <c r="C70" s="55"/>
      <c r="D70" s="173"/>
      <c r="E70" s="63"/>
      <c r="F70" s="117"/>
      <c r="G70" s="63"/>
      <c r="H70" s="403">
        <f>VLOOKUP(A70,'Thuc te theo thang'!$A$4:$I$309,8,FALSE)</f>
        <v>0</v>
      </c>
      <c r="I70" s="403">
        <f>VLOOKUP(A70,'Thuc te theo thang'!$A$4:$I$309,9,FALSE)</f>
        <v>0</v>
      </c>
      <c r="J70" s="403"/>
      <c r="K70" s="403">
        <f t="shared" si="0"/>
        <v>0</v>
      </c>
      <c r="L70" s="403"/>
      <c r="M70" s="403"/>
      <c r="N70" s="7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</row>
    <row r="71" spans="1:57">
      <c r="A71" s="54" t="s">
        <v>220</v>
      </c>
      <c r="B71" s="94"/>
      <c r="C71" s="55"/>
      <c r="D71" s="173"/>
      <c r="E71" s="63"/>
      <c r="F71" s="117"/>
      <c r="G71" s="64"/>
      <c r="H71" s="403">
        <f>VLOOKUP(A71,'Thuc te theo thang'!$A$4:$I$309,8,FALSE)</f>
        <v>0</v>
      </c>
      <c r="I71" s="403">
        <f>VLOOKUP(A71,'Thuc te theo thang'!$A$4:$I$309,9,FALSE)</f>
        <v>0</v>
      </c>
      <c r="J71" s="403"/>
      <c r="K71" s="403">
        <f t="shared" ref="K71:K106" si="1">H71-I71-J71</f>
        <v>0</v>
      </c>
      <c r="L71" s="403"/>
      <c r="M71" s="403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</row>
    <row r="72" spans="1:57">
      <c r="A72" s="54" t="s">
        <v>221</v>
      </c>
      <c r="B72" s="94"/>
      <c r="C72" s="55"/>
      <c r="D72" s="173"/>
      <c r="E72" s="63"/>
      <c r="F72" s="117"/>
      <c r="G72" s="101"/>
      <c r="H72" s="403">
        <f>VLOOKUP(A72,'Thuc te theo thang'!$A$4:$I$309,8,FALSE)</f>
        <v>0</v>
      </c>
      <c r="I72" s="403">
        <f>VLOOKUP(A72,'Thuc te theo thang'!$A$4:$I$309,9,FALSE)</f>
        <v>0</v>
      </c>
      <c r="J72" s="403"/>
      <c r="K72" s="403">
        <f t="shared" si="1"/>
        <v>0</v>
      </c>
      <c r="L72" s="403"/>
      <c r="M72" s="403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</row>
    <row r="73" spans="1:57">
      <c r="A73" s="54" t="s">
        <v>222</v>
      </c>
      <c r="B73" s="94"/>
      <c r="C73" s="55"/>
      <c r="D73" s="173"/>
      <c r="E73" s="63"/>
      <c r="F73" s="117"/>
      <c r="G73" s="64"/>
      <c r="H73" s="403">
        <f>VLOOKUP(A73,'Thuc te theo thang'!$A$4:$I$309,8,FALSE)</f>
        <v>0</v>
      </c>
      <c r="I73" s="403">
        <f>VLOOKUP(A73,'Thuc te theo thang'!$A$4:$I$309,9,FALSE)</f>
        <v>0</v>
      </c>
      <c r="J73" s="403"/>
      <c r="K73" s="403">
        <f t="shared" si="1"/>
        <v>0</v>
      </c>
      <c r="L73" s="403"/>
      <c r="M73" s="403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</row>
    <row r="74" spans="1:57">
      <c r="A74" s="54" t="s">
        <v>223</v>
      </c>
      <c r="B74" s="94"/>
      <c r="C74" s="55"/>
      <c r="D74" s="173"/>
      <c r="E74" s="63"/>
      <c r="F74" s="117"/>
      <c r="G74" s="64"/>
      <c r="H74" s="403">
        <f>VLOOKUP(A74,'Thuc te theo thang'!$A$4:$I$309,8,FALSE)</f>
        <v>0</v>
      </c>
      <c r="I74" s="403">
        <f>VLOOKUP(A74,'Thuc te theo thang'!$A$4:$I$309,9,FALSE)</f>
        <v>0</v>
      </c>
      <c r="J74" s="403"/>
      <c r="K74" s="403">
        <f t="shared" si="1"/>
        <v>0</v>
      </c>
      <c r="L74" s="403"/>
      <c r="M74" s="403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</row>
    <row r="75" spans="1:57">
      <c r="A75" s="54" t="s">
        <v>224</v>
      </c>
      <c r="B75" s="94"/>
      <c r="C75" s="55"/>
      <c r="D75" s="63"/>
      <c r="E75" s="63"/>
      <c r="F75" s="117"/>
      <c r="G75" s="64"/>
      <c r="H75" s="403">
        <f>VLOOKUP(A75,'Thuc te theo thang'!$A$4:$I$309,8,FALSE)</f>
        <v>0</v>
      </c>
      <c r="I75" s="403">
        <f>VLOOKUP(A75,'Thuc te theo thang'!$A$4:$I$309,9,FALSE)</f>
        <v>0</v>
      </c>
      <c r="J75" s="403"/>
      <c r="K75" s="403">
        <f t="shared" si="1"/>
        <v>0</v>
      </c>
      <c r="L75" s="403"/>
      <c r="M75" s="403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</row>
    <row r="76" spans="1:57">
      <c r="A76" s="54" t="s">
        <v>225</v>
      </c>
      <c r="B76" s="94"/>
      <c r="C76" s="55"/>
      <c r="D76" s="63"/>
      <c r="E76" s="63"/>
      <c r="F76" s="117"/>
      <c r="G76" s="64"/>
      <c r="H76" s="403">
        <f>VLOOKUP(A76,'Thuc te theo thang'!$A$4:$I$309,8,FALSE)</f>
        <v>0</v>
      </c>
      <c r="I76" s="403">
        <f>VLOOKUP(A76,'Thuc te theo thang'!$A$4:$I$309,9,FALSE)</f>
        <v>0</v>
      </c>
      <c r="J76" s="403"/>
      <c r="K76" s="403">
        <f t="shared" si="1"/>
        <v>0</v>
      </c>
      <c r="L76" s="403"/>
      <c r="M76" s="403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</row>
    <row r="77" spans="1:57">
      <c r="A77" s="54" t="s">
        <v>226</v>
      </c>
      <c r="B77" s="94"/>
      <c r="C77" s="55"/>
      <c r="D77" s="63"/>
      <c r="E77" s="63"/>
      <c r="F77" s="117"/>
      <c r="G77" s="64"/>
      <c r="H77" s="403">
        <f>VLOOKUP(A77,'Thuc te theo thang'!$A$4:$I$309,8,FALSE)</f>
        <v>0</v>
      </c>
      <c r="I77" s="403">
        <f>VLOOKUP(A77,'Thuc te theo thang'!$A$4:$I$309,9,FALSE)</f>
        <v>0</v>
      </c>
      <c r="J77" s="403"/>
      <c r="K77" s="403"/>
      <c r="L77" s="403"/>
      <c r="M77" s="403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</row>
    <row r="78" spans="1:57">
      <c r="A78" s="54" t="s">
        <v>227</v>
      </c>
      <c r="B78" s="94"/>
      <c r="C78" s="55"/>
      <c r="D78" s="63"/>
      <c r="E78" s="63"/>
      <c r="F78" s="117"/>
      <c r="G78" s="64"/>
      <c r="H78" s="403">
        <f>VLOOKUP(A78,'Thuc te theo thang'!$A$4:$I$309,8,FALSE)</f>
        <v>0</v>
      </c>
      <c r="I78" s="403">
        <f>VLOOKUP(A78,'Thuc te theo thang'!$A$4:$I$309,9,FALSE)</f>
        <v>0</v>
      </c>
      <c r="J78" s="403"/>
      <c r="K78" s="403">
        <f t="shared" si="1"/>
        <v>0</v>
      </c>
      <c r="L78" s="403"/>
      <c r="M78" s="403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</row>
    <row r="79" spans="1:57">
      <c r="A79" s="54" t="s">
        <v>228</v>
      </c>
      <c r="B79" s="94"/>
      <c r="C79" s="55"/>
      <c r="D79" s="63"/>
      <c r="E79" s="63"/>
      <c r="F79" s="117"/>
      <c r="G79" s="64"/>
      <c r="H79" s="403">
        <f>VLOOKUP(A79,'Thuc te theo thang'!$A$4:$I$309,8,FALSE)</f>
        <v>0</v>
      </c>
      <c r="I79" s="403">
        <f>VLOOKUP(A79,'Thuc te theo thang'!$A$4:$I$309,9,FALSE)</f>
        <v>0</v>
      </c>
      <c r="J79" s="403"/>
      <c r="K79" s="403">
        <f t="shared" si="1"/>
        <v>0</v>
      </c>
      <c r="L79" s="403"/>
      <c r="M79" s="403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</row>
    <row r="80" spans="1:57">
      <c r="A80" s="54" t="s">
        <v>229</v>
      </c>
      <c r="B80" s="94"/>
      <c r="C80" s="55"/>
      <c r="D80" s="63"/>
      <c r="E80" s="63"/>
      <c r="F80" s="117"/>
      <c r="G80" s="64"/>
      <c r="H80" s="403">
        <f>VLOOKUP(A80,'Thuc te theo thang'!$A$4:$I$309,8,FALSE)</f>
        <v>0</v>
      </c>
      <c r="I80" s="403">
        <f>VLOOKUP(A80,'Thuc te theo thang'!$A$4:$I$309,9,FALSE)</f>
        <v>0</v>
      </c>
      <c r="J80" s="403"/>
      <c r="K80" s="403">
        <f t="shared" si="1"/>
        <v>0</v>
      </c>
      <c r="L80" s="403"/>
      <c r="M80" s="403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</row>
    <row r="81" spans="1:57">
      <c r="A81" s="54" t="s">
        <v>230</v>
      </c>
      <c r="B81" s="94"/>
      <c r="C81" s="55"/>
      <c r="D81" s="63"/>
      <c r="E81" s="63"/>
      <c r="F81" s="117"/>
      <c r="G81" s="64"/>
      <c r="H81" s="403">
        <f>VLOOKUP(A81,'Thuc te theo thang'!$A$4:$I$309,8,FALSE)</f>
        <v>0</v>
      </c>
      <c r="I81" s="403">
        <f>VLOOKUP(A81,'Thuc te theo thang'!$A$4:$I$309,9,FALSE)</f>
        <v>0</v>
      </c>
      <c r="J81" s="403"/>
      <c r="K81" s="403">
        <f t="shared" si="1"/>
        <v>0</v>
      </c>
      <c r="L81" s="403"/>
      <c r="M81" s="403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</row>
    <row r="82" spans="1:57">
      <c r="A82" s="54" t="s">
        <v>231</v>
      </c>
      <c r="B82" s="94"/>
      <c r="C82" s="172"/>
      <c r="D82" s="63"/>
      <c r="E82" s="173"/>
      <c r="F82" s="117"/>
      <c r="G82" s="64"/>
      <c r="H82" s="403">
        <f>VLOOKUP(A82,'Thuc te theo thang'!$A$4:$I$309,8,FALSE)</f>
        <v>0</v>
      </c>
      <c r="I82" s="403">
        <f>VLOOKUP(A82,'Thuc te theo thang'!$A$4:$I$309,9,FALSE)</f>
        <v>0</v>
      </c>
      <c r="J82" s="403"/>
      <c r="K82" s="403">
        <f t="shared" si="1"/>
        <v>0</v>
      </c>
      <c r="L82" s="403"/>
      <c r="M82" s="403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</row>
    <row r="83" spans="1:57">
      <c r="A83" s="54" t="s">
        <v>232</v>
      </c>
      <c r="B83" s="94"/>
      <c r="C83" s="55"/>
      <c r="D83" s="63"/>
      <c r="E83" s="63"/>
      <c r="F83" s="117"/>
      <c r="G83" s="64"/>
      <c r="H83" s="403">
        <f>VLOOKUP(A83,'Thuc te theo thang'!$A$4:$I$309,8,FALSE)</f>
        <v>0</v>
      </c>
      <c r="I83" s="403">
        <f>VLOOKUP(A83,'Thuc te theo thang'!$A$4:$I$309,9,FALSE)</f>
        <v>0</v>
      </c>
      <c r="J83" s="403"/>
      <c r="K83" s="403">
        <f t="shared" si="1"/>
        <v>0</v>
      </c>
      <c r="L83" s="403"/>
      <c r="M83" s="403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</row>
    <row r="84" spans="1:57">
      <c r="A84" s="54" t="s">
        <v>233</v>
      </c>
      <c r="B84" s="94"/>
      <c r="C84" s="55"/>
      <c r="D84" s="63"/>
      <c r="E84" s="63"/>
      <c r="F84" s="117"/>
      <c r="G84" s="63"/>
      <c r="H84" s="403">
        <f>VLOOKUP(A84,'Thuc te theo thang'!$A$4:$I$309,8,FALSE)</f>
        <v>0</v>
      </c>
      <c r="I84" s="403">
        <f>VLOOKUP(A84,'Thuc te theo thang'!$A$4:$I$309,9,FALSE)</f>
        <v>0</v>
      </c>
      <c r="J84" s="403"/>
      <c r="K84" s="403">
        <f t="shared" si="1"/>
        <v>0</v>
      </c>
      <c r="L84" s="403"/>
      <c r="M84" s="403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</row>
    <row r="85" spans="1:57">
      <c r="A85" s="54" t="s">
        <v>234</v>
      </c>
      <c r="B85" s="94"/>
      <c r="C85" s="55"/>
      <c r="D85" s="63"/>
      <c r="E85" s="63"/>
      <c r="F85" s="117"/>
      <c r="G85" s="64"/>
      <c r="H85" s="403">
        <f>VLOOKUP(A85,'Thuc te theo thang'!$A$4:$I$309,8,FALSE)</f>
        <v>0</v>
      </c>
      <c r="I85" s="403">
        <f>VLOOKUP(A85,'Thuc te theo thang'!$A$4:$I$309,9,FALSE)</f>
        <v>0</v>
      </c>
      <c r="J85" s="403"/>
      <c r="K85" s="403">
        <f t="shared" si="1"/>
        <v>0</v>
      </c>
      <c r="L85" s="403"/>
      <c r="M85" s="403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</row>
    <row r="86" spans="1:57">
      <c r="A86" s="54" t="s">
        <v>235</v>
      </c>
      <c r="B86" s="94"/>
      <c r="C86" s="55"/>
      <c r="D86" s="63"/>
      <c r="E86" s="63"/>
      <c r="F86" s="117"/>
      <c r="G86" s="101"/>
      <c r="H86" s="403">
        <f>VLOOKUP(A86,'Thuc te theo thang'!$A$4:$I$309,8,FALSE)</f>
        <v>0</v>
      </c>
      <c r="I86" s="403">
        <f>VLOOKUP(A86,'Thuc te theo thang'!$A$4:$I$309,9,FALSE)</f>
        <v>0</v>
      </c>
      <c r="J86" s="403"/>
      <c r="K86" s="403">
        <f t="shared" si="1"/>
        <v>0</v>
      </c>
      <c r="L86" s="403"/>
      <c r="M86" s="403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</row>
    <row r="87" spans="1:57">
      <c r="A87" s="54" t="s">
        <v>236</v>
      </c>
      <c r="B87" s="94"/>
      <c r="C87" s="55"/>
      <c r="D87" s="63"/>
      <c r="E87" s="63"/>
      <c r="F87" s="117"/>
      <c r="G87" s="64"/>
      <c r="H87" s="403">
        <f>VLOOKUP(A87,'Thuc te theo thang'!$A$4:$I$309,8,FALSE)</f>
        <v>0</v>
      </c>
      <c r="I87" s="403">
        <f>VLOOKUP(A87,'Thuc te theo thang'!$A$4:$I$309,9,FALSE)</f>
        <v>0</v>
      </c>
      <c r="J87" s="403"/>
      <c r="K87" s="403">
        <f t="shared" si="1"/>
        <v>0</v>
      </c>
      <c r="L87" s="403"/>
      <c r="M87" s="403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</row>
    <row r="88" spans="1:57">
      <c r="A88" s="54" t="s">
        <v>237</v>
      </c>
      <c r="B88" s="94"/>
      <c r="C88" s="55"/>
      <c r="D88" s="63"/>
      <c r="E88" s="63"/>
      <c r="F88" s="117"/>
      <c r="G88" s="64"/>
      <c r="H88" s="403">
        <f>VLOOKUP(A88,'Thuc te theo thang'!$A$4:$I$309,8,FALSE)</f>
        <v>0</v>
      </c>
      <c r="I88" s="403">
        <f>VLOOKUP(A88,'Thuc te theo thang'!$A$4:$I$309,9,FALSE)</f>
        <v>0</v>
      </c>
      <c r="J88" s="403"/>
      <c r="K88" s="403">
        <f t="shared" si="1"/>
        <v>0</v>
      </c>
      <c r="L88" s="403"/>
      <c r="M88" s="403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</row>
    <row r="89" spans="1:57">
      <c r="A89" s="54" t="s">
        <v>238</v>
      </c>
      <c r="B89" s="94"/>
      <c r="C89" s="55"/>
      <c r="D89" s="63"/>
      <c r="E89" s="63"/>
      <c r="F89" s="117"/>
      <c r="G89" s="64"/>
      <c r="H89" s="403">
        <f>VLOOKUP(A89,'Thuc te theo thang'!$A$4:$I$309,8,FALSE)</f>
        <v>0</v>
      </c>
      <c r="I89" s="403">
        <f>VLOOKUP(A89,'Thuc te theo thang'!$A$4:$I$309,9,FALSE)</f>
        <v>0</v>
      </c>
      <c r="J89" s="403"/>
      <c r="K89" s="403">
        <f t="shared" si="1"/>
        <v>0</v>
      </c>
      <c r="L89" s="403"/>
      <c r="M89" s="403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</row>
    <row r="90" spans="1:57">
      <c r="A90" s="54" t="s">
        <v>239</v>
      </c>
      <c r="B90" s="94"/>
      <c r="C90" s="55"/>
      <c r="D90" s="63"/>
      <c r="E90" s="63"/>
      <c r="F90" s="117"/>
      <c r="G90" s="64"/>
      <c r="H90" s="403">
        <f>VLOOKUP(A90,'Thuc te theo thang'!$A$4:$I$309,8,FALSE)</f>
        <v>0</v>
      </c>
      <c r="I90" s="403">
        <f>VLOOKUP(A90,'Thuc te theo thang'!$A$4:$I$309,9,FALSE)</f>
        <v>0</v>
      </c>
      <c r="J90" s="403"/>
      <c r="K90" s="403">
        <f t="shared" si="1"/>
        <v>0</v>
      </c>
      <c r="L90" s="403"/>
      <c r="M90" s="403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</row>
    <row r="91" spans="1:57">
      <c r="A91" s="54" t="s">
        <v>240</v>
      </c>
      <c r="B91" s="94"/>
      <c r="C91" s="55"/>
      <c r="D91" s="63"/>
      <c r="E91" s="63"/>
      <c r="F91" s="117"/>
      <c r="G91" s="64"/>
      <c r="H91" s="403">
        <f>VLOOKUP(A91,'Thuc te theo thang'!$A$4:$I$309,8,FALSE)</f>
        <v>0</v>
      </c>
      <c r="I91" s="403">
        <f>VLOOKUP(A91,'Thuc te theo thang'!$A$4:$I$309,9,FALSE)</f>
        <v>0</v>
      </c>
      <c r="J91" s="403"/>
      <c r="K91" s="403">
        <f t="shared" si="1"/>
        <v>0</v>
      </c>
      <c r="L91" s="403"/>
      <c r="M91" s="403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</row>
    <row r="92" spans="1:57" ht="19.5" customHeight="1">
      <c r="A92" s="54" t="s">
        <v>241</v>
      </c>
      <c r="B92" s="94"/>
      <c r="C92" s="55"/>
      <c r="D92" s="63"/>
      <c r="E92" s="63"/>
      <c r="F92" s="118"/>
      <c r="G92" s="64"/>
      <c r="H92" s="403">
        <f>VLOOKUP(A92,'Thuc te theo thang'!$A$4:$I$309,8,FALSE)</f>
        <v>0</v>
      </c>
      <c r="I92" s="403">
        <f>VLOOKUP(A92,'Thuc te theo thang'!$A$4:$I$309,9,FALSE)</f>
        <v>0</v>
      </c>
      <c r="J92" s="403"/>
      <c r="K92" s="403">
        <f t="shared" si="1"/>
        <v>0</v>
      </c>
      <c r="L92" s="403"/>
      <c r="M92" s="403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</row>
    <row r="93" spans="1:57">
      <c r="A93" s="54" t="s">
        <v>242</v>
      </c>
      <c r="B93" s="94"/>
      <c r="C93" s="55"/>
      <c r="D93" s="63"/>
      <c r="E93" s="63"/>
      <c r="F93" s="118"/>
      <c r="G93" s="64"/>
      <c r="H93" s="403">
        <f>VLOOKUP(A93,'Thuc te theo thang'!$A$4:$I$309,8,FALSE)</f>
        <v>0</v>
      </c>
      <c r="I93" s="403">
        <f>VLOOKUP(A93,'Thuc te theo thang'!$A$4:$I$309,9,FALSE)</f>
        <v>0</v>
      </c>
      <c r="J93" s="403"/>
      <c r="K93" s="403">
        <f t="shared" si="1"/>
        <v>0</v>
      </c>
      <c r="L93" s="403"/>
      <c r="M93" s="403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</row>
    <row r="94" spans="1:57">
      <c r="A94" s="54" t="s">
        <v>243</v>
      </c>
      <c r="B94" s="94"/>
      <c r="C94" s="55"/>
      <c r="D94" s="63"/>
      <c r="E94" s="63"/>
      <c r="F94" s="118"/>
      <c r="G94" s="63"/>
      <c r="H94" s="403">
        <f>VLOOKUP(A94,'Thuc te theo thang'!$A$4:$I$309,8,FALSE)</f>
        <v>0</v>
      </c>
      <c r="I94" s="403">
        <f>VLOOKUP(A94,'Thuc te theo thang'!$A$4:$I$309,9,FALSE)</f>
        <v>0</v>
      </c>
      <c r="J94" s="403"/>
      <c r="K94" s="403">
        <f t="shared" si="1"/>
        <v>0</v>
      </c>
      <c r="L94" s="403"/>
      <c r="M94" s="403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</row>
    <row r="95" spans="1:57">
      <c r="A95" s="54" t="s">
        <v>244</v>
      </c>
      <c r="B95" s="94"/>
      <c r="C95" s="55"/>
      <c r="D95" s="63"/>
      <c r="E95" s="63"/>
      <c r="F95" s="118"/>
      <c r="G95" s="64"/>
      <c r="H95" s="403">
        <f>VLOOKUP(A95,'Thuc te theo thang'!$A$4:$I$309,8,FALSE)</f>
        <v>0</v>
      </c>
      <c r="I95" s="403">
        <f>VLOOKUP(A95,'Thuc te theo thang'!$A$4:$I$309,9,FALSE)</f>
        <v>0</v>
      </c>
      <c r="J95" s="403"/>
      <c r="K95" s="403">
        <f t="shared" si="1"/>
        <v>0</v>
      </c>
      <c r="L95" s="403"/>
      <c r="M95" s="403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</row>
    <row r="96" spans="1:57">
      <c r="A96" s="54" t="s">
        <v>245</v>
      </c>
      <c r="B96" s="94"/>
      <c r="C96" s="55"/>
      <c r="D96" s="63"/>
      <c r="E96" s="63"/>
      <c r="F96" s="118"/>
      <c r="G96" s="101"/>
      <c r="H96" s="403">
        <f>VLOOKUP(A96,'Thuc te theo thang'!$A$4:$I$309,8,FALSE)</f>
        <v>0</v>
      </c>
      <c r="I96" s="403">
        <f>VLOOKUP(A96,'Thuc te theo thang'!$A$4:$I$309,9,FALSE)</f>
        <v>0</v>
      </c>
      <c r="J96" s="403"/>
      <c r="K96" s="403">
        <f t="shared" si="1"/>
        <v>0</v>
      </c>
      <c r="L96" s="403"/>
      <c r="M96" s="403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</row>
    <row r="97" spans="1:57">
      <c r="A97" s="54" t="s">
        <v>246</v>
      </c>
      <c r="B97" s="94"/>
      <c r="C97" s="55"/>
      <c r="D97" s="63"/>
      <c r="E97" s="63"/>
      <c r="F97" s="117"/>
      <c r="G97" s="64"/>
      <c r="H97" s="403">
        <f>VLOOKUP(A97,'Thuc te theo thang'!$A$4:$I$309,8,FALSE)</f>
        <v>0</v>
      </c>
      <c r="I97" s="403">
        <f>VLOOKUP(A97,'Thuc te theo thang'!$A$4:$I$309,9,FALSE)</f>
        <v>0</v>
      </c>
      <c r="J97" s="403"/>
      <c r="K97" s="403">
        <f t="shared" si="1"/>
        <v>0</v>
      </c>
      <c r="L97" s="403"/>
      <c r="M97" s="403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</row>
    <row r="98" spans="1:57">
      <c r="A98" s="54" t="s">
        <v>247</v>
      </c>
      <c r="B98" s="94"/>
      <c r="C98" s="55"/>
      <c r="D98" s="63"/>
      <c r="E98" s="63"/>
      <c r="F98" s="117"/>
      <c r="G98" s="64"/>
      <c r="H98" s="403">
        <f>VLOOKUP(A98,'Thuc te theo thang'!$A$4:$I$309,8,FALSE)</f>
        <v>0</v>
      </c>
      <c r="I98" s="403">
        <f>VLOOKUP(A98,'Thuc te theo thang'!$A$4:$I$309,9,FALSE)</f>
        <v>0</v>
      </c>
      <c r="J98" s="403"/>
      <c r="K98" s="403">
        <f t="shared" si="1"/>
        <v>0</v>
      </c>
      <c r="L98" s="403"/>
      <c r="M98" s="403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</row>
    <row r="99" spans="1:57">
      <c r="A99" s="54" t="s">
        <v>248</v>
      </c>
      <c r="B99" s="94"/>
      <c r="C99" s="55"/>
      <c r="D99" s="63"/>
      <c r="E99" s="63"/>
      <c r="F99" s="117"/>
      <c r="G99" s="64"/>
      <c r="H99" s="403">
        <f>VLOOKUP(A99,'Thuc te theo thang'!$A$4:$I$309,8,FALSE)</f>
        <v>0</v>
      </c>
      <c r="I99" s="403">
        <f>VLOOKUP(A99,'Thuc te theo thang'!$A$4:$I$309,9,FALSE)</f>
        <v>0</v>
      </c>
      <c r="J99" s="403"/>
      <c r="K99" s="403">
        <f t="shared" si="1"/>
        <v>0</v>
      </c>
      <c r="L99" s="403"/>
      <c r="M99" s="403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</row>
    <row r="100" spans="1:57">
      <c r="A100" s="54" t="s">
        <v>249</v>
      </c>
      <c r="B100" s="94"/>
      <c r="C100" s="55"/>
      <c r="D100" s="63"/>
      <c r="E100" s="63"/>
      <c r="F100" s="117"/>
      <c r="G100" s="64"/>
      <c r="H100" s="403">
        <f>VLOOKUP(A100,'Thuc te theo thang'!$A$4:$I$309,8,FALSE)</f>
        <v>0</v>
      </c>
      <c r="I100" s="403">
        <f>VLOOKUP(A100,'Thuc te theo thang'!$A$4:$I$309,9,FALSE)</f>
        <v>0</v>
      </c>
      <c r="J100" s="403"/>
      <c r="K100" s="403">
        <f t="shared" si="1"/>
        <v>0</v>
      </c>
      <c r="L100" s="403"/>
      <c r="M100" s="403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</row>
    <row r="101" spans="1:57">
      <c r="A101" s="54" t="s">
        <v>250</v>
      </c>
      <c r="B101" s="94"/>
      <c r="C101" s="55"/>
      <c r="D101" s="63"/>
      <c r="E101" s="63"/>
      <c r="F101" s="117"/>
      <c r="G101" s="63"/>
      <c r="H101" s="403">
        <f>VLOOKUP(A101,'Thuc te theo thang'!$A$4:$I$309,8,FALSE)</f>
        <v>0</v>
      </c>
      <c r="I101" s="403">
        <f>VLOOKUP(A101,'Thuc te theo thang'!$A$4:$I$309,9,FALSE)</f>
        <v>0</v>
      </c>
      <c r="J101" s="403"/>
      <c r="K101" s="403">
        <f t="shared" si="1"/>
        <v>0</v>
      </c>
      <c r="L101" s="403"/>
      <c r="M101" s="403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</row>
    <row r="102" spans="1:57">
      <c r="A102" s="54" t="s">
        <v>251</v>
      </c>
      <c r="B102" s="94"/>
      <c r="C102" s="102"/>
      <c r="D102" s="63"/>
      <c r="E102" s="63"/>
      <c r="F102" s="117"/>
      <c r="G102" s="64"/>
      <c r="H102" s="403">
        <f>VLOOKUP(A102,'Thuc te theo thang'!$A$4:$I$309,8,FALSE)</f>
        <v>0</v>
      </c>
      <c r="I102" s="403">
        <f>VLOOKUP(A102,'Thuc te theo thang'!$A$4:$I$309,9,FALSE)</f>
        <v>0</v>
      </c>
      <c r="J102" s="403"/>
      <c r="K102" s="403">
        <f t="shared" si="1"/>
        <v>0</v>
      </c>
      <c r="L102" s="403"/>
      <c r="M102" s="403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</row>
    <row r="103" spans="1:57">
      <c r="A103" s="54" t="s">
        <v>252</v>
      </c>
      <c r="B103" s="57"/>
      <c r="C103" s="55"/>
      <c r="D103" s="63"/>
      <c r="E103" s="63"/>
      <c r="F103" s="117"/>
      <c r="G103" s="63"/>
      <c r="H103" s="403">
        <f>VLOOKUP(A103,'Thuc te theo thang'!$A$4:$I$309,8,FALSE)</f>
        <v>0</v>
      </c>
      <c r="I103" s="403">
        <f>VLOOKUP(A103,'Thuc te theo thang'!$A$4:$I$309,9,FALSE)</f>
        <v>0</v>
      </c>
      <c r="J103" s="403"/>
      <c r="K103" s="403">
        <f t="shared" si="1"/>
        <v>0</v>
      </c>
      <c r="L103" s="403"/>
      <c r="M103" s="403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</row>
    <row r="104" spans="1:57">
      <c r="A104" s="54" t="s">
        <v>253</v>
      </c>
      <c r="B104" s="94"/>
      <c r="C104" s="55"/>
      <c r="D104" s="63"/>
      <c r="E104" s="63"/>
      <c r="F104" s="118"/>
      <c r="G104" s="64"/>
      <c r="H104" s="403">
        <f>VLOOKUP(A104,'Thuc te theo thang'!$A$4:$I$309,8,FALSE)</f>
        <v>0</v>
      </c>
      <c r="I104" s="403">
        <f>VLOOKUP(A104,'Thuc te theo thang'!$A$4:$I$309,9,FALSE)</f>
        <v>0</v>
      </c>
      <c r="J104" s="403"/>
      <c r="K104" s="403">
        <f t="shared" si="1"/>
        <v>0</v>
      </c>
      <c r="L104" s="403"/>
      <c r="M104" s="404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</row>
    <row r="105" spans="1:57">
      <c r="A105" s="54" t="s">
        <v>254</v>
      </c>
      <c r="B105" s="26"/>
      <c r="C105" s="55"/>
      <c r="D105" s="63"/>
      <c r="E105" s="63"/>
      <c r="F105" s="118"/>
      <c r="G105" s="101"/>
      <c r="H105" s="403">
        <f>VLOOKUP(A105,'Thuc te theo thang'!$A$4:$I$309,8,FALSE)</f>
        <v>0</v>
      </c>
      <c r="I105" s="403">
        <f>VLOOKUP(A105,'Thuc te theo thang'!$A$4:$I$309,9,FALSE)</f>
        <v>0</v>
      </c>
      <c r="J105" s="403"/>
      <c r="K105" s="403">
        <f t="shared" si="1"/>
        <v>0</v>
      </c>
      <c r="L105" s="403"/>
      <c r="M105" s="403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</row>
    <row r="106" spans="1:57">
      <c r="A106" s="54" t="s">
        <v>255</v>
      </c>
      <c r="B106" s="94" t="s">
        <v>460</v>
      </c>
      <c r="C106" s="55"/>
      <c r="D106" s="63"/>
      <c r="E106" s="63"/>
      <c r="F106" s="118"/>
      <c r="G106" s="101"/>
      <c r="H106" s="403">
        <f>VLOOKUP(A106,'Thuc te theo thang'!$A$4:$I$309,8,FALSE)</f>
        <v>0</v>
      </c>
      <c r="I106" s="403">
        <f>VLOOKUP(A106,'Thuc te theo thang'!$A$4:$I$309,9,FALSE)</f>
        <v>0</v>
      </c>
      <c r="J106" s="403"/>
      <c r="K106" s="403">
        <f t="shared" si="1"/>
        <v>0</v>
      </c>
      <c r="L106" s="403"/>
      <c r="M106" s="403"/>
      <c r="N106" s="7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</row>
    <row r="107" spans="1:57" hidden="1">
      <c r="A107" s="92" t="s">
        <v>53</v>
      </c>
      <c r="B107" s="100"/>
      <c r="C107" s="53"/>
      <c r="D107" s="128">
        <f>SUM(D108:D207)</f>
        <v>0</v>
      </c>
      <c r="E107" s="128">
        <f>SUM(E108:E207)</f>
        <v>0</v>
      </c>
      <c r="F107" s="129"/>
      <c r="G107" s="62"/>
      <c r="H107" s="130">
        <f>SUMIF($C$108:$C$207,"x",H108:H207)</f>
        <v>0</v>
      </c>
      <c r="I107" s="65">
        <f>VLOOKUP(A107,'Thuc te theo thang'!$A$4:$I$309,9,FALSE)</f>
        <v>0</v>
      </c>
      <c r="J107" s="62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</row>
    <row r="108" spans="1:57" hidden="1">
      <c r="A108" s="58" t="s">
        <v>54</v>
      </c>
      <c r="B108" s="94"/>
      <c r="C108" s="61"/>
      <c r="D108" s="63"/>
      <c r="E108" s="63"/>
      <c r="F108" s="117"/>
      <c r="G108" s="64"/>
      <c r="H108" s="65">
        <f>VLOOKUP(A108,'Thuc te theo thang'!$A$4:$I$309,8,FALSE)</f>
        <v>0</v>
      </c>
      <c r="I108" s="65">
        <f>VLOOKUP(A108,'Thuc te theo thang'!$A$4:$I$309,9,FALSE)</f>
        <v>0</v>
      </c>
      <c r="J108" s="65"/>
      <c r="K108" s="65">
        <f t="shared" ref="K108:K118" si="2">H108-I108-J108</f>
        <v>0</v>
      </c>
      <c r="L108" s="65"/>
      <c r="M108" s="65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</row>
    <row r="109" spans="1:57" hidden="1">
      <c r="A109" s="58" t="s">
        <v>55</v>
      </c>
      <c r="C109" s="58"/>
      <c r="D109" s="63"/>
      <c r="E109" s="63"/>
      <c r="F109" s="117"/>
      <c r="G109" s="64"/>
      <c r="H109" s="65">
        <f>VLOOKUP(A109,'Thuc te theo thang'!$A$4:$I$309,8,FALSE)</f>
        <v>0</v>
      </c>
      <c r="I109" s="65">
        <f>VLOOKUP(A109,'Thuc te theo thang'!$A$4:$I$309,9,FALSE)</f>
        <v>0</v>
      </c>
      <c r="J109" s="65"/>
      <c r="K109" s="65">
        <f t="shared" si="2"/>
        <v>0</v>
      </c>
      <c r="L109" s="65"/>
      <c r="M109" s="65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</row>
    <row r="110" spans="1:57" hidden="1">
      <c r="A110" s="58" t="s">
        <v>56</v>
      </c>
      <c r="B110" s="94"/>
      <c r="C110" s="61"/>
      <c r="D110" s="63"/>
      <c r="E110" s="63"/>
      <c r="F110" s="117"/>
      <c r="G110" s="64"/>
      <c r="H110" s="65">
        <f>VLOOKUP(A110,'Thuc te theo thang'!$A$4:$I$309,8,FALSE)</f>
        <v>0</v>
      </c>
      <c r="I110" s="65">
        <f>VLOOKUP(A110,'Thuc te theo thang'!$A$4:$I$309,9,FALSE)</f>
        <v>0</v>
      </c>
      <c r="J110" s="65"/>
      <c r="K110" s="65">
        <f t="shared" si="2"/>
        <v>0</v>
      </c>
      <c r="L110" s="65"/>
      <c r="M110" s="65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</row>
    <row r="111" spans="1:57" hidden="1">
      <c r="A111" s="58" t="s">
        <v>57</v>
      </c>
      <c r="B111" s="94"/>
      <c r="C111" s="61"/>
      <c r="D111" s="63"/>
      <c r="E111" s="63"/>
      <c r="F111" s="117"/>
      <c r="G111" s="64"/>
      <c r="H111" s="65">
        <f>VLOOKUP(A111,'Thuc te theo thang'!$A$4:$I$309,8,FALSE)</f>
        <v>0</v>
      </c>
      <c r="I111" s="65">
        <f>VLOOKUP(A111,'Thuc te theo thang'!$A$4:$I$309,9,FALSE)</f>
        <v>0</v>
      </c>
      <c r="J111" s="65"/>
      <c r="K111" s="65">
        <f t="shared" si="2"/>
        <v>0</v>
      </c>
      <c r="L111" s="65"/>
      <c r="M111" s="65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</row>
    <row r="112" spans="1:57" hidden="1">
      <c r="A112" s="58" t="s">
        <v>58</v>
      </c>
      <c r="B112" s="57"/>
      <c r="C112" s="58"/>
      <c r="D112" s="63"/>
      <c r="E112" s="63"/>
      <c r="F112" s="117"/>
      <c r="G112" s="64"/>
      <c r="H112" s="65">
        <f>VLOOKUP(A112,'Thuc te theo thang'!$A$4:$I$309,8,FALSE)</f>
        <v>0</v>
      </c>
      <c r="I112" s="65">
        <f>VLOOKUP(A112,'Thuc te theo thang'!$A$4:$I$309,9,FALSE)</f>
        <v>0</v>
      </c>
      <c r="J112" s="65"/>
      <c r="K112" s="65">
        <f t="shared" si="2"/>
        <v>0</v>
      </c>
      <c r="L112" s="65"/>
      <c r="M112" s="65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</row>
    <row r="113" spans="1:57" hidden="1">
      <c r="A113" s="58" t="s">
        <v>59</v>
      </c>
      <c r="B113" s="57"/>
      <c r="C113" s="61"/>
      <c r="D113" s="63"/>
      <c r="E113" s="63"/>
      <c r="F113" s="117"/>
      <c r="G113" s="64"/>
      <c r="H113" s="65">
        <f>VLOOKUP(A113,'Thuc te theo thang'!$A$4:$I$309,8,FALSE)</f>
        <v>0</v>
      </c>
      <c r="I113" s="65">
        <f>VLOOKUP(A113,'Thuc te theo thang'!$A$4:$I$309,9,FALSE)</f>
        <v>0</v>
      </c>
      <c r="J113" s="65"/>
      <c r="K113" s="65">
        <f t="shared" si="2"/>
        <v>0</v>
      </c>
      <c r="L113" s="65"/>
      <c r="M113" s="65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</row>
    <row r="114" spans="1:57" hidden="1">
      <c r="A114" s="58" t="s">
        <v>60</v>
      </c>
      <c r="B114" s="94"/>
      <c r="C114" s="61"/>
      <c r="D114" s="63"/>
      <c r="E114" s="63"/>
      <c r="F114" s="117"/>
      <c r="G114" s="64"/>
      <c r="H114" s="65">
        <f>VLOOKUP(A114,'Thuc te theo thang'!$A$4:$I$309,8,FALSE)</f>
        <v>0</v>
      </c>
      <c r="I114" s="65">
        <f>VLOOKUP(A114,'Thuc te theo thang'!$A$4:$I$309,9,FALSE)</f>
        <v>0</v>
      </c>
      <c r="J114" s="65"/>
      <c r="K114" s="65">
        <f t="shared" si="2"/>
        <v>0</v>
      </c>
      <c r="L114" s="65"/>
      <c r="M114" s="65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</row>
    <row r="115" spans="1:57" hidden="1">
      <c r="A115" s="58" t="s">
        <v>61</v>
      </c>
      <c r="B115" s="57"/>
      <c r="C115" s="61"/>
      <c r="D115" s="63"/>
      <c r="E115" s="63"/>
      <c r="F115" s="117"/>
      <c r="G115" s="64"/>
      <c r="H115" s="65">
        <f>VLOOKUP(A115,'Thuc te theo thang'!$A$4:$I$309,8,FALSE)</f>
        <v>0</v>
      </c>
      <c r="I115" s="65">
        <f>VLOOKUP(A115,'Thuc te theo thang'!$A$4:$I$309,9,FALSE)</f>
        <v>0</v>
      </c>
      <c r="J115" s="65"/>
      <c r="K115" s="65">
        <f t="shared" si="2"/>
        <v>0</v>
      </c>
      <c r="L115" s="65"/>
      <c r="M115" s="65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</row>
    <row r="116" spans="1:57" hidden="1">
      <c r="A116" s="58" t="s">
        <v>62</v>
      </c>
      <c r="C116" s="61"/>
      <c r="D116" s="63"/>
      <c r="E116" s="63"/>
      <c r="F116" s="117"/>
      <c r="G116" s="64"/>
      <c r="H116" s="65">
        <f>VLOOKUP(A116,'Thuc te theo thang'!$A$4:$I$309,8,FALSE)</f>
        <v>0</v>
      </c>
      <c r="I116" s="65">
        <f>VLOOKUP(A116,'Thuc te theo thang'!$A$4:$I$309,9,FALSE)</f>
        <v>0</v>
      </c>
      <c r="J116" s="65"/>
      <c r="K116" s="65">
        <f t="shared" si="2"/>
        <v>0</v>
      </c>
      <c r="L116" s="65"/>
      <c r="M116" s="65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</row>
    <row r="117" spans="1:57" hidden="1">
      <c r="A117" s="58" t="s">
        <v>63</v>
      </c>
      <c r="B117" s="57"/>
      <c r="C117" s="61"/>
      <c r="D117" s="63"/>
      <c r="E117" s="63"/>
      <c r="F117" s="117"/>
      <c r="G117" s="63"/>
      <c r="H117" s="65">
        <f>VLOOKUP(A117,'Thuc te theo thang'!$A$4:$I$309,8,FALSE)</f>
        <v>0</v>
      </c>
      <c r="I117" s="65">
        <f>VLOOKUP(A117,'Thuc te theo thang'!$A$4:$I$309,9,FALSE)</f>
        <v>0</v>
      </c>
      <c r="J117" s="65"/>
      <c r="K117" s="65">
        <f t="shared" si="2"/>
        <v>0</v>
      </c>
      <c r="L117" s="65"/>
      <c r="M117" s="65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</row>
    <row r="118" spans="1:57" hidden="1">
      <c r="A118" s="58" t="s">
        <v>64</v>
      </c>
      <c r="B118" s="57"/>
      <c r="C118" s="58"/>
      <c r="D118" s="63"/>
      <c r="E118" s="63"/>
      <c r="F118" s="117"/>
      <c r="G118" s="64"/>
      <c r="H118" s="65">
        <f>VLOOKUP(A118,'Thuc te theo thang'!$A$4:$I$309,8,FALSE)</f>
        <v>0</v>
      </c>
      <c r="I118" s="65">
        <f>VLOOKUP(A118,'Thuc te theo thang'!$A$4:$I$309,9,FALSE)</f>
        <v>0</v>
      </c>
      <c r="J118" s="65"/>
      <c r="K118" s="65">
        <f t="shared" si="2"/>
        <v>0</v>
      </c>
      <c r="L118" s="65"/>
      <c r="M118" s="65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</row>
    <row r="119" spans="1:57" hidden="1">
      <c r="A119" s="58" t="s">
        <v>65</v>
      </c>
      <c r="B119" s="57"/>
      <c r="C119" s="61"/>
      <c r="D119" s="63"/>
      <c r="E119" s="63"/>
      <c r="F119" s="117"/>
      <c r="G119" s="64"/>
      <c r="H119" s="65">
        <f>VLOOKUP(A119,'Thuc te theo thang'!$A$4:$I$309,8,FALSE)</f>
        <v>0</v>
      </c>
      <c r="I119" s="65">
        <f>VLOOKUP(A119,'Thuc te theo thang'!$A$4:$I$309,9,FALSE)</f>
        <v>0</v>
      </c>
      <c r="J119" s="65"/>
      <c r="K119" s="65">
        <f t="shared" ref="K119:K124" si="3">H119-I119-J119</f>
        <v>0</v>
      </c>
      <c r="L119" s="65"/>
      <c r="M119" s="65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</row>
    <row r="120" spans="1:57" hidden="1">
      <c r="A120" s="58" t="s">
        <v>66</v>
      </c>
      <c r="B120" s="57"/>
      <c r="C120" s="61"/>
      <c r="D120" s="63"/>
      <c r="E120" s="63"/>
      <c r="F120" s="117"/>
      <c r="G120" s="64"/>
      <c r="H120" s="65">
        <f>VLOOKUP(A120,'Thuc te theo thang'!$A$4:$I$309,8,FALSE)</f>
        <v>0</v>
      </c>
      <c r="I120" s="65">
        <f>VLOOKUP(A120,'Thuc te theo thang'!$A$4:$I$309,9,FALSE)</f>
        <v>0</v>
      </c>
      <c r="J120" s="65"/>
      <c r="K120" s="65">
        <f t="shared" si="3"/>
        <v>0</v>
      </c>
      <c r="L120" s="65"/>
      <c r="M120" s="65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</row>
    <row r="121" spans="1:57" hidden="1">
      <c r="A121" s="58" t="s">
        <v>67</v>
      </c>
      <c r="B121" s="57"/>
      <c r="C121" s="61"/>
      <c r="D121" s="63"/>
      <c r="E121" s="63"/>
      <c r="F121" s="117"/>
      <c r="G121" s="64"/>
      <c r="H121" s="65">
        <f>VLOOKUP(A121,'Thuc te theo thang'!$A$4:$I$309,8,FALSE)</f>
        <v>0</v>
      </c>
      <c r="I121" s="65">
        <f>VLOOKUP(A121,'Thuc te theo thang'!$A$4:$I$309,9,FALSE)</f>
        <v>0</v>
      </c>
      <c r="J121" s="65"/>
      <c r="K121" s="65">
        <f t="shared" si="3"/>
        <v>0</v>
      </c>
      <c r="L121" s="65"/>
      <c r="M121" s="65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</row>
    <row r="122" spans="1:57" hidden="1">
      <c r="A122" s="58" t="s">
        <v>68</v>
      </c>
      <c r="B122" s="57"/>
      <c r="C122" s="61"/>
      <c r="D122" s="63"/>
      <c r="E122" s="63"/>
      <c r="F122" s="117"/>
      <c r="G122" s="64"/>
      <c r="H122" s="65">
        <f>VLOOKUP(A122,'Thuc te theo thang'!$A$4:$I$309,8,FALSE)</f>
        <v>0</v>
      </c>
      <c r="I122" s="65">
        <f>VLOOKUP(A122,'Thuc te theo thang'!$A$4:$I$309,9,FALSE)</f>
        <v>0</v>
      </c>
      <c r="J122" s="65"/>
      <c r="K122" s="65">
        <f t="shared" si="3"/>
        <v>0</v>
      </c>
      <c r="L122" s="65"/>
      <c r="M122" s="65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</row>
    <row r="123" spans="1:57" hidden="1">
      <c r="A123" s="58" t="s">
        <v>88</v>
      </c>
      <c r="B123" s="57"/>
      <c r="C123" s="61"/>
      <c r="D123" s="63"/>
      <c r="E123" s="63"/>
      <c r="F123" s="117"/>
      <c r="G123" s="63"/>
      <c r="H123" s="65">
        <f>VLOOKUP(A123,'Thuc te theo thang'!$A$4:$I$309,8,FALSE)</f>
        <v>0</v>
      </c>
      <c r="I123" s="65">
        <f>VLOOKUP(A123,'Thuc te theo thang'!$A$4:$I$309,9,FALSE)</f>
        <v>0</v>
      </c>
      <c r="J123" s="65"/>
      <c r="K123" s="65">
        <f t="shared" si="3"/>
        <v>0</v>
      </c>
      <c r="L123" s="65"/>
      <c r="M123" s="65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</row>
    <row r="124" spans="1:57" hidden="1">
      <c r="A124" s="58" t="s">
        <v>89</v>
      </c>
      <c r="B124" s="57"/>
      <c r="C124" s="61"/>
      <c r="D124" s="63"/>
      <c r="E124" s="63"/>
      <c r="F124" s="117"/>
      <c r="G124" s="64"/>
      <c r="H124" s="65">
        <f>VLOOKUP(A124,'Thuc te theo thang'!$A$4:$I$309,8,FALSE)</f>
        <v>0</v>
      </c>
      <c r="I124" s="65">
        <f>VLOOKUP(A124,'Thuc te theo thang'!$A$4:$I$309,9,FALSE)</f>
        <v>0</v>
      </c>
      <c r="J124" s="65"/>
      <c r="K124" s="65">
        <f t="shared" si="3"/>
        <v>0</v>
      </c>
      <c r="L124" s="65"/>
      <c r="M124" s="65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</row>
    <row r="125" spans="1:57" hidden="1">
      <c r="A125" s="58" t="s">
        <v>90</v>
      </c>
      <c r="B125" s="57"/>
      <c r="C125" s="61"/>
      <c r="D125" s="63"/>
      <c r="E125" s="63"/>
      <c r="F125" s="117"/>
      <c r="G125" s="101"/>
      <c r="H125" s="65">
        <f>VLOOKUP(A125,'Thuc te theo thang'!$A$4:$I$309,8,FALSE)</f>
        <v>0</v>
      </c>
      <c r="I125" s="65">
        <f>VLOOKUP(A125,'Thuc te theo thang'!$A$4:$I$309,9,FALSE)</f>
        <v>0</v>
      </c>
      <c r="J125" s="65"/>
      <c r="K125" s="65">
        <f t="shared" ref="K125:K145" si="4">H125-I125-J125</f>
        <v>0</v>
      </c>
      <c r="L125" s="65"/>
      <c r="M125" s="65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</row>
    <row r="126" spans="1:57" hidden="1">
      <c r="A126" s="58" t="s">
        <v>91</v>
      </c>
      <c r="B126" s="57"/>
      <c r="C126" s="58"/>
      <c r="D126" s="63"/>
      <c r="E126" s="63"/>
      <c r="F126" s="117"/>
      <c r="G126" s="64"/>
      <c r="H126" s="65">
        <f>VLOOKUP(A126,'Thuc te theo thang'!$A$4:$I$309,8,FALSE)</f>
        <v>0</v>
      </c>
      <c r="I126" s="65">
        <f>VLOOKUP(A126,'Thuc te theo thang'!$A$4:$I$309,9,FALSE)</f>
        <v>0</v>
      </c>
      <c r="J126" s="65"/>
      <c r="K126" s="65">
        <f t="shared" si="4"/>
        <v>0</v>
      </c>
      <c r="L126" s="65"/>
      <c r="M126" s="65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</row>
    <row r="127" spans="1:57" hidden="1">
      <c r="A127" s="58" t="s">
        <v>92</v>
      </c>
      <c r="B127" s="57"/>
      <c r="C127" s="58"/>
      <c r="D127" s="63"/>
      <c r="E127" s="63"/>
      <c r="F127" s="117"/>
      <c r="G127" s="64"/>
      <c r="H127" s="65">
        <f>VLOOKUP(A127,'Thuc te theo thang'!$A$4:$I$309,8,FALSE)</f>
        <v>0</v>
      </c>
      <c r="I127" s="65">
        <f>VLOOKUP(A127,'Thuc te theo thang'!$A$4:$I$309,9,FALSE)</f>
        <v>0</v>
      </c>
      <c r="J127" s="65"/>
      <c r="K127" s="65">
        <f t="shared" si="4"/>
        <v>0</v>
      </c>
      <c r="L127" s="65"/>
      <c r="M127" s="65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</row>
    <row r="128" spans="1:57" hidden="1">
      <c r="A128" s="58" t="s">
        <v>93</v>
      </c>
      <c r="B128" s="57"/>
      <c r="C128" s="58"/>
      <c r="D128" s="63"/>
      <c r="E128" s="63"/>
      <c r="F128" s="117"/>
      <c r="G128" s="64"/>
      <c r="H128" s="65">
        <f>VLOOKUP(A128,'Thuc te theo thang'!$A$4:$I$309,8,FALSE)</f>
        <v>0</v>
      </c>
      <c r="I128" s="65">
        <f>VLOOKUP(A128,'Thuc te theo thang'!$A$4:$I$309,9,FALSE)</f>
        <v>0</v>
      </c>
      <c r="J128" s="65"/>
      <c r="K128" s="65">
        <f t="shared" si="4"/>
        <v>0</v>
      </c>
      <c r="L128" s="65"/>
      <c r="M128" s="65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</row>
    <row r="129" spans="1:57" hidden="1">
      <c r="A129" s="58" t="s">
        <v>94</v>
      </c>
      <c r="B129" s="57"/>
      <c r="C129" s="61"/>
      <c r="D129" s="63"/>
      <c r="E129" s="63"/>
      <c r="F129" s="117"/>
      <c r="G129" s="64"/>
      <c r="H129" s="65">
        <f>VLOOKUP(A129,'Thuc te theo thang'!$A$4:$I$309,8,FALSE)</f>
        <v>0</v>
      </c>
      <c r="I129" s="65">
        <f>VLOOKUP(A129,'Thuc te theo thang'!$A$4:$I$309,9,FALSE)</f>
        <v>0</v>
      </c>
      <c r="J129" s="65"/>
      <c r="K129" s="65">
        <f t="shared" si="4"/>
        <v>0</v>
      </c>
      <c r="L129" s="65"/>
      <c r="M129" s="65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</row>
    <row r="130" spans="1:57" hidden="1">
      <c r="A130" s="58" t="s">
        <v>95</v>
      </c>
      <c r="B130" s="57"/>
      <c r="C130" s="61"/>
      <c r="D130" s="63"/>
      <c r="E130" s="63"/>
      <c r="F130" s="117"/>
      <c r="G130" s="64"/>
      <c r="H130" s="65">
        <f>VLOOKUP(A130,'Thuc te theo thang'!$A$4:$I$309,8,FALSE)</f>
        <v>0</v>
      </c>
      <c r="I130" s="65">
        <f>VLOOKUP(A130,'Thuc te theo thang'!$A$4:$I$309,9,FALSE)</f>
        <v>0</v>
      </c>
      <c r="J130" s="65"/>
      <c r="K130" s="65">
        <f t="shared" si="4"/>
        <v>0</v>
      </c>
      <c r="L130" s="65"/>
      <c r="M130" s="65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</row>
    <row r="131" spans="1:57" hidden="1">
      <c r="A131" s="58" t="s">
        <v>96</v>
      </c>
      <c r="B131" s="57"/>
      <c r="C131" s="61"/>
      <c r="D131" s="63"/>
      <c r="E131" s="63"/>
      <c r="F131" s="117"/>
      <c r="G131" s="64"/>
      <c r="H131" s="65">
        <f>VLOOKUP(A131,'Thuc te theo thang'!$A$4:$I$309,8,FALSE)</f>
        <v>0</v>
      </c>
      <c r="I131" s="65">
        <f>VLOOKUP(A131,'Thuc te theo thang'!$A$4:$I$309,9,FALSE)</f>
        <v>0</v>
      </c>
      <c r="J131" s="65"/>
      <c r="K131" s="65">
        <f t="shared" si="4"/>
        <v>0</v>
      </c>
      <c r="L131" s="65"/>
      <c r="M131" s="65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</row>
    <row r="132" spans="1:57" hidden="1">
      <c r="A132" s="58" t="s">
        <v>97</v>
      </c>
      <c r="B132" s="57"/>
      <c r="C132" s="58"/>
      <c r="D132" s="63"/>
      <c r="E132" s="63"/>
      <c r="F132" s="117"/>
      <c r="G132" s="64"/>
      <c r="H132" s="65">
        <f>VLOOKUP(A132,'Thuc te theo thang'!$A$4:$I$309,8,FALSE)</f>
        <v>0</v>
      </c>
      <c r="I132" s="65">
        <f>VLOOKUP(A132,'Thuc te theo thang'!$A$4:$I$309,9,FALSE)</f>
        <v>0</v>
      </c>
      <c r="J132" s="65"/>
      <c r="K132" s="65">
        <f t="shared" si="4"/>
        <v>0</v>
      </c>
      <c r="L132" s="65"/>
      <c r="M132" s="65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</row>
    <row r="133" spans="1:57" hidden="1">
      <c r="A133" s="58" t="s">
        <v>98</v>
      </c>
      <c r="B133" s="57"/>
      <c r="C133" s="61"/>
      <c r="D133" s="63"/>
      <c r="E133" s="63"/>
      <c r="F133" s="119"/>
      <c r="G133" s="64"/>
      <c r="H133" s="65">
        <f>VLOOKUP(A133,'Thuc te theo thang'!$A$4:$I$309,8,FALSE)</f>
        <v>0</v>
      </c>
      <c r="I133" s="65">
        <f>VLOOKUP(A133,'Thuc te theo thang'!$A$4:$I$309,9,FALSE)</f>
        <v>0</v>
      </c>
      <c r="J133" s="65"/>
      <c r="K133" s="65">
        <f t="shared" si="4"/>
        <v>0</v>
      </c>
      <c r="L133" s="65"/>
      <c r="M133" s="65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</row>
    <row r="134" spans="1:57" hidden="1">
      <c r="A134" s="58" t="s">
        <v>99</v>
      </c>
      <c r="B134" s="57"/>
      <c r="C134" s="58"/>
      <c r="D134" s="63"/>
      <c r="E134" s="63"/>
      <c r="F134" s="117"/>
      <c r="G134" s="64"/>
      <c r="H134" s="65">
        <f>VLOOKUP(A134,'Thuc te theo thang'!$A$4:$I$309,8,FALSE)</f>
        <v>0</v>
      </c>
      <c r="I134" s="65">
        <f>VLOOKUP(A134,'Thuc te theo thang'!$A$4:$I$309,9,FALSE)</f>
        <v>0</v>
      </c>
      <c r="J134" s="65"/>
      <c r="K134" s="65">
        <f t="shared" si="4"/>
        <v>0</v>
      </c>
      <c r="L134" s="65"/>
      <c r="M134" s="65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</row>
    <row r="135" spans="1:57" hidden="1">
      <c r="A135" s="58" t="s">
        <v>100</v>
      </c>
      <c r="B135" s="57"/>
      <c r="C135" s="58"/>
      <c r="D135" s="63"/>
      <c r="E135" s="63"/>
      <c r="F135" s="117"/>
      <c r="G135" s="64"/>
      <c r="H135" s="65">
        <f>VLOOKUP(A135,'Thuc te theo thang'!$A$4:$I$309,8,FALSE)</f>
        <v>0</v>
      </c>
      <c r="I135" s="65">
        <f>VLOOKUP(A135,'Thuc te theo thang'!$A$4:$I$309,9,FALSE)</f>
        <v>0</v>
      </c>
      <c r="J135" s="65"/>
      <c r="K135" s="65">
        <f t="shared" si="4"/>
        <v>0</v>
      </c>
      <c r="L135" s="65"/>
      <c r="M135" s="65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</row>
    <row r="136" spans="1:57" hidden="1">
      <c r="A136" s="58" t="s">
        <v>101</v>
      </c>
      <c r="B136" s="158"/>
      <c r="C136" s="61"/>
      <c r="D136" s="63"/>
      <c r="E136" s="63"/>
      <c r="F136" s="117"/>
      <c r="G136" s="64"/>
      <c r="H136" s="65">
        <f>VLOOKUP(A136,'Thuc te theo thang'!$A$4:$I$309,8,FALSE)</f>
        <v>0</v>
      </c>
      <c r="I136" s="65">
        <f>VLOOKUP(A136,'Thuc te theo thang'!$A$4:$I$309,9,FALSE)</f>
        <v>0</v>
      </c>
      <c r="J136" s="65"/>
      <c r="K136" s="65">
        <f t="shared" si="4"/>
        <v>0</v>
      </c>
      <c r="L136" s="65"/>
      <c r="M136" s="65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</row>
    <row r="137" spans="1:57" hidden="1">
      <c r="A137" s="58" t="s">
        <v>102</v>
      </c>
      <c r="B137" s="57"/>
      <c r="C137" s="58"/>
      <c r="D137" s="63"/>
      <c r="E137" s="63"/>
      <c r="F137" s="117"/>
      <c r="G137" s="64"/>
      <c r="H137" s="65">
        <f>VLOOKUP(A137,'Thuc te theo thang'!$A$4:$I$309,8,FALSE)</f>
        <v>0</v>
      </c>
      <c r="I137" s="65">
        <f>VLOOKUP(A137,'Thuc te theo thang'!$A$4:$I$309,9,FALSE)</f>
        <v>0</v>
      </c>
      <c r="J137" s="65"/>
      <c r="K137" s="65">
        <f t="shared" si="4"/>
        <v>0</v>
      </c>
      <c r="L137" s="65"/>
      <c r="M137" s="65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</row>
    <row r="138" spans="1:57" hidden="1">
      <c r="A138" s="58" t="s">
        <v>113</v>
      </c>
      <c r="B138" s="57"/>
      <c r="C138" s="61"/>
      <c r="D138" s="63"/>
      <c r="E138" s="63"/>
      <c r="F138" s="117"/>
      <c r="G138" s="63"/>
      <c r="H138" s="65">
        <f>VLOOKUP(A138,'Thuc te theo thang'!$A$4:$I$309,8,FALSE)</f>
        <v>0</v>
      </c>
      <c r="I138" s="65">
        <f>VLOOKUP(A138,'Thuc te theo thang'!$A$4:$I$309,9,FALSE)</f>
        <v>0</v>
      </c>
      <c r="J138" s="65"/>
      <c r="K138" s="65">
        <f t="shared" si="4"/>
        <v>0</v>
      </c>
      <c r="L138" s="65"/>
      <c r="M138" s="65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</row>
    <row r="139" spans="1:57" hidden="1">
      <c r="A139" s="58" t="s">
        <v>114</v>
      </c>
      <c r="B139" s="57"/>
      <c r="C139" s="58"/>
      <c r="D139" s="63"/>
      <c r="E139" s="63"/>
      <c r="F139" s="117"/>
      <c r="G139" s="64"/>
      <c r="H139" s="65">
        <f>VLOOKUP(A139,'Thuc te theo thang'!$A$4:$I$309,8,FALSE)</f>
        <v>0</v>
      </c>
      <c r="I139" s="65">
        <f>VLOOKUP(A139,'Thuc te theo thang'!$A$4:$I$309,9,FALSE)</f>
        <v>0</v>
      </c>
      <c r="J139" s="65"/>
      <c r="K139" s="65">
        <f t="shared" si="4"/>
        <v>0</v>
      </c>
      <c r="L139" s="65"/>
      <c r="M139" s="65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</row>
    <row r="140" spans="1:57" hidden="1">
      <c r="A140" s="58" t="s">
        <v>115</v>
      </c>
      <c r="B140" s="94"/>
      <c r="C140" s="61"/>
      <c r="D140" s="63"/>
      <c r="E140" s="63"/>
      <c r="F140" s="117"/>
      <c r="G140" s="101"/>
      <c r="H140" s="65">
        <f>VLOOKUP(A140,'Thuc te theo thang'!$A$4:$I$309,8,FALSE)</f>
        <v>0</v>
      </c>
      <c r="I140" s="65">
        <f>VLOOKUP(A140,'Thuc te theo thang'!$A$4:$I$309,9,FALSE)</f>
        <v>0</v>
      </c>
      <c r="J140" s="65"/>
      <c r="K140" s="65">
        <f t="shared" si="4"/>
        <v>0</v>
      </c>
      <c r="L140" s="65"/>
      <c r="M140" s="65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</row>
    <row r="141" spans="1:57" hidden="1">
      <c r="A141" s="58" t="s">
        <v>116</v>
      </c>
      <c r="B141" s="94"/>
      <c r="C141" s="58"/>
      <c r="D141" s="63"/>
      <c r="E141" s="63"/>
      <c r="F141" s="117"/>
      <c r="G141" s="64"/>
      <c r="H141" s="65">
        <f>VLOOKUP(A141,'Thuc te theo thang'!$A$4:$I$309,8,FALSE)</f>
        <v>0</v>
      </c>
      <c r="I141" s="65">
        <f>VLOOKUP(A141,'Thuc te theo thang'!$A$4:$I$309,9,FALSE)</f>
        <v>0</v>
      </c>
      <c r="J141" s="65"/>
      <c r="K141" s="65">
        <f t="shared" si="4"/>
        <v>0</v>
      </c>
      <c r="L141" s="65"/>
      <c r="M141" s="65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</row>
    <row r="142" spans="1:57" hidden="1">
      <c r="A142" s="58" t="s">
        <v>117</v>
      </c>
      <c r="B142" s="94"/>
      <c r="C142" s="58"/>
      <c r="D142" s="63"/>
      <c r="E142" s="63"/>
      <c r="F142" s="117"/>
      <c r="G142" s="64"/>
      <c r="H142" s="65">
        <f>VLOOKUP(A142,'Thuc te theo thang'!$A$4:$I$309,8,FALSE)</f>
        <v>0</v>
      </c>
      <c r="I142" s="65">
        <f>VLOOKUP(A142,'Thuc te theo thang'!$A$4:$I$309,9,FALSE)</f>
        <v>0</v>
      </c>
      <c r="J142" s="65"/>
      <c r="K142" s="65">
        <f t="shared" si="4"/>
        <v>0</v>
      </c>
      <c r="L142" s="65"/>
      <c r="M142" s="65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</row>
    <row r="143" spans="1:57" hidden="1">
      <c r="A143" s="58" t="s">
        <v>118</v>
      </c>
      <c r="B143" s="94"/>
      <c r="C143" s="58"/>
      <c r="D143" s="63"/>
      <c r="E143" s="63"/>
      <c r="F143" s="117"/>
      <c r="G143" s="64"/>
      <c r="H143" s="65">
        <f>VLOOKUP(A143,'Thuc te theo thang'!$A$4:$I$309,8,FALSE)</f>
        <v>0</v>
      </c>
      <c r="I143" s="65">
        <f>VLOOKUP(A143,'Thuc te theo thang'!$A$4:$I$309,9,FALSE)</f>
        <v>0</v>
      </c>
      <c r="J143" s="65"/>
      <c r="K143" s="65">
        <f t="shared" si="4"/>
        <v>0</v>
      </c>
      <c r="L143" s="65"/>
      <c r="M143" s="65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</row>
    <row r="144" spans="1:57" hidden="1">
      <c r="A144" s="58" t="s">
        <v>119</v>
      </c>
      <c r="B144" s="94"/>
      <c r="C144" s="61"/>
      <c r="D144" s="63"/>
      <c r="E144" s="63"/>
      <c r="F144" s="117"/>
      <c r="G144" s="64"/>
      <c r="H144" s="65">
        <f>VLOOKUP(A144,'Thuc te theo thang'!$A$4:$I$309,8,FALSE)</f>
        <v>0</v>
      </c>
      <c r="I144" s="65">
        <f>VLOOKUP(A144,'Thuc te theo thang'!$A$4:$I$309,9,FALSE)</f>
        <v>0</v>
      </c>
      <c r="J144" s="65"/>
      <c r="K144" s="65">
        <f t="shared" si="4"/>
        <v>0</v>
      </c>
      <c r="L144" s="65"/>
      <c r="M144" s="65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</row>
    <row r="145" spans="1:57" hidden="1">
      <c r="A145" s="58" t="s">
        <v>120</v>
      </c>
      <c r="B145" s="94"/>
      <c r="C145" s="58"/>
      <c r="D145" s="63"/>
      <c r="E145" s="63"/>
      <c r="F145" s="117"/>
      <c r="G145" s="64"/>
      <c r="H145" s="65">
        <f>VLOOKUP(A145,'Thuc te theo thang'!$A$4:$I$309,8,FALSE)</f>
        <v>0</v>
      </c>
      <c r="I145" s="65">
        <f>VLOOKUP(A145,'Thuc te theo thang'!$A$4:$I$309,9,FALSE)</f>
        <v>0</v>
      </c>
      <c r="J145" s="65"/>
      <c r="K145" s="65">
        <f t="shared" si="4"/>
        <v>0</v>
      </c>
      <c r="L145" s="65"/>
      <c r="M145" s="65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</row>
    <row r="146" spans="1:57" hidden="1">
      <c r="A146" s="58" t="s">
        <v>121</v>
      </c>
      <c r="B146" s="94"/>
      <c r="C146" s="58"/>
      <c r="D146" s="63"/>
      <c r="E146" s="63"/>
      <c r="F146" s="117"/>
      <c r="G146" s="64"/>
      <c r="H146" s="65">
        <f>VLOOKUP(A146,'Thuc te theo thang'!$A$4:$I$309,8,FALSE)</f>
        <v>0</v>
      </c>
      <c r="I146" s="65">
        <f>VLOOKUP(A146,'Thuc te theo thang'!$A$4:$I$309,9,FALSE)</f>
        <v>0</v>
      </c>
      <c r="J146" s="65"/>
      <c r="K146" s="65">
        <f t="shared" ref="K146:K189" si="5">H146-I146-J146</f>
        <v>0</v>
      </c>
      <c r="L146" s="65"/>
      <c r="M146" s="65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</row>
    <row r="147" spans="1:57" hidden="1">
      <c r="A147" s="58" t="s">
        <v>122</v>
      </c>
      <c r="B147" s="94"/>
      <c r="C147" s="61"/>
      <c r="D147" s="63"/>
      <c r="E147" s="63"/>
      <c r="F147" s="117"/>
      <c r="G147" s="64"/>
      <c r="H147" s="65">
        <f>VLOOKUP(A147,'Thuc te theo thang'!$A$4:$I$309,8,FALSE)</f>
        <v>0</v>
      </c>
      <c r="I147" s="65">
        <f>VLOOKUP(A147,'Thuc te theo thang'!$A$4:$I$309,9,FALSE)</f>
        <v>0</v>
      </c>
      <c r="J147" s="65"/>
      <c r="K147" s="65">
        <f t="shared" si="5"/>
        <v>0</v>
      </c>
      <c r="L147" s="65"/>
      <c r="M147" s="65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</row>
    <row r="148" spans="1:57" hidden="1">
      <c r="A148" s="58" t="s">
        <v>191</v>
      </c>
      <c r="B148" s="94"/>
      <c r="C148" s="58"/>
      <c r="D148" s="63"/>
      <c r="E148" s="63"/>
      <c r="F148" s="117"/>
      <c r="G148" s="64"/>
      <c r="H148" s="65">
        <f>VLOOKUP(A148,'Thuc te theo thang'!$A$4:$I$309,8,FALSE)</f>
        <v>0</v>
      </c>
      <c r="I148" s="65">
        <f>VLOOKUP(A148,'Thuc te theo thang'!$A$4:$I$309,9,FALSE)</f>
        <v>0</v>
      </c>
      <c r="J148" s="65"/>
      <c r="K148" s="65">
        <f t="shared" si="5"/>
        <v>0</v>
      </c>
      <c r="L148" s="65"/>
      <c r="M148" s="65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</row>
    <row r="149" spans="1:57" hidden="1">
      <c r="A149" s="58" t="s">
        <v>192</v>
      </c>
      <c r="B149" s="94"/>
      <c r="C149" s="58"/>
      <c r="D149" s="63"/>
      <c r="E149" s="63"/>
      <c r="F149" s="117"/>
      <c r="G149" s="64"/>
      <c r="H149" s="65">
        <f>VLOOKUP(A149,'Thuc te theo thang'!$A$4:$I$309,8,FALSE)</f>
        <v>0</v>
      </c>
      <c r="I149" s="65">
        <f>VLOOKUP(A149,'Thuc te theo thang'!$A$4:$I$309,9,FALSE)</f>
        <v>0</v>
      </c>
      <c r="J149" s="65"/>
      <c r="K149" s="65">
        <f t="shared" si="5"/>
        <v>0</v>
      </c>
      <c r="L149" s="65"/>
      <c r="M149" s="65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</row>
    <row r="150" spans="1:57" hidden="1">
      <c r="A150" s="58" t="s">
        <v>193</v>
      </c>
      <c r="B150" s="57"/>
      <c r="C150" s="61"/>
      <c r="D150" s="63"/>
      <c r="E150" s="63"/>
      <c r="F150" s="117"/>
      <c r="G150" s="64"/>
      <c r="H150" s="65">
        <f>VLOOKUP(A150,'Thuc te theo thang'!$A$4:$I$309,8,FALSE)</f>
        <v>0</v>
      </c>
      <c r="I150" s="65">
        <f>VLOOKUP(A150,'Thuc te theo thang'!$A$4:$I$309,9,FALSE)</f>
        <v>0</v>
      </c>
      <c r="J150" s="65"/>
      <c r="K150" s="65">
        <f t="shared" si="5"/>
        <v>0</v>
      </c>
      <c r="L150" s="65"/>
      <c r="M150" s="65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</row>
    <row r="151" spans="1:57" hidden="1">
      <c r="A151" s="58" t="s">
        <v>194</v>
      </c>
      <c r="B151" s="57"/>
      <c r="C151" s="61"/>
      <c r="D151" s="63"/>
      <c r="E151" s="63"/>
      <c r="F151" s="117"/>
      <c r="G151" s="64"/>
      <c r="H151" s="65">
        <f>VLOOKUP(A151,'Thuc te theo thang'!$A$4:$I$309,8,FALSE)</f>
        <v>0</v>
      </c>
      <c r="I151" s="65">
        <f>VLOOKUP(A151,'Thuc te theo thang'!$A$4:$I$309,9,FALSE)</f>
        <v>0</v>
      </c>
      <c r="J151" s="65"/>
      <c r="K151" s="65">
        <f t="shared" si="5"/>
        <v>0</v>
      </c>
      <c r="L151" s="65"/>
      <c r="M151" s="65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</row>
    <row r="152" spans="1:57" hidden="1">
      <c r="A152" s="58" t="s">
        <v>195</v>
      </c>
      <c r="B152" s="159"/>
      <c r="C152" s="61"/>
      <c r="D152" s="63"/>
      <c r="E152" s="63"/>
      <c r="F152" s="117"/>
      <c r="G152" s="64"/>
      <c r="H152" s="65">
        <f>VLOOKUP(A152,'Thuc te theo thang'!$A$4:$I$309,8,FALSE)</f>
        <v>0</v>
      </c>
      <c r="I152" s="65">
        <f>VLOOKUP(A152,'Thuc te theo thang'!$A$4:$I$309,9,FALSE)</f>
        <v>0</v>
      </c>
      <c r="J152" s="65"/>
      <c r="K152" s="65">
        <f t="shared" si="5"/>
        <v>0</v>
      </c>
      <c r="L152" s="65"/>
      <c r="M152" s="65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</row>
    <row r="153" spans="1:57" hidden="1">
      <c r="A153" s="58" t="s">
        <v>256</v>
      </c>
      <c r="B153" s="159"/>
      <c r="C153" s="61"/>
      <c r="D153" s="63"/>
      <c r="E153" s="63"/>
      <c r="F153" s="117"/>
      <c r="G153" s="64"/>
      <c r="H153" s="65">
        <f>VLOOKUP(A153,'Thuc te theo thang'!$A$4:$I$309,8,FALSE)</f>
        <v>0</v>
      </c>
      <c r="I153" s="65">
        <f>VLOOKUP(A153,'Thuc te theo thang'!$A$4:$I$309,9,FALSE)</f>
        <v>0</v>
      </c>
      <c r="J153" s="65"/>
      <c r="K153" s="65">
        <f t="shared" si="5"/>
        <v>0</v>
      </c>
      <c r="L153" s="65"/>
      <c r="M153" s="65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</row>
    <row r="154" spans="1:57" hidden="1">
      <c r="A154" s="58" t="s">
        <v>257</v>
      </c>
      <c r="B154" s="159"/>
      <c r="C154" s="61"/>
      <c r="D154" s="63"/>
      <c r="E154" s="63"/>
      <c r="F154" s="117"/>
      <c r="G154" s="64"/>
      <c r="H154" s="65">
        <f>VLOOKUP(A154,'Thuc te theo thang'!$A$4:$I$309,8,FALSE)</f>
        <v>0</v>
      </c>
      <c r="I154" s="65">
        <f>VLOOKUP(A154,'Thuc te theo thang'!$A$4:$I$309,9,FALSE)</f>
        <v>0</v>
      </c>
      <c r="J154" s="65"/>
      <c r="K154" s="65">
        <f t="shared" si="5"/>
        <v>0</v>
      </c>
      <c r="L154" s="65"/>
      <c r="M154" s="65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</row>
    <row r="155" spans="1:57" hidden="1">
      <c r="A155" s="58" t="s">
        <v>258</v>
      </c>
      <c r="C155" s="58"/>
      <c r="D155" s="63"/>
      <c r="E155" s="63"/>
      <c r="F155" s="117"/>
      <c r="G155" s="64"/>
      <c r="H155" s="65">
        <f>VLOOKUP(A155,'Thuc te theo thang'!$A$4:$I$309,8,FALSE)</f>
        <v>0</v>
      </c>
      <c r="I155" s="65">
        <f>VLOOKUP(A155,'Thuc te theo thang'!$A$4:$I$309,9,FALSE)</f>
        <v>0</v>
      </c>
      <c r="J155" s="65"/>
      <c r="K155" s="65">
        <f t="shared" si="5"/>
        <v>0</v>
      </c>
      <c r="L155" s="65"/>
      <c r="M155" s="65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</row>
    <row r="156" spans="1:57" hidden="1">
      <c r="A156" s="58" t="s">
        <v>259</v>
      </c>
      <c r="B156" s="57"/>
      <c r="C156" s="69"/>
      <c r="D156" s="63"/>
      <c r="E156" s="63"/>
      <c r="F156" s="117"/>
      <c r="G156" s="64"/>
      <c r="H156" s="65">
        <f>VLOOKUP(A156,'Thuc te theo thang'!$A$4:$I$309,8,FALSE)</f>
        <v>0</v>
      </c>
      <c r="I156" s="65">
        <f>VLOOKUP(A156,'Thuc te theo thang'!$A$4:$I$309,9,FALSE)</f>
        <v>0</v>
      </c>
      <c r="J156" s="65"/>
      <c r="K156" s="65">
        <f t="shared" si="5"/>
        <v>0</v>
      </c>
      <c r="L156" s="65"/>
      <c r="M156" s="65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</row>
    <row r="157" spans="1:57" hidden="1">
      <c r="A157" s="58" t="s">
        <v>260</v>
      </c>
      <c r="B157" s="57"/>
      <c r="C157" s="58"/>
      <c r="D157" s="63"/>
      <c r="E157" s="63"/>
      <c r="F157" s="117"/>
      <c r="G157" s="64"/>
      <c r="H157" s="65">
        <f>VLOOKUP(A157,'Thuc te theo thang'!$A$4:$I$309,8,FALSE)</f>
        <v>0</v>
      </c>
      <c r="I157" s="65">
        <f>VLOOKUP(A157,'Thuc te theo thang'!$A$4:$I$309,9,FALSE)</f>
        <v>0</v>
      </c>
      <c r="J157" s="65"/>
      <c r="K157" s="65">
        <f t="shared" si="5"/>
        <v>0</v>
      </c>
      <c r="L157" s="65"/>
      <c r="M157" s="65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</row>
    <row r="158" spans="1:57" hidden="1">
      <c r="A158" s="58" t="s">
        <v>261</v>
      </c>
      <c r="B158" s="57"/>
      <c r="C158" s="58"/>
      <c r="D158" s="63"/>
      <c r="E158" s="63"/>
      <c r="F158" s="117"/>
      <c r="G158" s="64"/>
      <c r="H158" s="65">
        <f>VLOOKUP(A158,'Thuc te theo thang'!$A$4:$I$309,8,FALSE)</f>
        <v>0</v>
      </c>
      <c r="I158" s="65">
        <f>VLOOKUP(A158,'Thuc te theo thang'!$A$4:$I$309,9,FALSE)</f>
        <v>0</v>
      </c>
      <c r="J158" s="65"/>
      <c r="K158" s="65">
        <f t="shared" si="5"/>
        <v>0</v>
      </c>
      <c r="L158" s="65"/>
      <c r="M158" s="65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</row>
    <row r="159" spans="1:57" hidden="1">
      <c r="A159" s="58" t="s">
        <v>262</v>
      </c>
      <c r="B159" s="57"/>
      <c r="C159" s="68"/>
      <c r="D159" s="63"/>
      <c r="E159" s="63"/>
      <c r="F159" s="117"/>
      <c r="G159" s="64"/>
      <c r="H159" s="65">
        <f>VLOOKUP(A159,'Thuc te theo thang'!$A$4:$I$309,8,FALSE)</f>
        <v>0</v>
      </c>
      <c r="I159" s="65">
        <f>VLOOKUP(A159,'Thuc te theo thang'!$A$4:$I$309,9,FALSE)</f>
        <v>0</v>
      </c>
      <c r="J159" s="65"/>
      <c r="K159" s="65">
        <f t="shared" si="5"/>
        <v>0</v>
      </c>
      <c r="L159" s="65"/>
      <c r="M159" s="65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</row>
    <row r="160" spans="1:57" hidden="1">
      <c r="A160" s="58" t="s">
        <v>263</v>
      </c>
      <c r="B160" s="57"/>
      <c r="C160" s="58"/>
      <c r="D160" s="63"/>
      <c r="E160" s="63"/>
      <c r="F160" s="117"/>
      <c r="G160" s="64"/>
      <c r="H160" s="65">
        <f>VLOOKUP(A160,'Thuc te theo thang'!$A$4:$I$309,8,FALSE)</f>
        <v>0</v>
      </c>
      <c r="I160" s="65">
        <f>VLOOKUP(A160,'Thuc te theo thang'!$A$4:$I$309,9,FALSE)</f>
        <v>0</v>
      </c>
      <c r="J160" s="65"/>
      <c r="K160" s="65">
        <f t="shared" si="5"/>
        <v>0</v>
      </c>
      <c r="L160" s="65"/>
      <c r="M160" s="65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</row>
    <row r="161" spans="1:57" hidden="1">
      <c r="A161" s="58" t="s">
        <v>264</v>
      </c>
      <c r="B161" s="57"/>
      <c r="C161" s="58"/>
      <c r="D161" s="63"/>
      <c r="E161" s="63"/>
      <c r="F161" s="117"/>
      <c r="G161" s="63"/>
      <c r="H161" s="65">
        <f>VLOOKUP(A161,'Thuc te theo thang'!$A$4:$I$309,8,FALSE)</f>
        <v>0</v>
      </c>
      <c r="I161" s="65">
        <f>VLOOKUP(A161,'Thuc te theo thang'!$A$4:$I$309,9,FALSE)</f>
        <v>0</v>
      </c>
      <c r="J161" s="65"/>
      <c r="K161" s="65">
        <f t="shared" si="5"/>
        <v>0</v>
      </c>
      <c r="L161" s="65"/>
      <c r="M161" s="65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</row>
    <row r="162" spans="1:57" hidden="1">
      <c r="A162" s="58" t="s">
        <v>265</v>
      </c>
      <c r="B162" s="94"/>
      <c r="C162" s="58"/>
      <c r="D162" s="63"/>
      <c r="E162" s="63"/>
      <c r="F162" s="117"/>
      <c r="G162" s="64"/>
      <c r="H162" s="65">
        <f>VLOOKUP(A162,'Thuc te theo thang'!$A$4:$I$309,8,FALSE)</f>
        <v>0</v>
      </c>
      <c r="I162" s="65">
        <f>VLOOKUP(A162,'Thuc te theo thang'!$A$4:$I$309,9,FALSE)</f>
        <v>0</v>
      </c>
      <c r="J162" s="65"/>
      <c r="K162" s="65">
        <f t="shared" si="5"/>
        <v>0</v>
      </c>
      <c r="L162" s="65"/>
      <c r="M162" s="65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</row>
    <row r="163" spans="1:57" hidden="1">
      <c r="A163" s="58" t="s">
        <v>266</v>
      </c>
      <c r="B163" s="94"/>
      <c r="C163" s="58"/>
      <c r="D163" s="63"/>
      <c r="E163" s="63"/>
      <c r="F163" s="117"/>
      <c r="G163" s="64"/>
      <c r="H163" s="65">
        <f>VLOOKUP(A163,'Thuc te theo thang'!$A$4:$I$309,8,FALSE)</f>
        <v>0</v>
      </c>
      <c r="I163" s="65">
        <f>VLOOKUP(A163,'Thuc te theo thang'!$A$4:$I$309,9,FALSE)</f>
        <v>0</v>
      </c>
      <c r="J163" s="65"/>
      <c r="K163" s="65">
        <f t="shared" si="5"/>
        <v>0</v>
      </c>
      <c r="L163" s="65"/>
      <c r="M163" s="65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</row>
    <row r="164" spans="1:57" hidden="1">
      <c r="A164" s="58" t="s">
        <v>267</v>
      </c>
      <c r="B164" s="70"/>
      <c r="C164" s="58"/>
      <c r="D164" s="63"/>
      <c r="E164" s="63"/>
      <c r="F164" s="117"/>
      <c r="G164" s="64"/>
      <c r="H164" s="65">
        <f>VLOOKUP(A164,'Thuc te theo thang'!$A$4:$I$309,8,FALSE)</f>
        <v>0</v>
      </c>
      <c r="I164" s="65">
        <f>VLOOKUP(A164,'Thuc te theo thang'!$A$4:$I$309,9,FALSE)</f>
        <v>0</v>
      </c>
      <c r="J164" s="65"/>
      <c r="K164" s="65">
        <f t="shared" si="5"/>
        <v>0</v>
      </c>
      <c r="L164" s="65"/>
      <c r="M164" s="65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</row>
    <row r="165" spans="1:57" hidden="1">
      <c r="A165" s="58" t="s">
        <v>268</v>
      </c>
      <c r="B165" s="70"/>
      <c r="C165" s="58"/>
      <c r="D165" s="63"/>
      <c r="E165" s="63"/>
      <c r="F165" s="117"/>
      <c r="G165" s="64"/>
      <c r="H165" s="65">
        <f>VLOOKUP(A165,'Thuc te theo thang'!$A$4:$I$309,8,FALSE)</f>
        <v>0</v>
      </c>
      <c r="I165" s="65">
        <f>VLOOKUP(A165,'Thuc te theo thang'!$A$4:$I$309,9,FALSE)</f>
        <v>0</v>
      </c>
      <c r="J165" s="65"/>
      <c r="K165" s="65">
        <f t="shared" si="5"/>
        <v>0</v>
      </c>
      <c r="L165" s="65"/>
      <c r="M165" s="65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</row>
    <row r="166" spans="1:57" hidden="1">
      <c r="A166" s="58" t="s">
        <v>269</v>
      </c>
      <c r="B166" s="94"/>
      <c r="C166" s="58"/>
      <c r="D166" s="63"/>
      <c r="E166" s="63"/>
      <c r="F166" s="117"/>
      <c r="G166" s="64"/>
      <c r="H166" s="65">
        <f>VLOOKUP(A166,'Thuc te theo thang'!$A$4:$I$309,8,FALSE)</f>
        <v>0</v>
      </c>
      <c r="I166" s="65">
        <f>VLOOKUP(A166,'Thuc te theo thang'!$A$4:$I$309,9,FALSE)</f>
        <v>0</v>
      </c>
      <c r="J166" s="65"/>
      <c r="K166" s="65">
        <f t="shared" si="5"/>
        <v>0</v>
      </c>
      <c r="L166" s="65"/>
      <c r="M166" s="65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</row>
    <row r="167" spans="1:57" hidden="1">
      <c r="A167" s="58" t="s">
        <v>270</v>
      </c>
      <c r="B167" s="94"/>
      <c r="C167" s="58"/>
      <c r="D167" s="63"/>
      <c r="E167" s="63"/>
      <c r="F167" s="117"/>
      <c r="G167" s="63"/>
      <c r="H167" s="65">
        <f>VLOOKUP(A167,'Thuc te theo thang'!$A$4:$I$309,8,FALSE)</f>
        <v>0</v>
      </c>
      <c r="I167" s="65">
        <f>VLOOKUP(A167,'Thuc te theo thang'!$A$4:$I$309,9,FALSE)</f>
        <v>0</v>
      </c>
      <c r="J167" s="65"/>
      <c r="K167" s="65">
        <f t="shared" si="5"/>
        <v>0</v>
      </c>
      <c r="L167" s="65"/>
      <c r="M167" s="65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</row>
    <row r="168" spans="1:57" hidden="1">
      <c r="A168" s="58" t="s">
        <v>271</v>
      </c>
      <c r="B168" s="94"/>
      <c r="C168" s="58"/>
      <c r="D168" s="63"/>
      <c r="E168" s="63"/>
      <c r="F168" s="117"/>
      <c r="G168" s="64"/>
      <c r="H168" s="65">
        <f>VLOOKUP(A168,'Thuc te theo thang'!$A$4:$I$309,8,FALSE)</f>
        <v>0</v>
      </c>
      <c r="I168" s="65">
        <f>VLOOKUP(A168,'Thuc te theo thang'!$A$4:$I$309,9,FALSE)</f>
        <v>0</v>
      </c>
      <c r="J168" s="65"/>
      <c r="K168" s="65">
        <f t="shared" si="5"/>
        <v>0</v>
      </c>
      <c r="L168" s="65"/>
      <c r="M168" s="65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</row>
    <row r="169" spans="1:57" hidden="1">
      <c r="A169" s="58" t="s">
        <v>272</v>
      </c>
      <c r="B169" s="94"/>
      <c r="C169" s="58"/>
      <c r="D169" s="63"/>
      <c r="E169" s="63"/>
      <c r="F169" s="117"/>
      <c r="G169" s="101"/>
      <c r="H169" s="65">
        <f>VLOOKUP(A169,'Thuc te theo thang'!$A$4:$I$309,8,FALSE)</f>
        <v>0</v>
      </c>
      <c r="I169" s="65">
        <f>VLOOKUP(A169,'Thuc te theo thang'!$A$4:$I$309,9,FALSE)</f>
        <v>0</v>
      </c>
      <c r="J169" s="65"/>
      <c r="K169" s="65">
        <f t="shared" si="5"/>
        <v>0</v>
      </c>
      <c r="L169" s="65"/>
      <c r="M169" s="65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</row>
    <row r="170" spans="1:57" hidden="1">
      <c r="A170" s="58" t="s">
        <v>273</v>
      </c>
      <c r="B170" s="94"/>
      <c r="C170" s="58"/>
      <c r="D170" s="63"/>
      <c r="E170" s="63"/>
      <c r="F170" s="117"/>
      <c r="G170" s="64"/>
      <c r="H170" s="65">
        <f>VLOOKUP(A170,'Thuc te theo thang'!$A$4:$I$309,8,FALSE)</f>
        <v>0</v>
      </c>
      <c r="I170" s="65">
        <f>VLOOKUP(A170,'Thuc te theo thang'!$A$4:$I$309,9,FALSE)</f>
        <v>0</v>
      </c>
      <c r="J170" s="65"/>
      <c r="K170" s="65">
        <f t="shared" si="5"/>
        <v>0</v>
      </c>
      <c r="L170" s="65"/>
      <c r="M170" s="65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</row>
    <row r="171" spans="1:57" hidden="1">
      <c r="A171" s="58" t="s">
        <v>274</v>
      </c>
      <c r="B171" s="94"/>
      <c r="C171" s="58"/>
      <c r="D171" s="63"/>
      <c r="E171" s="63"/>
      <c r="F171" s="117"/>
      <c r="G171" s="64"/>
      <c r="H171" s="65">
        <f>VLOOKUP(A171,'Thuc te theo thang'!$A$4:$I$309,8,FALSE)</f>
        <v>0</v>
      </c>
      <c r="I171" s="65">
        <f>VLOOKUP(A171,'Thuc te theo thang'!$A$4:$I$309,9,FALSE)</f>
        <v>0</v>
      </c>
      <c r="J171" s="65"/>
      <c r="K171" s="65">
        <f t="shared" si="5"/>
        <v>0</v>
      </c>
      <c r="L171" s="65"/>
      <c r="M171" s="65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</row>
    <row r="172" spans="1:57" hidden="1">
      <c r="A172" s="58" t="s">
        <v>275</v>
      </c>
      <c r="B172" s="57"/>
      <c r="C172" s="58"/>
      <c r="D172" s="63"/>
      <c r="E172" s="63"/>
      <c r="F172" s="117"/>
      <c r="G172" s="64"/>
      <c r="H172" s="65">
        <f>VLOOKUP(A172,'Thuc te theo thang'!$A$4:$I$309,8,FALSE)</f>
        <v>0</v>
      </c>
      <c r="I172" s="65">
        <f>VLOOKUP(A172,'Thuc te theo thang'!$A$4:$I$309,9,FALSE)</f>
        <v>0</v>
      </c>
      <c r="J172" s="65"/>
      <c r="K172" s="65">
        <f t="shared" si="5"/>
        <v>0</v>
      </c>
      <c r="L172" s="65"/>
      <c r="M172" s="65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</row>
    <row r="173" spans="1:57" hidden="1">
      <c r="A173" s="58" t="s">
        <v>276</v>
      </c>
      <c r="B173" s="57"/>
      <c r="C173" s="61"/>
      <c r="D173" s="63"/>
      <c r="E173" s="63"/>
      <c r="F173" s="117"/>
      <c r="G173" s="64"/>
      <c r="H173" s="65">
        <f>VLOOKUP(A173,'Thuc te theo thang'!$A$4:$I$309,8,FALSE)</f>
        <v>0</v>
      </c>
      <c r="I173" s="65">
        <f>VLOOKUP(A173,'Thuc te theo thang'!$A$4:$I$309,9,FALSE)</f>
        <v>0</v>
      </c>
      <c r="J173" s="65"/>
      <c r="K173" s="65">
        <f t="shared" si="5"/>
        <v>0</v>
      </c>
      <c r="L173" s="65"/>
      <c r="M173" s="65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</row>
    <row r="174" spans="1:57" hidden="1">
      <c r="A174" s="58" t="s">
        <v>277</v>
      </c>
      <c r="B174" s="94"/>
      <c r="C174" s="61"/>
      <c r="D174" s="63"/>
      <c r="E174" s="63"/>
      <c r="F174" s="117"/>
      <c r="G174" s="64"/>
      <c r="H174" s="65">
        <f>VLOOKUP(A174,'Thuc te theo thang'!$A$4:$I$309,8,FALSE)</f>
        <v>0</v>
      </c>
      <c r="I174" s="65">
        <f>VLOOKUP(A174,'Thuc te theo thang'!$A$4:$I$309,9,FALSE)</f>
        <v>0</v>
      </c>
      <c r="J174" s="65"/>
      <c r="K174" s="65">
        <f t="shared" si="5"/>
        <v>0</v>
      </c>
      <c r="L174" s="65"/>
      <c r="M174" s="65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</row>
    <row r="175" spans="1:57" hidden="1">
      <c r="A175" s="58" t="s">
        <v>278</v>
      </c>
      <c r="B175" s="94"/>
      <c r="C175" s="61"/>
      <c r="D175" s="63"/>
      <c r="E175" s="63"/>
      <c r="F175" s="117"/>
      <c r="G175" s="64"/>
      <c r="H175" s="65">
        <f>VLOOKUP(A175,'Thuc te theo thang'!$A$4:$I$309,8,FALSE)</f>
        <v>0</v>
      </c>
      <c r="I175" s="65">
        <f>VLOOKUP(A175,'Thuc te theo thang'!$A$4:$I$309,9,FALSE)</f>
        <v>0</v>
      </c>
      <c r="J175" s="65"/>
      <c r="K175" s="65">
        <f t="shared" si="5"/>
        <v>0</v>
      </c>
      <c r="L175" s="65"/>
      <c r="M175" s="65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</row>
    <row r="176" spans="1:57" hidden="1">
      <c r="A176" s="58" t="s">
        <v>279</v>
      </c>
      <c r="B176" s="70"/>
      <c r="C176" s="58"/>
      <c r="D176" s="63"/>
      <c r="E176" s="63"/>
      <c r="F176" s="117"/>
      <c r="G176" s="64"/>
      <c r="H176" s="65">
        <f>VLOOKUP(A176,'Thuc te theo thang'!$A$4:$I$309,8,FALSE)</f>
        <v>0</v>
      </c>
      <c r="I176" s="65">
        <f>VLOOKUP(A176,'Thuc te theo thang'!$A$4:$I$309,9,FALSE)</f>
        <v>0</v>
      </c>
      <c r="J176" s="65"/>
      <c r="K176" s="65">
        <f t="shared" si="5"/>
        <v>0</v>
      </c>
      <c r="L176" s="65"/>
      <c r="M176" s="65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</row>
    <row r="177" spans="1:57" hidden="1">
      <c r="A177" s="58" t="s">
        <v>280</v>
      </c>
      <c r="B177" s="94"/>
      <c r="C177" s="69"/>
      <c r="D177" s="103"/>
      <c r="E177" s="103"/>
      <c r="F177" s="119"/>
      <c r="G177" s="64"/>
      <c r="H177" s="65">
        <f>VLOOKUP(A177,'Thuc te theo thang'!$A$4:$I$309,8,FALSE)</f>
        <v>0</v>
      </c>
      <c r="I177" s="65">
        <f>VLOOKUP(A177,'Thuc te theo thang'!$A$4:$I$309,9,FALSE)</f>
        <v>0</v>
      </c>
      <c r="J177" s="65"/>
      <c r="K177" s="65">
        <f t="shared" si="5"/>
        <v>0</v>
      </c>
      <c r="L177" s="65"/>
      <c r="M177" s="65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</row>
    <row r="178" spans="1:57" hidden="1">
      <c r="A178" s="58" t="s">
        <v>281</v>
      </c>
      <c r="B178" s="57"/>
      <c r="C178" s="58"/>
      <c r="D178" s="63"/>
      <c r="E178" s="63"/>
      <c r="F178" s="117"/>
      <c r="G178" s="64"/>
      <c r="H178" s="65">
        <f>VLOOKUP(A178,'Thuc te theo thang'!$A$4:$I$309,8,FALSE)</f>
        <v>0</v>
      </c>
      <c r="I178" s="65">
        <f>VLOOKUP(A178,'Thuc te theo thang'!$A$4:$I$309,9,FALSE)</f>
        <v>0</v>
      </c>
      <c r="J178" s="65"/>
      <c r="K178" s="65">
        <f t="shared" si="5"/>
        <v>0</v>
      </c>
      <c r="L178" s="65"/>
      <c r="M178" s="65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</row>
    <row r="179" spans="1:57" hidden="1">
      <c r="A179" s="58" t="s">
        <v>282</v>
      </c>
      <c r="B179" s="57"/>
      <c r="C179" s="58"/>
      <c r="D179" s="63"/>
      <c r="E179" s="63"/>
      <c r="F179" s="117"/>
      <c r="G179" s="64"/>
      <c r="H179" s="65">
        <f>VLOOKUP(A179,'Thuc te theo thang'!$A$4:$I$309,8,FALSE)</f>
        <v>0</v>
      </c>
      <c r="I179" s="65">
        <f>VLOOKUP(A179,'Thuc te theo thang'!$A$4:$I$309,9,FALSE)</f>
        <v>0</v>
      </c>
      <c r="J179" s="65"/>
      <c r="K179" s="65">
        <f t="shared" si="5"/>
        <v>0</v>
      </c>
      <c r="L179" s="65"/>
      <c r="M179" s="65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</row>
    <row r="180" spans="1:57" hidden="1">
      <c r="A180" s="58" t="s">
        <v>283</v>
      </c>
      <c r="B180" s="57"/>
      <c r="C180" s="58"/>
      <c r="D180" s="63"/>
      <c r="E180" s="63"/>
      <c r="F180" s="117"/>
      <c r="G180" s="64"/>
      <c r="H180" s="65">
        <f>VLOOKUP(A180,'Thuc te theo thang'!$A$4:$I$309,8,FALSE)</f>
        <v>0</v>
      </c>
      <c r="I180" s="65">
        <f>VLOOKUP(A180,'Thuc te theo thang'!$A$4:$I$309,9,FALSE)</f>
        <v>0</v>
      </c>
      <c r="J180" s="65"/>
      <c r="K180" s="65">
        <f t="shared" si="5"/>
        <v>0</v>
      </c>
      <c r="L180" s="65"/>
      <c r="M180" s="65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</row>
    <row r="181" spans="1:57" hidden="1">
      <c r="A181" s="58" t="s">
        <v>284</v>
      </c>
      <c r="B181" s="57"/>
      <c r="C181" s="58"/>
      <c r="D181" s="63"/>
      <c r="E181" s="63"/>
      <c r="F181" s="117"/>
      <c r="G181" s="64"/>
      <c r="H181" s="65">
        <f>VLOOKUP(A181,'Thuc te theo thang'!$A$4:$I$309,8,FALSE)</f>
        <v>0</v>
      </c>
      <c r="I181" s="65">
        <f>VLOOKUP(A181,'Thuc te theo thang'!$A$4:$I$309,9,FALSE)</f>
        <v>0</v>
      </c>
      <c r="J181" s="65"/>
      <c r="K181" s="65">
        <f t="shared" si="5"/>
        <v>0</v>
      </c>
      <c r="L181" s="65"/>
      <c r="M181" s="65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</row>
    <row r="182" spans="1:57" hidden="1">
      <c r="A182" s="58" t="s">
        <v>285</v>
      </c>
      <c r="B182" s="94"/>
      <c r="C182" s="58"/>
      <c r="D182" s="63"/>
      <c r="E182" s="63"/>
      <c r="F182" s="117"/>
      <c r="G182" s="63"/>
      <c r="H182" s="65">
        <f>VLOOKUP(A182,'Thuc te theo thang'!$A$4:$I$309,8,FALSE)</f>
        <v>0</v>
      </c>
      <c r="I182" s="65">
        <f>VLOOKUP(A182,'Thuc te theo thang'!$A$4:$I$309,9,FALSE)</f>
        <v>0</v>
      </c>
      <c r="J182" s="65"/>
      <c r="K182" s="65">
        <f t="shared" si="5"/>
        <v>0</v>
      </c>
      <c r="L182" s="65"/>
      <c r="M182" s="65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</row>
    <row r="183" spans="1:57" hidden="1">
      <c r="A183" s="58" t="s">
        <v>286</v>
      </c>
      <c r="B183" s="57"/>
      <c r="C183" s="58"/>
      <c r="D183" s="63"/>
      <c r="E183" s="63"/>
      <c r="F183" s="117"/>
      <c r="G183" s="64"/>
      <c r="H183" s="65">
        <f>VLOOKUP(A183,'Thuc te theo thang'!$A$4:$I$309,8,FALSE)</f>
        <v>0</v>
      </c>
      <c r="I183" s="65">
        <f>VLOOKUP(A183,'Thuc te theo thang'!$A$4:$I$309,9,FALSE)</f>
        <v>0</v>
      </c>
      <c r="J183" s="65"/>
      <c r="K183" s="65">
        <f t="shared" si="5"/>
        <v>0</v>
      </c>
      <c r="L183" s="65"/>
      <c r="M183" s="65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</row>
    <row r="184" spans="1:57" hidden="1">
      <c r="A184" s="58" t="s">
        <v>287</v>
      </c>
      <c r="B184" s="57"/>
      <c r="C184" s="58"/>
      <c r="D184" s="63"/>
      <c r="E184" s="63"/>
      <c r="F184" s="117"/>
      <c r="G184" s="101"/>
      <c r="H184" s="65">
        <f>VLOOKUP(A184,'Thuc te theo thang'!$A$4:$I$309,8,FALSE)</f>
        <v>0</v>
      </c>
      <c r="I184" s="65">
        <f>VLOOKUP(A184,'Thuc te theo thang'!$A$4:$I$309,9,FALSE)</f>
        <v>0</v>
      </c>
      <c r="J184" s="65"/>
      <c r="K184" s="65">
        <f t="shared" si="5"/>
        <v>0</v>
      </c>
      <c r="L184" s="65"/>
      <c r="M184" s="65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</row>
    <row r="185" spans="1:57" hidden="1">
      <c r="A185" s="58" t="s">
        <v>288</v>
      </c>
      <c r="B185" s="57"/>
      <c r="C185" s="58"/>
      <c r="D185" s="63"/>
      <c r="E185" s="63"/>
      <c r="F185" s="117"/>
      <c r="G185" s="64"/>
      <c r="H185" s="65">
        <f>VLOOKUP(A185,'Thuc te theo thang'!$A$4:$I$309,8,FALSE)</f>
        <v>0</v>
      </c>
      <c r="I185" s="65">
        <f>VLOOKUP(A185,'Thuc te theo thang'!$A$4:$I$309,9,FALSE)</f>
        <v>0</v>
      </c>
      <c r="J185" s="65"/>
      <c r="K185" s="65">
        <f t="shared" si="5"/>
        <v>0</v>
      </c>
      <c r="L185" s="65"/>
      <c r="M185" s="65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</row>
    <row r="186" spans="1:57" hidden="1">
      <c r="A186" s="58" t="s">
        <v>289</v>
      </c>
      <c r="B186" s="57"/>
      <c r="C186" s="58"/>
      <c r="D186" s="63"/>
      <c r="E186" s="63"/>
      <c r="F186" s="117"/>
      <c r="G186" s="64"/>
      <c r="H186" s="65">
        <f>VLOOKUP(A186,'Thuc te theo thang'!$A$4:$I$309,8,FALSE)</f>
        <v>0</v>
      </c>
      <c r="I186" s="65">
        <f>VLOOKUP(A186,'Thuc te theo thang'!$A$4:$I$309,9,FALSE)</f>
        <v>0</v>
      </c>
      <c r="J186" s="65"/>
      <c r="K186" s="65">
        <f t="shared" si="5"/>
        <v>0</v>
      </c>
      <c r="L186" s="65"/>
      <c r="M186" s="65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</row>
    <row r="187" spans="1:57" hidden="1">
      <c r="A187" s="58" t="s">
        <v>290</v>
      </c>
      <c r="B187" s="57"/>
      <c r="C187" s="58"/>
      <c r="D187" s="63"/>
      <c r="E187" s="63"/>
      <c r="F187" s="117"/>
      <c r="G187" s="64"/>
      <c r="H187" s="65">
        <f>VLOOKUP(A187,'Thuc te theo thang'!$A$4:$I$309,8,FALSE)</f>
        <v>0</v>
      </c>
      <c r="I187" s="65">
        <f>VLOOKUP(A187,'Thuc te theo thang'!$A$4:$I$309,9,FALSE)</f>
        <v>0</v>
      </c>
      <c r="J187" s="65"/>
      <c r="K187" s="65">
        <f t="shared" si="5"/>
        <v>0</v>
      </c>
      <c r="L187" s="65"/>
      <c r="M187" s="65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</row>
    <row r="188" spans="1:57" hidden="1">
      <c r="A188" s="58" t="s">
        <v>291</v>
      </c>
      <c r="B188" s="57"/>
      <c r="C188" s="61"/>
      <c r="D188" s="63"/>
      <c r="E188" s="63"/>
      <c r="F188" s="117"/>
      <c r="G188" s="64"/>
      <c r="H188" s="65">
        <f>VLOOKUP(A188,'Thuc te theo thang'!$A$4:$I$309,8,FALSE)</f>
        <v>0</v>
      </c>
      <c r="I188" s="65">
        <f>VLOOKUP(A188,'Thuc te theo thang'!$A$4:$I$309,9,FALSE)</f>
        <v>0</v>
      </c>
      <c r="J188" s="65"/>
      <c r="K188" s="65">
        <f t="shared" si="5"/>
        <v>0</v>
      </c>
      <c r="L188" s="65"/>
      <c r="M188" s="65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</row>
    <row r="189" spans="1:57" hidden="1">
      <c r="A189" s="58" t="s">
        <v>292</v>
      </c>
      <c r="B189" s="57"/>
      <c r="C189" s="58"/>
      <c r="D189" s="63"/>
      <c r="E189" s="63"/>
      <c r="F189" s="117"/>
      <c r="G189" s="64"/>
      <c r="H189" s="65">
        <f>VLOOKUP(A189,'Thuc te theo thang'!$A$4:$I$309,8,FALSE)</f>
        <v>0</v>
      </c>
      <c r="I189" s="65">
        <f>VLOOKUP(A189,'Thuc te theo thang'!$A$4:$I$309,9,FALSE)</f>
        <v>0</v>
      </c>
      <c r="J189" s="65"/>
      <c r="K189" s="65">
        <f t="shared" si="5"/>
        <v>0</v>
      </c>
      <c r="L189" s="65"/>
      <c r="M189" s="65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</row>
    <row r="190" spans="1:57" hidden="1">
      <c r="A190" s="58" t="s">
        <v>293</v>
      </c>
      <c r="B190" s="57"/>
      <c r="C190" s="58"/>
      <c r="D190" s="63"/>
      <c r="E190" s="63"/>
      <c r="F190" s="117"/>
      <c r="G190" s="64"/>
      <c r="H190" s="65">
        <f>VLOOKUP(A190,'Thuc te theo thang'!$A$4:$I$309,8,FALSE)</f>
        <v>0</v>
      </c>
      <c r="I190" s="65">
        <f>VLOOKUP(A190,'Thuc te theo thang'!$A$4:$I$309,9,FALSE)</f>
        <v>0</v>
      </c>
      <c r="J190" s="65"/>
      <c r="K190" s="65">
        <f t="shared" ref="K190:K201" si="6">H190-I190-J190</f>
        <v>0</v>
      </c>
      <c r="L190" s="65"/>
      <c r="M190" s="65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</row>
    <row r="191" spans="1:57" hidden="1">
      <c r="A191" s="58" t="s">
        <v>294</v>
      </c>
      <c r="B191" s="134"/>
      <c r="C191" s="61"/>
      <c r="D191" s="63"/>
      <c r="E191" s="63"/>
      <c r="F191" s="117"/>
      <c r="G191" s="64"/>
      <c r="H191" s="65">
        <f>VLOOKUP(A191,'Thuc te theo thang'!$A$4:$I$309,8,FALSE)</f>
        <v>0</v>
      </c>
      <c r="I191" s="65">
        <f>VLOOKUP(A191,'Thuc te theo thang'!$A$4:$I$309,9,FALSE)</f>
        <v>0</v>
      </c>
      <c r="J191" s="65"/>
      <c r="K191" s="65">
        <f t="shared" si="6"/>
        <v>0</v>
      </c>
      <c r="L191" s="65"/>
      <c r="M191" s="65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</row>
    <row r="192" spans="1:57" hidden="1">
      <c r="A192" s="58" t="s">
        <v>295</v>
      </c>
      <c r="B192" s="137"/>
      <c r="C192" s="55"/>
      <c r="D192" s="63"/>
      <c r="E192" s="63"/>
      <c r="F192" s="117"/>
      <c r="G192" s="64"/>
      <c r="H192" s="65">
        <f>VLOOKUP(A192,'Thuc te theo thang'!$A$4:$I$309,8,FALSE)</f>
        <v>0</v>
      </c>
      <c r="I192" s="65">
        <f>VLOOKUP(A192,'Thuc te theo thang'!$A$4:$I$309,9,FALSE)</f>
        <v>0</v>
      </c>
      <c r="J192" s="65"/>
      <c r="K192" s="65">
        <f t="shared" si="6"/>
        <v>0</v>
      </c>
      <c r="L192" s="65"/>
      <c r="M192" s="65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</row>
    <row r="193" spans="1:57" hidden="1">
      <c r="A193" s="58" t="s">
        <v>296</v>
      </c>
      <c r="B193" s="137"/>
      <c r="C193" s="55"/>
      <c r="D193" s="63"/>
      <c r="E193" s="63"/>
      <c r="F193" s="117"/>
      <c r="G193" s="64"/>
      <c r="H193" s="65">
        <f>VLOOKUP(A193,'Thuc te theo thang'!$A$4:$I$309,8,FALSE)</f>
        <v>0</v>
      </c>
      <c r="I193" s="65">
        <f>VLOOKUP(A193,'Thuc te theo thang'!$A$4:$I$309,9,FALSE)</f>
        <v>0</v>
      </c>
      <c r="J193" s="65"/>
      <c r="K193" s="65">
        <f t="shared" si="6"/>
        <v>0</v>
      </c>
      <c r="L193" s="65"/>
      <c r="M193" s="65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</row>
    <row r="194" spans="1:57" hidden="1">
      <c r="A194" s="58" t="s">
        <v>297</v>
      </c>
      <c r="B194" s="137"/>
      <c r="C194" s="58"/>
      <c r="D194" s="63"/>
      <c r="E194" s="63"/>
      <c r="F194" s="117"/>
      <c r="G194" s="64"/>
      <c r="H194" s="65">
        <f>VLOOKUP(A194,'Thuc te theo thang'!$A$4:$I$309,8,FALSE)</f>
        <v>0</v>
      </c>
      <c r="I194" s="65">
        <f>VLOOKUP(A194,'Thuc te theo thang'!$A$4:$I$309,9,FALSE)</f>
        <v>0</v>
      </c>
      <c r="J194" s="65"/>
      <c r="K194" s="65">
        <f t="shared" si="6"/>
        <v>0</v>
      </c>
      <c r="L194" s="65"/>
      <c r="M194" s="65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</row>
    <row r="195" spans="1:57" hidden="1">
      <c r="A195" s="58" t="s">
        <v>298</v>
      </c>
      <c r="B195" s="57"/>
      <c r="C195" s="58"/>
      <c r="D195" s="63"/>
      <c r="E195" s="63"/>
      <c r="F195" s="117"/>
      <c r="G195" s="64"/>
      <c r="H195" s="65">
        <f>VLOOKUP(A195,'Thuc te theo thang'!$A$4:$I$309,8,FALSE)</f>
        <v>0</v>
      </c>
      <c r="I195" s="65">
        <f>VLOOKUP(A195,'Thuc te theo thang'!$A$4:$I$309,9,FALSE)</f>
        <v>0</v>
      </c>
      <c r="J195" s="65"/>
      <c r="K195" s="65">
        <f t="shared" si="6"/>
        <v>0</v>
      </c>
      <c r="L195" s="65"/>
      <c r="M195" s="65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</row>
    <row r="196" spans="1:57" hidden="1">
      <c r="A196" s="58" t="s">
        <v>299</v>
      </c>
      <c r="B196" s="134"/>
      <c r="C196" s="61"/>
      <c r="D196" s="63"/>
      <c r="E196" s="63"/>
      <c r="F196" s="117"/>
      <c r="G196" s="101"/>
      <c r="H196" s="65">
        <f>VLOOKUP(A196,'Thuc te theo thang'!$A$4:$I$309,8,FALSE)</f>
        <v>0</v>
      </c>
      <c r="I196" s="65">
        <f>VLOOKUP(A196,'Thuc te theo thang'!$A$4:$I$309,9,FALSE)</f>
        <v>0</v>
      </c>
      <c r="J196" s="65"/>
      <c r="K196" s="65">
        <f t="shared" si="6"/>
        <v>0</v>
      </c>
      <c r="L196" s="65"/>
      <c r="M196" s="65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</row>
    <row r="197" spans="1:57" hidden="1">
      <c r="A197" s="58" t="s">
        <v>300</v>
      </c>
      <c r="B197" s="57"/>
      <c r="C197" s="58"/>
      <c r="D197" s="63"/>
      <c r="E197" s="63"/>
      <c r="F197" s="117"/>
      <c r="G197" s="64"/>
      <c r="H197" s="65">
        <f>VLOOKUP(A197,'Thuc te theo thang'!$A$4:$I$309,8,FALSE)</f>
        <v>0</v>
      </c>
      <c r="I197" s="65">
        <f>VLOOKUP(A197,'Thuc te theo thang'!$A$4:$I$309,9,FALSE)</f>
        <v>0</v>
      </c>
      <c r="J197" s="65"/>
      <c r="K197" s="65">
        <f t="shared" si="6"/>
        <v>0</v>
      </c>
      <c r="L197" s="65"/>
      <c r="M197" s="65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</row>
    <row r="198" spans="1:57" hidden="1">
      <c r="A198" s="58" t="s">
        <v>301</v>
      </c>
      <c r="B198" s="57"/>
      <c r="C198" s="58"/>
      <c r="D198" s="63"/>
      <c r="E198" s="63"/>
      <c r="F198" s="117"/>
      <c r="G198" s="64"/>
      <c r="H198" s="65">
        <f>VLOOKUP(A198,'Thuc te theo thang'!$A$4:$I$309,8,FALSE)</f>
        <v>0</v>
      </c>
      <c r="I198" s="65">
        <f>VLOOKUP(A198,'Thuc te theo thang'!$A$4:$I$309,9,FALSE)</f>
        <v>0</v>
      </c>
      <c r="J198" s="65"/>
      <c r="K198" s="65">
        <f t="shared" si="6"/>
        <v>0</v>
      </c>
      <c r="L198" s="65"/>
      <c r="M198" s="65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</row>
    <row r="199" spans="1:57" hidden="1">
      <c r="A199" s="58" t="s">
        <v>302</v>
      </c>
      <c r="B199" s="57"/>
      <c r="C199" s="58"/>
      <c r="D199" s="63"/>
      <c r="E199" s="63"/>
      <c r="F199" s="117"/>
      <c r="G199" s="64"/>
      <c r="H199" s="65">
        <f>VLOOKUP(A199,'Thuc te theo thang'!$A$4:$I$309,8,FALSE)</f>
        <v>0</v>
      </c>
      <c r="I199" s="65">
        <f>VLOOKUP(A199,'Thuc te theo thang'!$A$4:$I$309,9,FALSE)</f>
        <v>0</v>
      </c>
      <c r="J199" s="65"/>
      <c r="K199" s="65">
        <f t="shared" si="6"/>
        <v>0</v>
      </c>
      <c r="L199" s="65"/>
      <c r="M199" s="65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</row>
    <row r="200" spans="1:57" hidden="1">
      <c r="A200" s="58" t="s">
        <v>303</v>
      </c>
      <c r="B200" s="57"/>
      <c r="C200" s="58"/>
      <c r="D200" s="63"/>
      <c r="E200" s="63"/>
      <c r="F200" s="117"/>
      <c r="G200" s="64"/>
      <c r="H200" s="65">
        <f>VLOOKUP(A200,'Thuc te theo thang'!$A$4:$I$309,8,FALSE)</f>
        <v>0</v>
      </c>
      <c r="I200" s="65">
        <f>VLOOKUP(A200,'Thuc te theo thang'!$A$4:$I$309,9,FALSE)</f>
        <v>0</v>
      </c>
      <c r="J200" s="65"/>
      <c r="K200" s="65">
        <f t="shared" si="6"/>
        <v>0</v>
      </c>
      <c r="L200" s="65"/>
      <c r="M200" s="65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</row>
    <row r="201" spans="1:57" hidden="1">
      <c r="A201" s="58" t="s">
        <v>304</v>
      </c>
      <c r="B201" s="57"/>
      <c r="C201" s="58"/>
      <c r="D201" s="63"/>
      <c r="E201" s="63"/>
      <c r="F201" s="117"/>
      <c r="G201" s="64"/>
      <c r="H201" s="65">
        <f>VLOOKUP(A201,'Thuc te theo thang'!$A$4:$I$309,8,FALSE)</f>
        <v>0</v>
      </c>
      <c r="I201" s="65">
        <f>VLOOKUP(A201,'Thuc te theo thang'!$A$4:$I$309,9,FALSE)</f>
        <v>0</v>
      </c>
      <c r="J201" s="65"/>
      <c r="K201" s="65">
        <f t="shared" si="6"/>
        <v>0</v>
      </c>
      <c r="L201" s="65"/>
      <c r="M201" s="65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</row>
    <row r="202" spans="1:57" hidden="1">
      <c r="A202" s="58" t="s">
        <v>305</v>
      </c>
      <c r="B202" s="57"/>
      <c r="C202" s="68"/>
      <c r="D202" s="63"/>
      <c r="E202" s="63"/>
      <c r="F202" s="117"/>
      <c r="G202" s="64"/>
      <c r="H202" s="65">
        <f>VLOOKUP(A202,'Thuc te theo thang'!$A$4:$I$309,8,FALSE)</f>
        <v>0</v>
      </c>
      <c r="I202" s="65">
        <f>VLOOKUP(A202,'Thuc te theo thang'!$A$4:$I$309,9,FALSE)</f>
        <v>0</v>
      </c>
      <c r="J202" s="65"/>
      <c r="K202" s="65">
        <f t="shared" ref="K202:K207" si="7">H202-I202-J202</f>
        <v>0</v>
      </c>
      <c r="L202" s="65"/>
      <c r="M202" s="65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</row>
    <row r="203" spans="1:57" hidden="1">
      <c r="A203" s="58" t="s">
        <v>306</v>
      </c>
      <c r="B203" s="57"/>
      <c r="C203" s="58"/>
      <c r="D203" s="63"/>
      <c r="E203" s="63"/>
      <c r="F203" s="117"/>
      <c r="G203" s="64"/>
      <c r="H203" s="65">
        <f>VLOOKUP(A203,'Thuc te theo thang'!$A$4:$I$309,8,FALSE)</f>
        <v>0</v>
      </c>
      <c r="I203" s="65">
        <f>VLOOKUP(A203,'Thuc te theo thang'!$A$4:$I$309,9,FALSE)</f>
        <v>0</v>
      </c>
      <c r="J203" s="65"/>
      <c r="K203" s="65">
        <f t="shared" si="7"/>
        <v>0</v>
      </c>
      <c r="L203" s="65"/>
      <c r="M203" s="65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</row>
    <row r="204" spans="1:57" hidden="1">
      <c r="A204" s="58" t="s">
        <v>307</v>
      </c>
      <c r="B204" s="57"/>
      <c r="C204" s="58"/>
      <c r="D204" s="63"/>
      <c r="E204" s="63"/>
      <c r="F204" s="117"/>
      <c r="G204" s="64"/>
      <c r="H204" s="65">
        <f>VLOOKUP(A204,'Thuc te theo thang'!$A$4:$I$309,8,FALSE)</f>
        <v>0</v>
      </c>
      <c r="I204" s="65">
        <f>VLOOKUP(A204,'Thuc te theo thang'!$A$4:$I$309,9,FALSE)</f>
        <v>0</v>
      </c>
      <c r="J204" s="65"/>
      <c r="K204" s="65">
        <f t="shared" si="7"/>
        <v>0</v>
      </c>
      <c r="L204" s="65"/>
      <c r="M204" s="65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</row>
    <row r="205" spans="1:57" hidden="1">
      <c r="A205" s="58" t="s">
        <v>308</v>
      </c>
      <c r="B205" s="57"/>
      <c r="C205" s="58"/>
      <c r="D205" s="63"/>
      <c r="E205" s="63"/>
      <c r="F205" s="117"/>
      <c r="G205" s="64"/>
      <c r="H205" s="65">
        <f>VLOOKUP(A205,'Thuc te theo thang'!$A$4:$I$309,8,FALSE)</f>
        <v>0</v>
      </c>
      <c r="I205" s="65">
        <f>VLOOKUP(A205,'Thuc te theo thang'!$A$4:$I$309,9,FALSE)</f>
        <v>0</v>
      </c>
      <c r="J205" s="65"/>
      <c r="K205" s="65">
        <f t="shared" si="7"/>
        <v>0</v>
      </c>
      <c r="L205" s="65"/>
      <c r="M205" s="65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</row>
    <row r="206" spans="1:57" hidden="1">
      <c r="A206" s="58" t="s">
        <v>309</v>
      </c>
      <c r="B206" s="57"/>
      <c r="C206" s="58"/>
      <c r="D206" s="63"/>
      <c r="E206" s="63"/>
      <c r="F206" s="117"/>
      <c r="G206" s="64"/>
      <c r="H206" s="65">
        <f>VLOOKUP(A206,'Thuc te theo thang'!$A$4:$I$309,8,FALSE)</f>
        <v>0</v>
      </c>
      <c r="I206" s="65">
        <f>VLOOKUP(A206,'Thuc te theo thang'!$A$4:$I$309,9,FALSE)</f>
        <v>0</v>
      </c>
      <c r="J206" s="65"/>
      <c r="K206" s="65">
        <f t="shared" si="7"/>
        <v>0</v>
      </c>
      <c r="L206" s="65"/>
      <c r="M206" s="65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</row>
    <row r="207" spans="1:57" hidden="1">
      <c r="A207" s="58" t="s">
        <v>310</v>
      </c>
      <c r="B207" s="57"/>
      <c r="C207" s="58"/>
      <c r="D207" s="63"/>
      <c r="E207" s="63"/>
      <c r="F207" s="117"/>
      <c r="G207" s="64"/>
      <c r="H207" s="65">
        <f>VLOOKUP(A207,'Thuc te theo thang'!$A$4:$I$309,8,FALSE)</f>
        <v>0</v>
      </c>
      <c r="I207" s="65">
        <f>VLOOKUP(A207,'Thuc te theo thang'!$A$4:$I$309,9,FALSE)</f>
        <v>0</v>
      </c>
      <c r="J207" s="65"/>
      <c r="K207" s="65">
        <f t="shared" si="7"/>
        <v>0</v>
      </c>
      <c r="L207" s="65"/>
      <c r="M207" s="65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</row>
    <row r="208" spans="1:57">
      <c r="A208" s="92" t="s">
        <v>328</v>
      </c>
      <c r="B208" s="100"/>
      <c r="C208" s="53"/>
      <c r="D208" s="327">
        <f>SUM(D209:D308)</f>
        <v>0</v>
      </c>
      <c r="E208" s="327">
        <f>SUM(E209:E308)</f>
        <v>0</v>
      </c>
      <c r="F208" s="328"/>
      <c r="G208" s="329"/>
      <c r="H208" s="328">
        <f>SUMIF($C$209:$C$308,"x",H209:H308)</f>
        <v>0</v>
      </c>
      <c r="I208" s="328">
        <f>SUMIF($C$209:$C$308,"x",I209:I308)</f>
        <v>0</v>
      </c>
      <c r="J208" s="329"/>
      <c r="K208" s="222">
        <f>SUM(K209:K308)</f>
        <v>0</v>
      </c>
      <c r="L208" s="329"/>
      <c r="M208" s="329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</row>
    <row r="209" spans="1:57" ht="19.5" customHeight="1">
      <c r="A209" s="58" t="s">
        <v>331</v>
      </c>
      <c r="B209" s="94"/>
      <c r="C209" s="61"/>
      <c r="D209" s="63"/>
      <c r="E209" s="63"/>
      <c r="F209" s="117"/>
      <c r="G209" s="64"/>
      <c r="H209" s="65">
        <f>VLOOKUP(A209,'Thuc te theo thang'!$A$4:$I$309,8,FALSE)</f>
        <v>0</v>
      </c>
      <c r="I209" s="65">
        <f>VLOOKUP(A209,'Thuc te theo thang'!$A$4:$I$309,9,FALSE)</f>
        <v>0</v>
      </c>
      <c r="J209" s="65"/>
      <c r="K209" s="65">
        <f>H209-I209-J209</f>
        <v>0</v>
      </c>
      <c r="L209" s="65"/>
      <c r="M209" s="65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</row>
    <row r="210" spans="1:57">
      <c r="A210" s="58" t="s">
        <v>332</v>
      </c>
      <c r="B210" s="94"/>
      <c r="C210" s="67"/>
      <c r="D210" s="63"/>
      <c r="E210" s="63"/>
      <c r="F210" s="117"/>
      <c r="G210" s="64"/>
      <c r="H210" s="65">
        <f>VLOOKUP(A210,'Thuc te theo thang'!$A$4:$I$309,8,FALSE)</f>
        <v>0</v>
      </c>
      <c r="I210" s="65">
        <f>VLOOKUP(A210,'Thuc te theo thang'!$A$4:$I$309,9,FALSE)</f>
        <v>0</v>
      </c>
      <c r="J210" s="65"/>
      <c r="K210" s="65">
        <f t="shared" ref="K210:K252" si="8">H210-I210-J210</f>
        <v>0</v>
      </c>
      <c r="L210" s="65"/>
      <c r="M210" s="65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</row>
    <row r="211" spans="1:57">
      <c r="A211" s="58" t="s">
        <v>333</v>
      </c>
      <c r="B211" s="402"/>
      <c r="C211" s="61"/>
      <c r="D211" s="63"/>
      <c r="E211" s="63"/>
      <c r="F211" s="117"/>
      <c r="G211" s="64"/>
      <c r="H211" s="65">
        <f>VLOOKUP(A211,'Thuc te theo thang'!$A$4:$I$309,8,FALSE)</f>
        <v>0</v>
      </c>
      <c r="I211" s="65">
        <f>VLOOKUP(A211,'Thuc te theo thang'!$A$4:$I$309,9,FALSE)</f>
        <v>0</v>
      </c>
      <c r="J211" s="65"/>
      <c r="K211" s="65">
        <f t="shared" si="8"/>
        <v>0</v>
      </c>
      <c r="L211" s="65"/>
      <c r="M211" s="65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</row>
    <row r="212" spans="1:57" ht="21" customHeight="1">
      <c r="A212" s="58" t="s">
        <v>334</v>
      </c>
      <c r="B212" s="94"/>
      <c r="C212" s="55"/>
      <c r="D212" s="63"/>
      <c r="E212" s="63"/>
      <c r="F212" s="117"/>
      <c r="G212" s="63"/>
      <c r="H212" s="65">
        <f>VLOOKUP(A212,'Thuc te theo thang'!$A$4:$I$309,8,FALSE)</f>
        <v>0</v>
      </c>
      <c r="I212" s="65">
        <f>VLOOKUP(A212,'Thuc te theo thang'!$A$4:$I$309,9,FALSE)</f>
        <v>0</v>
      </c>
      <c r="J212" s="65"/>
      <c r="K212" s="65">
        <f t="shared" si="8"/>
        <v>0</v>
      </c>
      <c r="L212" s="65"/>
      <c r="M212" s="65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</row>
    <row r="213" spans="1:57" ht="20.25" customHeight="1">
      <c r="A213" s="167" t="s">
        <v>335</v>
      </c>
      <c r="B213" s="70"/>
      <c r="C213" s="167"/>
      <c r="D213" s="168"/>
      <c r="E213" s="168"/>
      <c r="F213" s="117"/>
      <c r="G213" s="64"/>
      <c r="H213" s="65">
        <f>VLOOKUP(A213,'Thuc te theo thang'!$A$4:$I$309,8,FALSE)</f>
        <v>0</v>
      </c>
      <c r="I213" s="65">
        <f>VLOOKUP(A213,'Thuc te theo thang'!$A$4:$I$309,9,FALSE)</f>
        <v>0</v>
      </c>
      <c r="J213" s="65"/>
      <c r="K213" s="65">
        <f t="shared" si="8"/>
        <v>0</v>
      </c>
      <c r="L213" s="65"/>
      <c r="M213" s="65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</row>
    <row r="214" spans="1:57">
      <c r="A214" s="58" t="s">
        <v>336</v>
      </c>
      <c r="B214" s="70"/>
      <c r="C214" s="58"/>
      <c r="D214" s="63"/>
      <c r="E214" s="63"/>
      <c r="F214" s="117"/>
      <c r="G214" s="64"/>
      <c r="H214" s="65">
        <f>VLOOKUP(A214,'Thuc te theo thang'!$A$4:$I$309,8,FALSE)</f>
        <v>0</v>
      </c>
      <c r="I214" s="65">
        <f>VLOOKUP(A214,'Thuc te theo thang'!$A$4:$I$309,9,FALSE)</f>
        <v>0</v>
      </c>
      <c r="J214" s="65"/>
      <c r="K214" s="65">
        <f t="shared" si="8"/>
        <v>0</v>
      </c>
      <c r="L214" s="65"/>
      <c r="M214" s="65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</row>
    <row r="215" spans="1:57">
      <c r="A215" s="58" t="s">
        <v>337</v>
      </c>
      <c r="B215" s="70"/>
      <c r="C215" s="58"/>
      <c r="D215" s="63"/>
      <c r="E215" s="63"/>
      <c r="F215" s="117"/>
      <c r="G215" s="64"/>
      <c r="H215" s="65">
        <f>VLOOKUP(A215,'Thuc te theo thang'!$A$4:$I$309,8,FALSE)</f>
        <v>0</v>
      </c>
      <c r="I215" s="65">
        <f>VLOOKUP(A215,'Thuc te theo thang'!$A$4:$I$309,9,FALSE)</f>
        <v>0</v>
      </c>
      <c r="J215" s="65"/>
      <c r="K215" s="65">
        <f t="shared" si="8"/>
        <v>0</v>
      </c>
      <c r="L215" s="65"/>
      <c r="M215" s="65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</row>
    <row r="216" spans="1:57">
      <c r="A216" s="58" t="s">
        <v>338</v>
      </c>
      <c r="B216" s="70"/>
      <c r="C216" s="58"/>
      <c r="D216" s="63"/>
      <c r="E216" s="63"/>
      <c r="F216" s="117"/>
      <c r="G216" s="64"/>
      <c r="H216" s="65">
        <f>VLOOKUP(A216,'Thuc te theo thang'!$A$4:$I$309,8,FALSE)</f>
        <v>0</v>
      </c>
      <c r="I216" s="65">
        <f>VLOOKUP(A216,'Thuc te theo thang'!$A$4:$I$309,9,FALSE)</f>
        <v>0</v>
      </c>
      <c r="J216" s="65"/>
      <c r="K216" s="65">
        <f t="shared" si="8"/>
        <v>0</v>
      </c>
      <c r="L216" s="65"/>
      <c r="M216" s="65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</row>
    <row r="217" spans="1:57">
      <c r="A217" s="58" t="s">
        <v>339</v>
      </c>
      <c r="B217" s="70"/>
      <c r="C217" s="58"/>
      <c r="D217" s="63"/>
      <c r="E217" s="63"/>
      <c r="F217" s="117"/>
      <c r="G217" s="64"/>
      <c r="H217" s="65">
        <f>VLOOKUP(A217,'Thuc te theo thang'!$A$4:$I$309,8,FALSE)</f>
        <v>0</v>
      </c>
      <c r="I217" s="65">
        <f>VLOOKUP(A217,'Thuc te theo thang'!$A$4:$I$309,9,FALSE)</f>
        <v>0</v>
      </c>
      <c r="J217" s="65"/>
      <c r="K217" s="65">
        <f t="shared" si="8"/>
        <v>0</v>
      </c>
      <c r="L217" s="65"/>
      <c r="M217" s="65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</row>
    <row r="218" spans="1:57" ht="20.25" customHeight="1">
      <c r="A218" s="58" t="s">
        <v>340</v>
      </c>
      <c r="B218" s="70"/>
      <c r="C218" s="58"/>
      <c r="D218" s="63"/>
      <c r="E218" s="63"/>
      <c r="F218" s="118"/>
      <c r="G218" s="63"/>
      <c r="H218" s="65">
        <f>VLOOKUP(A218,'Thuc te theo thang'!$A$4:$I$309,8,FALSE)</f>
        <v>0</v>
      </c>
      <c r="I218" s="65">
        <f>VLOOKUP(A218,'Thuc te theo thang'!$A$4:$I$309,9,FALSE)</f>
        <v>0</v>
      </c>
      <c r="J218" s="65"/>
      <c r="K218" s="65">
        <f t="shared" si="8"/>
        <v>0</v>
      </c>
      <c r="L218" s="65"/>
      <c r="M218" s="65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</row>
    <row r="219" spans="1:57">
      <c r="A219" s="58" t="s">
        <v>341</v>
      </c>
      <c r="B219" s="70"/>
      <c r="C219" s="58"/>
      <c r="D219" s="63"/>
      <c r="E219" s="63"/>
      <c r="F219" s="117"/>
      <c r="G219" s="64"/>
      <c r="H219" s="65">
        <f>VLOOKUP(A219,'Thuc te theo thang'!$A$4:$I$309,8,FALSE)</f>
        <v>0</v>
      </c>
      <c r="I219" s="65">
        <f>VLOOKUP(A219,'Thuc te theo thang'!$A$4:$I$309,9,FALSE)</f>
        <v>0</v>
      </c>
      <c r="J219" s="65"/>
      <c r="K219" s="65">
        <f t="shared" si="8"/>
        <v>0</v>
      </c>
      <c r="L219" s="65"/>
      <c r="M219" s="65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</row>
    <row r="220" spans="1:57" ht="21.75" customHeight="1">
      <c r="A220" s="58" t="s">
        <v>342</v>
      </c>
      <c r="B220" s="70"/>
      <c r="C220" s="61"/>
      <c r="D220" s="63"/>
      <c r="E220" s="63"/>
      <c r="F220" s="117"/>
      <c r="G220" s="101"/>
      <c r="H220" s="65">
        <f>VLOOKUP(A220,'Thuc te theo thang'!$A$4:$I$309,8,FALSE)</f>
        <v>0</v>
      </c>
      <c r="I220" s="65">
        <f>VLOOKUP(A220,'Thuc te theo thang'!$A$4:$I$309,9,FALSE)</f>
        <v>0</v>
      </c>
      <c r="J220" s="65"/>
      <c r="K220" s="65">
        <f t="shared" si="8"/>
        <v>0</v>
      </c>
      <c r="L220" s="65"/>
      <c r="M220" s="65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</row>
    <row r="221" spans="1:57" ht="21" customHeight="1">
      <c r="A221" s="58" t="s">
        <v>343</v>
      </c>
      <c r="B221" s="70"/>
      <c r="C221" s="58"/>
      <c r="D221" s="63"/>
      <c r="E221" s="63"/>
      <c r="F221" s="117"/>
      <c r="G221" s="64"/>
      <c r="H221" s="65">
        <f>VLOOKUP(A221,'Thuc te theo thang'!$A$4:$I$309,8,FALSE)</f>
        <v>0</v>
      </c>
      <c r="I221" s="65">
        <f>VLOOKUP(A221,'Thuc te theo thang'!$A$4:$I$309,9,FALSE)</f>
        <v>0</v>
      </c>
      <c r="J221" s="65"/>
      <c r="K221" s="65">
        <f t="shared" si="8"/>
        <v>0</v>
      </c>
      <c r="L221" s="65"/>
      <c r="M221" s="65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</row>
    <row r="222" spans="1:57" ht="19.5" customHeight="1">
      <c r="A222" s="58" t="s">
        <v>344</v>
      </c>
      <c r="B222" s="70"/>
      <c r="C222" s="61"/>
      <c r="D222" s="63"/>
      <c r="E222" s="63"/>
      <c r="F222" s="117"/>
      <c r="G222" s="64"/>
      <c r="H222" s="65">
        <f>VLOOKUP(A222,'Thuc te theo thang'!$A$4:$I$309,8,FALSE)</f>
        <v>0</v>
      </c>
      <c r="I222" s="65">
        <f>VLOOKUP(A222,'Thuc te theo thang'!$A$4:$I$309,9,FALSE)</f>
        <v>0</v>
      </c>
      <c r="J222" s="65"/>
      <c r="K222" s="65">
        <f t="shared" si="8"/>
        <v>0</v>
      </c>
      <c r="L222" s="65"/>
      <c r="M222" s="65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</row>
    <row r="223" spans="1:57">
      <c r="A223" s="58" t="s">
        <v>345</v>
      </c>
      <c r="B223" s="70"/>
      <c r="C223" s="58"/>
      <c r="D223" s="63"/>
      <c r="E223" s="63"/>
      <c r="F223" s="118"/>
      <c r="G223" s="64"/>
      <c r="H223" s="65">
        <f>VLOOKUP(A223,'Thuc te theo thang'!$A$4:$I$309,8,FALSE)</f>
        <v>0</v>
      </c>
      <c r="I223" s="65">
        <f>VLOOKUP(A223,'Thuc te theo thang'!$A$4:$I$309,9,FALSE)</f>
        <v>0</v>
      </c>
      <c r="J223" s="65"/>
      <c r="K223" s="65">
        <f t="shared" si="8"/>
        <v>0</v>
      </c>
      <c r="L223" s="65"/>
      <c r="M223" s="65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</row>
    <row r="224" spans="1:57" ht="21.75" customHeight="1">
      <c r="A224" s="58" t="s">
        <v>346</v>
      </c>
      <c r="B224" s="70"/>
      <c r="C224" s="61"/>
      <c r="D224" s="63"/>
      <c r="E224" s="63"/>
      <c r="F224" s="118"/>
      <c r="G224" s="63"/>
      <c r="H224" s="65">
        <f>VLOOKUP(A224,'Thuc te theo thang'!$A$4:$I$309,8,FALSE)</f>
        <v>0</v>
      </c>
      <c r="I224" s="65">
        <f>VLOOKUP(A224,'Thuc te theo thang'!$A$4:$I$309,9,FALSE)</f>
        <v>0</v>
      </c>
      <c r="J224" s="65"/>
      <c r="K224" s="65">
        <f t="shared" si="8"/>
        <v>0</v>
      </c>
      <c r="L224" s="65"/>
      <c r="M224" s="65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</row>
    <row r="225" spans="1:57" ht="21.75" customHeight="1">
      <c r="A225" s="58" t="s">
        <v>347</v>
      </c>
      <c r="B225" s="70"/>
      <c r="C225" s="61"/>
      <c r="D225" s="63"/>
      <c r="E225" s="63"/>
      <c r="F225" s="117"/>
      <c r="G225" s="63"/>
      <c r="H225" s="65">
        <f>VLOOKUP(A225,'Thuc te theo thang'!$A$4:$I$309,8,FALSE)</f>
        <v>0</v>
      </c>
      <c r="I225" s="65">
        <f>VLOOKUP(A225,'Thuc te theo thang'!$A$4:$I$309,9,FALSE)</f>
        <v>0</v>
      </c>
      <c r="J225" s="65"/>
      <c r="K225" s="65">
        <f t="shared" si="8"/>
        <v>0</v>
      </c>
      <c r="L225" s="65"/>
      <c r="M225" s="229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</row>
    <row r="226" spans="1:57" ht="21.75" customHeight="1">
      <c r="A226" s="58" t="s">
        <v>348</v>
      </c>
      <c r="B226" s="70"/>
      <c r="C226" s="61"/>
      <c r="D226" s="63"/>
      <c r="E226" s="63"/>
      <c r="F226" s="117"/>
      <c r="G226" s="63"/>
      <c r="H226" s="65">
        <f>VLOOKUP(A226,'Thuc te theo thang'!$A$4:$I$309,8,FALSE)</f>
        <v>0</v>
      </c>
      <c r="I226" s="65">
        <f>VLOOKUP(A226,'Thuc te theo thang'!$A$4:$I$309,9,FALSE)</f>
        <v>0</v>
      </c>
      <c r="J226" s="65"/>
      <c r="K226" s="65">
        <f t="shared" si="8"/>
        <v>0</v>
      </c>
      <c r="L226" s="65"/>
      <c r="M226" s="229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</row>
    <row r="227" spans="1:57">
      <c r="A227" s="58" t="s">
        <v>349</v>
      </c>
      <c r="B227" s="70"/>
      <c r="C227" s="55"/>
      <c r="D227" s="63"/>
      <c r="E227" s="63"/>
      <c r="F227" s="117"/>
      <c r="G227" s="63"/>
      <c r="H227" s="65">
        <f>VLOOKUP(A227,'Thuc te theo thang'!$A$4:$I$309,8,FALSE)</f>
        <v>0</v>
      </c>
      <c r="I227" s="65">
        <f>VLOOKUP(A227,'Thuc te theo thang'!$A$4:$I$309,9,FALSE)</f>
        <v>0</v>
      </c>
      <c r="J227" s="65"/>
      <c r="K227" s="65">
        <f t="shared" si="8"/>
        <v>0</v>
      </c>
      <c r="L227" s="65"/>
      <c r="M227" s="65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</row>
    <row r="228" spans="1:57">
      <c r="A228" s="58" t="s">
        <v>350</v>
      </c>
      <c r="B228" s="70"/>
      <c r="C228" s="61"/>
      <c r="D228" s="63"/>
      <c r="E228" s="63"/>
      <c r="F228" s="117"/>
      <c r="G228" s="63"/>
      <c r="H228" s="65">
        <f>VLOOKUP(A228,'Thuc te theo thang'!$A$4:$I$309,8,FALSE)</f>
        <v>0</v>
      </c>
      <c r="I228" s="65">
        <f>VLOOKUP(A228,'Thuc te theo thang'!$A$4:$I$309,9,FALSE)</f>
        <v>0</v>
      </c>
      <c r="J228" s="65"/>
      <c r="K228" s="65">
        <f t="shared" si="8"/>
        <v>0</v>
      </c>
      <c r="L228" s="65"/>
      <c r="M228" s="65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</row>
    <row r="229" spans="1:57">
      <c r="A229" s="58" t="s">
        <v>351</v>
      </c>
      <c r="B229" s="70"/>
      <c r="C229" s="61"/>
      <c r="D229" s="63"/>
      <c r="E229" s="63"/>
      <c r="F229" s="117"/>
      <c r="G229" s="63"/>
      <c r="H229" s="65">
        <f>VLOOKUP(A229,'Thuc te theo thang'!$A$4:$I$309,8,FALSE)</f>
        <v>0</v>
      </c>
      <c r="I229" s="65">
        <f>VLOOKUP(A229,'Thuc te theo thang'!$A$4:$I$309,9,FALSE)</f>
        <v>0</v>
      </c>
      <c r="J229" s="65"/>
      <c r="K229" s="65">
        <f t="shared" si="8"/>
        <v>0</v>
      </c>
      <c r="L229" s="65"/>
      <c r="M229" s="65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</row>
    <row r="230" spans="1:57">
      <c r="A230" s="58" t="s">
        <v>352</v>
      </c>
      <c r="B230" s="70"/>
      <c r="C230" s="58"/>
      <c r="D230" s="63"/>
      <c r="E230" s="63"/>
      <c r="F230" s="117"/>
      <c r="G230" s="64"/>
      <c r="H230" s="65">
        <f>VLOOKUP(A230,'Thuc te theo thang'!$A$4:$I$309,8,FALSE)</f>
        <v>0</v>
      </c>
      <c r="I230" s="65">
        <f>VLOOKUP(A230,'Thuc te theo thang'!$A$4:$I$309,9,FALSE)</f>
        <v>0</v>
      </c>
      <c r="J230" s="65"/>
      <c r="K230" s="65">
        <f t="shared" si="8"/>
        <v>0</v>
      </c>
      <c r="L230" s="65"/>
      <c r="M230" s="65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</row>
    <row r="231" spans="1:57">
      <c r="A231" s="58" t="s">
        <v>353</v>
      </c>
      <c r="B231" s="70"/>
      <c r="C231" s="68"/>
      <c r="D231" s="63"/>
      <c r="E231" s="63"/>
      <c r="F231" s="117"/>
      <c r="G231" s="64"/>
      <c r="H231" s="65">
        <f>VLOOKUP(A231,'Thuc te theo thang'!$A$4:$I$309,8,FALSE)</f>
        <v>0</v>
      </c>
      <c r="I231" s="65">
        <f>VLOOKUP(A231,'Thuc te theo thang'!$A$4:$I$309,9,FALSE)</f>
        <v>0</v>
      </c>
      <c r="J231" s="65"/>
      <c r="K231" s="65">
        <f t="shared" si="8"/>
        <v>0</v>
      </c>
      <c r="L231" s="65"/>
      <c r="M231" s="65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</row>
    <row r="232" spans="1:57">
      <c r="A232" s="58" t="s">
        <v>354</v>
      </c>
      <c r="B232" s="70"/>
      <c r="C232" s="58"/>
      <c r="D232" s="63"/>
      <c r="E232" s="63"/>
      <c r="F232" s="117"/>
      <c r="G232" s="64"/>
      <c r="H232" s="65">
        <f>VLOOKUP(A232,'Thuc te theo thang'!$A$4:$I$309,8,FALSE)</f>
        <v>0</v>
      </c>
      <c r="I232" s="65">
        <f>VLOOKUP(A232,'Thuc te theo thang'!$A$4:$I$309,9,FALSE)</f>
        <v>0</v>
      </c>
      <c r="J232" s="65"/>
      <c r="K232" s="65">
        <f t="shared" si="8"/>
        <v>0</v>
      </c>
      <c r="L232" s="65"/>
      <c r="M232" s="65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</row>
    <row r="233" spans="1:57">
      <c r="A233" s="58" t="s">
        <v>355</v>
      </c>
      <c r="B233" s="70"/>
      <c r="C233" s="61"/>
      <c r="D233" s="63"/>
      <c r="E233" s="63"/>
      <c r="F233" s="117"/>
      <c r="G233" s="63"/>
      <c r="H233" s="65">
        <f>VLOOKUP(A233,'Thuc te theo thang'!$A$4:$I$309,8,FALSE)</f>
        <v>0</v>
      </c>
      <c r="I233" s="65">
        <f>VLOOKUP(A233,'Thuc te theo thang'!$A$4:$I$309,9,FALSE)</f>
        <v>0</v>
      </c>
      <c r="J233" s="65"/>
      <c r="K233" s="65">
        <f t="shared" si="8"/>
        <v>0</v>
      </c>
      <c r="L233" s="65"/>
      <c r="M233" s="65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</row>
    <row r="234" spans="1:57">
      <c r="A234" s="58" t="s">
        <v>356</v>
      </c>
      <c r="B234" s="70"/>
      <c r="C234" s="58"/>
      <c r="D234" s="63"/>
      <c r="E234" s="63"/>
      <c r="F234" s="117"/>
      <c r="G234" s="64"/>
      <c r="H234" s="65">
        <f>VLOOKUP(A234,'Thuc te theo thang'!$A$4:$I$309,8,FALSE)</f>
        <v>0</v>
      </c>
      <c r="I234" s="65">
        <f>VLOOKUP(A234,'Thuc te theo thang'!$A$4:$I$309,9,FALSE)</f>
        <v>0</v>
      </c>
      <c r="J234" s="65"/>
      <c r="K234" s="65">
        <f t="shared" si="8"/>
        <v>0</v>
      </c>
      <c r="L234" s="65"/>
      <c r="M234" s="65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</row>
    <row r="235" spans="1:57">
      <c r="A235" s="58" t="s">
        <v>357</v>
      </c>
      <c r="B235" s="70"/>
      <c r="C235" s="61"/>
      <c r="D235" s="63"/>
      <c r="E235" s="63"/>
      <c r="F235" s="117"/>
      <c r="G235" s="101"/>
      <c r="H235" s="65">
        <f>VLOOKUP(A235,'Thuc te theo thang'!$A$4:$I$309,8,FALSE)</f>
        <v>0</v>
      </c>
      <c r="I235" s="65">
        <f>VLOOKUP(A235,'Thuc te theo thang'!$A$4:$I$309,9,FALSE)</f>
        <v>0</v>
      </c>
      <c r="J235" s="65"/>
      <c r="K235" s="65">
        <f t="shared" si="8"/>
        <v>0</v>
      </c>
      <c r="L235" s="65"/>
      <c r="M235" s="65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</row>
    <row r="236" spans="1:57">
      <c r="A236" s="58" t="s">
        <v>358</v>
      </c>
      <c r="B236" s="70"/>
      <c r="C236" s="68"/>
      <c r="D236" s="63"/>
      <c r="E236" s="63"/>
      <c r="F236" s="117"/>
      <c r="G236" s="64"/>
      <c r="H236" s="65">
        <f>VLOOKUP(A236,'Thuc te theo thang'!$A$4:$I$309,8,FALSE)</f>
        <v>0</v>
      </c>
      <c r="I236" s="65">
        <f>VLOOKUP(A236,'Thuc te theo thang'!$A$4:$I$309,9,FALSE)</f>
        <v>0</v>
      </c>
      <c r="J236" s="65"/>
      <c r="K236" s="65">
        <f t="shared" si="8"/>
        <v>0</v>
      </c>
      <c r="L236" s="65"/>
      <c r="M236" s="65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</row>
    <row r="237" spans="1:57">
      <c r="A237" s="58" t="s">
        <v>359</v>
      </c>
      <c r="B237" s="57"/>
      <c r="C237" s="61"/>
      <c r="D237" s="63"/>
      <c r="E237" s="63"/>
      <c r="F237" s="117"/>
      <c r="G237" s="64"/>
      <c r="H237" s="65">
        <f>VLOOKUP(A237,'Thuc te theo thang'!$A$4:$I$309,8,FALSE)</f>
        <v>0</v>
      </c>
      <c r="I237" s="65">
        <f>VLOOKUP(A237,'Thuc te theo thang'!$A$4:$I$309,9,FALSE)</f>
        <v>0</v>
      </c>
      <c r="J237" s="65"/>
      <c r="K237" s="65">
        <f t="shared" si="8"/>
        <v>0</v>
      </c>
      <c r="L237" s="65"/>
      <c r="M237" s="65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</row>
    <row r="238" spans="1:57">
      <c r="A238" s="58" t="s">
        <v>360</v>
      </c>
      <c r="B238" s="57"/>
      <c r="C238" s="61"/>
      <c r="D238" s="63"/>
      <c r="E238" s="63"/>
      <c r="F238" s="117"/>
      <c r="G238" s="64"/>
      <c r="H238" s="65">
        <f>VLOOKUP(A238,'Thuc te theo thang'!$A$4:$I$309,8,FALSE)</f>
        <v>0</v>
      </c>
      <c r="I238" s="65">
        <f>VLOOKUP(A238,'Thuc te theo thang'!$A$4:$I$309,9,FALSE)</f>
        <v>0</v>
      </c>
      <c r="J238" s="65"/>
      <c r="K238" s="65">
        <f t="shared" si="8"/>
        <v>0</v>
      </c>
      <c r="L238" s="65"/>
      <c r="M238" s="65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</row>
    <row r="239" spans="1:57">
      <c r="A239" s="58" t="s">
        <v>361</v>
      </c>
      <c r="B239" s="57"/>
      <c r="C239" s="58"/>
      <c r="D239" s="63"/>
      <c r="E239" s="63"/>
      <c r="F239" s="117"/>
      <c r="G239" s="64"/>
      <c r="H239" s="65">
        <f>VLOOKUP(A239,'Thuc te theo thang'!$A$4:$I$309,8,FALSE)</f>
        <v>0</v>
      </c>
      <c r="I239" s="65">
        <f>VLOOKUP(A239,'Thuc te theo thang'!$A$4:$I$309,9,FALSE)</f>
        <v>0</v>
      </c>
      <c r="J239" s="65"/>
      <c r="K239" s="65">
        <f t="shared" si="8"/>
        <v>0</v>
      </c>
      <c r="L239" s="65"/>
      <c r="M239" s="65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</row>
    <row r="240" spans="1:57">
      <c r="A240" s="58" t="s">
        <v>362</v>
      </c>
      <c r="B240" s="57"/>
      <c r="C240" s="68"/>
      <c r="D240" s="63"/>
      <c r="E240" s="63"/>
      <c r="F240" s="117"/>
      <c r="G240" s="64"/>
      <c r="H240" s="65">
        <f>VLOOKUP(A240,'Thuc te theo thang'!$A$4:$I$309,8,FALSE)</f>
        <v>0</v>
      </c>
      <c r="I240" s="65">
        <f>VLOOKUP(A240,'Thuc te theo thang'!$A$4:$I$309,9,FALSE)</f>
        <v>0</v>
      </c>
      <c r="J240" s="65"/>
      <c r="K240" s="65">
        <f t="shared" si="8"/>
        <v>0</v>
      </c>
      <c r="L240" s="65"/>
      <c r="M240" s="65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</row>
    <row r="241" spans="1:57">
      <c r="A241" s="58" t="s">
        <v>363</v>
      </c>
      <c r="B241" s="57"/>
      <c r="C241" s="58"/>
      <c r="D241" s="63"/>
      <c r="E241" s="63"/>
      <c r="F241" s="117"/>
      <c r="G241" s="64"/>
      <c r="H241" s="65">
        <f>VLOOKUP(A241,'Thuc te theo thang'!$A$4:$I$309,8,FALSE)</f>
        <v>0</v>
      </c>
      <c r="I241" s="65">
        <f>VLOOKUP(A241,'Thuc te theo thang'!$A$4:$I$309,9,FALSE)</f>
        <v>0</v>
      </c>
      <c r="J241" s="65"/>
      <c r="K241" s="65">
        <f t="shared" si="8"/>
        <v>0</v>
      </c>
      <c r="L241" s="65"/>
      <c r="M241" s="65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</row>
    <row r="242" spans="1:57">
      <c r="A242" s="58" t="s">
        <v>364</v>
      </c>
      <c r="B242" s="57"/>
      <c r="C242" s="61"/>
      <c r="D242" s="63"/>
      <c r="E242" s="63"/>
      <c r="F242" s="117"/>
      <c r="G242" s="64"/>
      <c r="H242" s="65">
        <f>VLOOKUP(A242,'Thuc te theo thang'!$A$4:$I$309,8,FALSE)</f>
        <v>0</v>
      </c>
      <c r="I242" s="65">
        <f>VLOOKUP(A242,'Thuc te theo thang'!$A$4:$I$309,9,FALSE)</f>
        <v>0</v>
      </c>
      <c r="J242" s="65"/>
      <c r="K242" s="65">
        <f t="shared" si="8"/>
        <v>0</v>
      </c>
      <c r="L242" s="65"/>
      <c r="M242" s="65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</row>
    <row r="243" spans="1:57">
      <c r="A243" s="58" t="s">
        <v>365</v>
      </c>
      <c r="B243" s="57"/>
      <c r="C243" s="58"/>
      <c r="D243" s="63"/>
      <c r="E243" s="63"/>
      <c r="F243" s="117"/>
      <c r="G243" s="63"/>
      <c r="H243" s="65">
        <f>VLOOKUP(A243,'Thuc te theo thang'!$A$4:$I$309,8,FALSE)</f>
        <v>0</v>
      </c>
      <c r="I243" s="65">
        <f>VLOOKUP(A243,'Thuc te theo thang'!$A$4:$I$309,9,FALSE)</f>
        <v>0</v>
      </c>
      <c r="J243" s="65"/>
      <c r="K243" s="65">
        <f t="shared" si="8"/>
        <v>0</v>
      </c>
      <c r="L243" s="65"/>
      <c r="M243" s="65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</row>
    <row r="244" spans="1:57">
      <c r="A244" s="58" t="s">
        <v>366</v>
      </c>
      <c r="B244" s="57"/>
      <c r="C244" s="58"/>
      <c r="D244" s="63"/>
      <c r="E244" s="63"/>
      <c r="F244" s="117"/>
      <c r="G244" s="64"/>
      <c r="H244" s="65">
        <f>VLOOKUP(A244,'Thuc te theo thang'!$A$4:$I$309,8,FALSE)</f>
        <v>0</v>
      </c>
      <c r="I244" s="65">
        <f>VLOOKUP(A244,'Thuc te theo thang'!$A$4:$I$309,9,FALSE)</f>
        <v>0</v>
      </c>
      <c r="J244" s="65"/>
      <c r="K244" s="65">
        <f t="shared" si="8"/>
        <v>0</v>
      </c>
      <c r="L244" s="65"/>
      <c r="M244" s="65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</row>
    <row r="245" spans="1:57">
      <c r="A245" s="58" t="s">
        <v>367</v>
      </c>
      <c r="B245" s="57"/>
      <c r="C245" s="58"/>
      <c r="D245" s="63"/>
      <c r="E245" s="63"/>
      <c r="F245" s="117"/>
      <c r="G245" s="101"/>
      <c r="H245" s="65">
        <f>VLOOKUP(A245,'Thuc te theo thang'!$A$4:$I$309,8,FALSE)</f>
        <v>0</v>
      </c>
      <c r="I245" s="65">
        <f>VLOOKUP(A245,'Thuc te theo thang'!$A$4:$I$309,9,FALSE)</f>
        <v>0</v>
      </c>
      <c r="J245" s="65"/>
      <c r="K245" s="65">
        <f t="shared" si="8"/>
        <v>0</v>
      </c>
      <c r="L245" s="65"/>
      <c r="M245" s="65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</row>
    <row r="246" spans="1:57">
      <c r="A246" s="58" t="s">
        <v>368</v>
      </c>
      <c r="B246" s="57"/>
      <c r="C246" s="61"/>
      <c r="D246" s="63"/>
      <c r="E246" s="63"/>
      <c r="F246" s="117"/>
      <c r="G246" s="64"/>
      <c r="H246" s="65">
        <f>VLOOKUP(A246,'Thuc te theo thang'!$A$4:$I$309,8,FALSE)</f>
        <v>0</v>
      </c>
      <c r="I246" s="65">
        <f>VLOOKUP(A246,'Thuc te theo thang'!$A$4:$I$309,9,FALSE)</f>
        <v>0</v>
      </c>
      <c r="J246" s="65"/>
      <c r="K246" s="65">
        <f t="shared" si="8"/>
        <v>0</v>
      </c>
      <c r="L246" s="65"/>
      <c r="M246" s="65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</row>
    <row r="247" spans="1:57">
      <c r="A247" s="58" t="s">
        <v>369</v>
      </c>
      <c r="B247" s="57"/>
      <c r="C247" s="58"/>
      <c r="D247" s="63"/>
      <c r="E247" s="63"/>
      <c r="F247" s="117"/>
      <c r="G247" s="64"/>
      <c r="H247" s="65">
        <f>VLOOKUP(A247,'Thuc te theo thang'!$A$4:$I$309,8,FALSE)</f>
        <v>0</v>
      </c>
      <c r="I247" s="65">
        <f>VLOOKUP(A247,'Thuc te theo thang'!$A$4:$I$309,9,FALSE)</f>
        <v>0</v>
      </c>
      <c r="J247" s="65"/>
      <c r="K247" s="65">
        <f t="shared" si="8"/>
        <v>0</v>
      </c>
      <c r="L247" s="65"/>
      <c r="M247" s="65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</row>
    <row r="248" spans="1:57">
      <c r="A248" s="58" t="s">
        <v>370</v>
      </c>
      <c r="B248" s="57"/>
      <c r="C248" s="58"/>
      <c r="D248" s="63"/>
      <c r="E248" s="63"/>
      <c r="F248" s="117"/>
      <c r="G248" s="64"/>
      <c r="H248" s="65">
        <f>VLOOKUP(A248,'Thuc te theo thang'!$A$4:$I$309,8,FALSE)</f>
        <v>0</v>
      </c>
      <c r="I248" s="65">
        <f>VLOOKUP(A248,'Thuc te theo thang'!$A$4:$I$309,9,FALSE)</f>
        <v>0</v>
      </c>
      <c r="J248" s="65"/>
      <c r="K248" s="65">
        <f t="shared" si="8"/>
        <v>0</v>
      </c>
      <c r="L248" s="65"/>
      <c r="M248" s="65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</row>
    <row r="249" spans="1:57">
      <c r="A249" s="58" t="s">
        <v>371</v>
      </c>
      <c r="B249" s="57"/>
      <c r="C249" s="58"/>
      <c r="D249" s="63"/>
      <c r="E249" s="63"/>
      <c r="F249" s="117"/>
      <c r="G249" s="64"/>
      <c r="H249" s="65">
        <f>VLOOKUP(A249,'Thuc te theo thang'!$A$4:$I$309,8,FALSE)</f>
        <v>0</v>
      </c>
      <c r="I249" s="65">
        <f>VLOOKUP(A249,'Thuc te theo thang'!$A$4:$I$309,9,FALSE)</f>
        <v>0</v>
      </c>
      <c r="J249" s="65"/>
      <c r="K249" s="65">
        <f t="shared" si="8"/>
        <v>0</v>
      </c>
      <c r="L249" s="65"/>
      <c r="M249" s="65"/>
      <c r="N249" s="60"/>
      <c r="O249" s="325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</row>
    <row r="250" spans="1:57">
      <c r="A250" s="58" t="s">
        <v>372</v>
      </c>
      <c r="B250" s="57"/>
      <c r="C250" s="58"/>
      <c r="D250" s="63"/>
      <c r="E250" s="63"/>
      <c r="F250" s="117"/>
      <c r="G250" s="64"/>
      <c r="H250" s="65">
        <f>VLOOKUP(A250,'Thuc te theo thang'!$A$4:$I$309,8,FALSE)</f>
        <v>0</v>
      </c>
      <c r="I250" s="65">
        <f>VLOOKUP(A250,'Thuc te theo thang'!$A$4:$I$309,9,FALSE)</f>
        <v>0</v>
      </c>
      <c r="J250" s="65"/>
      <c r="K250" s="65">
        <f t="shared" si="8"/>
        <v>0</v>
      </c>
      <c r="L250" s="65"/>
      <c r="M250" s="65"/>
      <c r="N250" s="60"/>
      <c r="O250" s="325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</row>
    <row r="251" spans="1:57">
      <c r="A251" s="58" t="s">
        <v>373</v>
      </c>
      <c r="B251" s="57"/>
      <c r="C251" s="58"/>
      <c r="D251" s="63"/>
      <c r="E251" s="63"/>
      <c r="F251" s="117"/>
      <c r="G251" s="64"/>
      <c r="H251" s="65">
        <f>VLOOKUP(A251,'Thuc te theo thang'!$A$4:$I$309,8,FALSE)</f>
        <v>0</v>
      </c>
      <c r="I251" s="65">
        <f>VLOOKUP(A251,'Thuc te theo thang'!$A$4:$I$309,9,FALSE)</f>
        <v>0</v>
      </c>
      <c r="J251" s="65"/>
      <c r="K251" s="65">
        <f t="shared" si="8"/>
        <v>0</v>
      </c>
      <c r="L251" s="65"/>
      <c r="M251" s="65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</row>
    <row r="252" spans="1:57">
      <c r="A252" s="58" t="s">
        <v>374</v>
      </c>
      <c r="B252" s="57"/>
      <c r="C252" s="58"/>
      <c r="D252" s="63"/>
      <c r="E252" s="63"/>
      <c r="F252" s="117"/>
      <c r="G252" s="64"/>
      <c r="H252" s="65">
        <f>VLOOKUP(A252,'Thuc te theo thang'!$A$4:$I$309,8,FALSE)</f>
        <v>0</v>
      </c>
      <c r="I252" s="65">
        <f>VLOOKUP(A252,'Thuc te theo thang'!$A$4:$I$309,9,FALSE)</f>
        <v>0</v>
      </c>
      <c r="J252" s="65"/>
      <c r="K252" s="65">
        <f t="shared" si="8"/>
        <v>0</v>
      </c>
      <c r="L252" s="65"/>
      <c r="M252" s="65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</row>
    <row r="253" spans="1:57">
      <c r="A253" s="58" t="s">
        <v>375</v>
      </c>
      <c r="B253" s="57"/>
      <c r="C253" s="68"/>
      <c r="D253" s="63"/>
      <c r="E253" s="63"/>
      <c r="F253" s="117"/>
      <c r="G253" s="64"/>
      <c r="H253" s="65">
        <f>VLOOKUP(A253,'Thuc te theo thang'!$A$4:$I$309,8,FALSE)</f>
        <v>0</v>
      </c>
      <c r="I253" s="65">
        <f>VLOOKUP(A253,'Thuc te theo thang'!$A$4:$I$309,9,FALSE)</f>
        <v>0</v>
      </c>
      <c r="J253" s="65"/>
      <c r="K253" s="65">
        <f t="shared" ref="K253:K273" si="9">H253-I253-J253</f>
        <v>0</v>
      </c>
      <c r="L253" s="65"/>
      <c r="M253" s="65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</row>
    <row r="254" spans="1:57">
      <c r="A254" s="58" t="s">
        <v>376</v>
      </c>
      <c r="B254" s="94"/>
      <c r="C254" s="61"/>
      <c r="D254" s="63"/>
      <c r="E254" s="63"/>
      <c r="F254" s="117"/>
      <c r="G254" s="64"/>
      <c r="H254" s="65">
        <f>VLOOKUP(A254,'Thuc te theo thang'!$A$4:$I$309,8,FALSE)</f>
        <v>0</v>
      </c>
      <c r="I254" s="65">
        <f>VLOOKUP(A254,'Thuc te theo thang'!$A$4:$I$309,9,FALSE)</f>
        <v>0</v>
      </c>
      <c r="J254" s="65"/>
      <c r="K254" s="65">
        <f t="shared" si="9"/>
        <v>0</v>
      </c>
      <c r="L254" s="65"/>
      <c r="M254" s="65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</row>
    <row r="255" spans="1:57">
      <c r="A255" s="58" t="s">
        <v>377</v>
      </c>
      <c r="B255" s="94"/>
      <c r="C255" s="58"/>
      <c r="D255" s="63"/>
      <c r="E255" s="63"/>
      <c r="F255" s="117"/>
      <c r="G255" s="64"/>
      <c r="H255" s="65">
        <f>VLOOKUP(A255,'Thuc te theo thang'!$A$4:$I$309,8,FALSE)</f>
        <v>0</v>
      </c>
      <c r="I255" s="65">
        <f>VLOOKUP(A255,'Thuc te theo thang'!$A$4:$I$309,9,FALSE)</f>
        <v>0</v>
      </c>
      <c r="J255" s="65"/>
      <c r="K255" s="65">
        <f t="shared" si="9"/>
        <v>0</v>
      </c>
      <c r="L255" s="65"/>
      <c r="M255" s="65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</row>
    <row r="256" spans="1:57">
      <c r="A256" s="58" t="s">
        <v>378</v>
      </c>
      <c r="B256" s="94"/>
      <c r="C256" s="58"/>
      <c r="D256" s="63"/>
      <c r="E256" s="63"/>
      <c r="F256" s="117"/>
      <c r="G256" s="64"/>
      <c r="H256" s="65">
        <f>VLOOKUP(A256,'Thuc te theo thang'!$A$4:$I$309,8,FALSE)</f>
        <v>0</v>
      </c>
      <c r="I256" s="65">
        <f>VLOOKUP(A256,'Thuc te theo thang'!$A$4:$I$309,9,FALSE)</f>
        <v>0</v>
      </c>
      <c r="J256" s="65"/>
      <c r="K256" s="65">
        <f t="shared" si="9"/>
        <v>0</v>
      </c>
      <c r="L256" s="65"/>
      <c r="M256" s="65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</row>
    <row r="257" spans="1:57">
      <c r="A257" s="58" t="s">
        <v>379</v>
      </c>
      <c r="B257" s="94"/>
      <c r="C257" s="61"/>
      <c r="D257" s="63"/>
      <c r="E257" s="63"/>
      <c r="F257" s="117"/>
      <c r="G257" s="64"/>
      <c r="H257" s="65">
        <f>VLOOKUP(A257,'Thuc te theo thang'!$A$4:$I$309,8,FALSE)</f>
        <v>0</v>
      </c>
      <c r="I257" s="65">
        <f>VLOOKUP(A257,'Thuc te theo thang'!$A$4:$I$309,9,FALSE)</f>
        <v>0</v>
      </c>
      <c r="J257" s="65"/>
      <c r="K257" s="65">
        <f t="shared" si="9"/>
        <v>0</v>
      </c>
      <c r="L257" s="65"/>
      <c r="M257" s="65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</row>
    <row r="258" spans="1:57">
      <c r="A258" s="58" t="s">
        <v>380</v>
      </c>
      <c r="B258" s="94"/>
      <c r="C258" s="58"/>
      <c r="D258" s="63"/>
      <c r="E258" s="63"/>
      <c r="F258" s="118"/>
      <c r="G258" s="63"/>
      <c r="H258" s="65">
        <f>VLOOKUP(A258,'Thuc te theo thang'!$A$4:$I$309,8,FALSE)</f>
        <v>0</v>
      </c>
      <c r="I258" s="65">
        <f>VLOOKUP(A258,'Thuc te theo thang'!$A$4:$I$309,9,FALSE)</f>
        <v>0</v>
      </c>
      <c r="J258" s="65"/>
      <c r="K258" s="65">
        <f t="shared" si="9"/>
        <v>0</v>
      </c>
      <c r="L258" s="65"/>
      <c r="M258" s="65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</row>
    <row r="259" spans="1:57">
      <c r="A259" s="58" t="s">
        <v>381</v>
      </c>
      <c r="B259" s="94"/>
      <c r="C259" s="58"/>
      <c r="D259" s="63"/>
      <c r="E259" s="63"/>
      <c r="F259" s="117"/>
      <c r="G259" s="64"/>
      <c r="H259" s="65">
        <f>VLOOKUP(A259,'Thuc te theo thang'!$A$4:$I$309,8,FALSE)</f>
        <v>0</v>
      </c>
      <c r="I259" s="65">
        <f>VLOOKUP(A259,'Thuc te theo thang'!$A$4:$I$309,9,FALSE)</f>
        <v>0</v>
      </c>
      <c r="J259" s="65"/>
      <c r="K259" s="65">
        <f t="shared" si="9"/>
        <v>0</v>
      </c>
      <c r="L259" s="65"/>
      <c r="M259" s="65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</row>
    <row r="260" spans="1:57">
      <c r="A260" s="58" t="s">
        <v>382</v>
      </c>
      <c r="B260" s="94"/>
      <c r="C260" s="58"/>
      <c r="D260" s="63"/>
      <c r="E260" s="63"/>
      <c r="F260" s="117"/>
      <c r="G260" s="101"/>
      <c r="H260" s="65">
        <f>VLOOKUP(A260,'Thuc te theo thang'!$A$4:$I$309,8,FALSE)</f>
        <v>0</v>
      </c>
      <c r="I260" s="65">
        <f>VLOOKUP(A260,'Thuc te theo thang'!$A$4:$I$309,9,FALSE)</f>
        <v>0</v>
      </c>
      <c r="J260" s="65"/>
      <c r="K260" s="65">
        <f t="shared" si="9"/>
        <v>0</v>
      </c>
      <c r="L260" s="65"/>
      <c r="M260" s="65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</row>
    <row r="261" spans="1:57">
      <c r="A261" s="58" t="s">
        <v>383</v>
      </c>
      <c r="B261" s="57"/>
      <c r="C261" s="58"/>
      <c r="D261" s="63"/>
      <c r="E261" s="63"/>
      <c r="F261" s="117"/>
      <c r="G261" s="64"/>
      <c r="H261" s="65">
        <f>VLOOKUP(A261,'Thuc te theo thang'!$A$4:$I$309,8,FALSE)</f>
        <v>0</v>
      </c>
      <c r="I261" s="65">
        <f>VLOOKUP(A261,'Thuc te theo thang'!$A$4:$I$309,9,FALSE)</f>
        <v>0</v>
      </c>
      <c r="J261" s="65"/>
      <c r="K261" s="65">
        <f t="shared" si="9"/>
        <v>0</v>
      </c>
      <c r="L261" s="65"/>
      <c r="M261" s="65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</row>
    <row r="262" spans="1:57">
      <c r="A262" s="58" t="s">
        <v>384</v>
      </c>
      <c r="B262" s="57"/>
      <c r="C262" s="58"/>
      <c r="D262" s="63"/>
      <c r="E262" s="63"/>
      <c r="F262" s="117"/>
      <c r="G262" s="64"/>
      <c r="H262" s="65">
        <f>VLOOKUP(A262,'Thuc te theo thang'!$A$4:$I$309,8,FALSE)</f>
        <v>0</v>
      </c>
      <c r="I262" s="65">
        <f>VLOOKUP(A262,'Thuc te theo thang'!$A$4:$I$309,9,FALSE)</f>
        <v>0</v>
      </c>
      <c r="J262" s="65"/>
      <c r="K262" s="65">
        <f t="shared" si="9"/>
        <v>0</v>
      </c>
      <c r="L262" s="65"/>
      <c r="M262" s="65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</row>
    <row r="263" spans="1:57">
      <c r="A263" s="58" t="s">
        <v>385</v>
      </c>
      <c r="B263" s="57"/>
      <c r="C263" s="58"/>
      <c r="D263" s="63"/>
      <c r="E263" s="63"/>
      <c r="F263" s="117"/>
      <c r="G263" s="64"/>
      <c r="H263" s="65">
        <f>VLOOKUP(A263,'Thuc te theo thang'!$A$4:$I$309,8,FALSE)</f>
        <v>0</v>
      </c>
      <c r="I263" s="65">
        <f>VLOOKUP(A263,'Thuc te theo thang'!$A$4:$I$309,9,FALSE)</f>
        <v>0</v>
      </c>
      <c r="J263" s="65"/>
      <c r="K263" s="65">
        <f t="shared" si="9"/>
        <v>0</v>
      </c>
      <c r="L263" s="65"/>
      <c r="M263" s="65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</row>
    <row r="264" spans="1:57">
      <c r="A264" s="58" t="s">
        <v>386</v>
      </c>
      <c r="B264" s="57"/>
      <c r="C264" s="61"/>
      <c r="D264" s="63"/>
      <c r="E264" s="63"/>
      <c r="F264" s="117"/>
      <c r="G264" s="64"/>
      <c r="H264" s="65">
        <f>VLOOKUP(A264,'Thuc te theo thang'!$A$4:$I$309,8,FALSE)</f>
        <v>0</v>
      </c>
      <c r="I264" s="65">
        <f>VLOOKUP(A264,'Thuc te theo thang'!$A$4:$I$309,9,FALSE)</f>
        <v>0</v>
      </c>
      <c r="J264" s="65"/>
      <c r="K264" s="65">
        <f t="shared" si="9"/>
        <v>0</v>
      </c>
      <c r="L264" s="65"/>
      <c r="M264" s="65"/>
      <c r="N264" s="7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</row>
    <row r="265" spans="1:57">
      <c r="A265" s="58" t="s">
        <v>387</v>
      </c>
      <c r="B265" s="93"/>
      <c r="C265" s="61"/>
      <c r="D265" s="63"/>
      <c r="E265" s="63"/>
      <c r="F265" s="117"/>
      <c r="G265" s="64"/>
      <c r="H265" s="65">
        <f>VLOOKUP(A265,'Thuc te theo thang'!$A$4:$I$309,8,FALSE)</f>
        <v>0</v>
      </c>
      <c r="I265" s="65">
        <f>VLOOKUP(A265,'Thuc te theo thang'!$A$4:$I$309,9,FALSE)</f>
        <v>0</v>
      </c>
      <c r="J265" s="65"/>
      <c r="K265" s="65">
        <f t="shared" si="9"/>
        <v>0</v>
      </c>
      <c r="L265" s="65"/>
      <c r="M265" s="65"/>
      <c r="N265" s="7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</row>
    <row r="266" spans="1:57">
      <c r="A266" s="58" t="s">
        <v>388</v>
      </c>
      <c r="B266" s="93"/>
      <c r="C266" s="61"/>
      <c r="D266" s="63"/>
      <c r="E266" s="63"/>
      <c r="F266" s="117"/>
      <c r="G266" s="64"/>
      <c r="H266" s="65">
        <f>VLOOKUP(A266,'Thuc te theo thang'!$A$4:$I$309,8,FALSE)</f>
        <v>0</v>
      </c>
      <c r="I266" s="65">
        <f>VLOOKUP(A266,'Thuc te theo thang'!$A$4:$I$309,9,FALSE)</f>
        <v>0</v>
      </c>
      <c r="J266" s="65"/>
      <c r="K266" s="65">
        <f t="shared" si="9"/>
        <v>0</v>
      </c>
      <c r="L266" s="65"/>
      <c r="M266" s="65"/>
      <c r="N266" s="7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</row>
    <row r="267" spans="1:57">
      <c r="A267" s="58" t="s">
        <v>389</v>
      </c>
      <c r="B267" s="93"/>
      <c r="C267" s="61"/>
      <c r="D267" s="63"/>
      <c r="E267" s="63"/>
      <c r="F267" s="117"/>
      <c r="G267" s="64"/>
      <c r="H267" s="65">
        <f>VLOOKUP(A267,'Thuc te theo thang'!$A$4:$I$309,8,FALSE)</f>
        <v>0</v>
      </c>
      <c r="I267" s="65">
        <f>VLOOKUP(A267,'Thuc te theo thang'!$A$4:$I$309,9,FALSE)</f>
        <v>0</v>
      </c>
      <c r="J267" s="65"/>
      <c r="K267" s="65">
        <f t="shared" si="9"/>
        <v>0</v>
      </c>
      <c r="L267" s="65"/>
      <c r="M267" s="65"/>
      <c r="N267" s="7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</row>
    <row r="268" spans="1:57">
      <c r="A268" s="58" t="s">
        <v>390</v>
      </c>
      <c r="B268" s="70"/>
      <c r="C268" s="69"/>
      <c r="D268" s="63"/>
      <c r="E268" s="63"/>
      <c r="F268" s="117"/>
      <c r="G268" s="64"/>
      <c r="H268" s="65">
        <f>VLOOKUP(A268,'Thuc te theo thang'!$A$4:$I$309,8,FALSE)</f>
        <v>0</v>
      </c>
      <c r="I268" s="65">
        <f>VLOOKUP(A268,'Thuc te theo thang'!$A$4:$I$309,9,FALSE)</f>
        <v>0</v>
      </c>
      <c r="J268" s="65"/>
      <c r="K268" s="65">
        <f t="shared" si="9"/>
        <v>0</v>
      </c>
      <c r="L268" s="65"/>
      <c r="M268" s="65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</row>
    <row r="269" spans="1:57">
      <c r="A269" s="58" t="s">
        <v>391</v>
      </c>
      <c r="B269" s="70"/>
      <c r="C269" s="58"/>
      <c r="D269" s="63"/>
      <c r="E269" s="63"/>
      <c r="F269" s="117"/>
      <c r="G269" s="64"/>
      <c r="H269" s="65">
        <f>VLOOKUP(A269,'Thuc te theo thang'!$A$4:$I$309,8,FALSE)</f>
        <v>0</v>
      </c>
      <c r="I269" s="65">
        <f>VLOOKUP(A269,'Thuc te theo thang'!$A$4:$I$309,9,FALSE)</f>
        <v>0</v>
      </c>
      <c r="J269" s="65"/>
      <c r="K269" s="65">
        <f t="shared" si="9"/>
        <v>0</v>
      </c>
      <c r="L269" s="65"/>
      <c r="M269" s="65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</row>
    <row r="270" spans="1:57">
      <c r="A270" s="58" t="s">
        <v>392</v>
      </c>
      <c r="B270" s="70"/>
      <c r="C270" s="58"/>
      <c r="D270" s="63"/>
      <c r="E270" s="63"/>
      <c r="F270" s="117"/>
      <c r="G270" s="64"/>
      <c r="H270" s="65">
        <f>VLOOKUP(A270,'Thuc te theo thang'!$A$4:$I$309,8,FALSE)</f>
        <v>0</v>
      </c>
      <c r="I270" s="65">
        <f>VLOOKUP(A270,'Thuc te theo thang'!$A$4:$I$309,9,FALSE)</f>
        <v>0</v>
      </c>
      <c r="J270" s="65"/>
      <c r="K270" s="65">
        <f t="shared" si="9"/>
        <v>0</v>
      </c>
      <c r="L270" s="65"/>
      <c r="M270" s="65"/>
      <c r="N270" s="7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</row>
    <row r="271" spans="1:57">
      <c r="A271" s="58" t="s">
        <v>393</v>
      </c>
      <c r="B271" s="70"/>
      <c r="C271" s="68"/>
      <c r="D271" s="63"/>
      <c r="E271" s="63"/>
      <c r="F271" s="117"/>
      <c r="G271" s="64"/>
      <c r="H271" s="65">
        <f>VLOOKUP(A271,'Thuc te theo thang'!$A$4:$I$309,8,FALSE)</f>
        <v>0</v>
      </c>
      <c r="I271" s="65">
        <f>VLOOKUP(A271,'Thuc te theo thang'!$A$4:$I$309,9,FALSE)</f>
        <v>0</v>
      </c>
      <c r="J271" s="65"/>
      <c r="K271" s="65">
        <f t="shared" si="9"/>
        <v>0</v>
      </c>
      <c r="L271" s="65"/>
      <c r="M271" s="65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</row>
    <row r="272" spans="1:57">
      <c r="A272" s="58" t="s">
        <v>394</v>
      </c>
      <c r="B272" s="57"/>
      <c r="C272" s="58"/>
      <c r="D272" s="63"/>
      <c r="E272" s="63"/>
      <c r="F272" s="117"/>
      <c r="G272" s="64"/>
      <c r="H272" s="65">
        <f>VLOOKUP(A272,'Thuc te theo thang'!$A$4:$I$309,8,FALSE)</f>
        <v>0</v>
      </c>
      <c r="I272" s="65">
        <f>VLOOKUP(A272,'Thuc te theo thang'!$A$4:$I$309,9,FALSE)</f>
        <v>0</v>
      </c>
      <c r="J272" s="65"/>
      <c r="K272" s="65">
        <f t="shared" si="9"/>
        <v>0</v>
      </c>
      <c r="L272" s="65"/>
      <c r="M272" s="65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</row>
    <row r="273" spans="1:57">
      <c r="A273" s="58" t="s">
        <v>395</v>
      </c>
      <c r="B273" s="57"/>
      <c r="C273" s="61"/>
      <c r="D273" s="63"/>
      <c r="E273" s="63"/>
      <c r="F273" s="117"/>
      <c r="G273" s="63"/>
      <c r="H273" s="65">
        <f>VLOOKUP(A273,'Thuc te theo thang'!$A$4:$I$309,8,FALSE)</f>
        <v>0</v>
      </c>
      <c r="I273" s="65">
        <f>VLOOKUP(A273,'Thuc te theo thang'!$A$4:$I$309,9,FALSE)</f>
        <v>0</v>
      </c>
      <c r="J273" s="65"/>
      <c r="K273" s="65">
        <f t="shared" si="9"/>
        <v>0</v>
      </c>
      <c r="L273" s="65"/>
      <c r="M273" s="65"/>
      <c r="N273" s="7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</row>
    <row r="274" spans="1:57">
      <c r="A274" s="58" t="s">
        <v>396</v>
      </c>
      <c r="B274" s="57"/>
      <c r="C274" s="58"/>
      <c r="D274" s="63"/>
      <c r="E274" s="63"/>
      <c r="F274" s="117"/>
      <c r="G274" s="64"/>
      <c r="H274" s="65">
        <f>VLOOKUP(A274,'Thuc te theo thang'!$A$4:$I$309,8,FALSE)</f>
        <v>0</v>
      </c>
      <c r="I274" s="65">
        <f>VLOOKUP(A274,'Thuc te theo thang'!$A$4:$I$309,9,FALSE)</f>
        <v>0</v>
      </c>
      <c r="J274" s="65"/>
      <c r="K274" s="65">
        <f t="shared" ref="K274:K308" si="10">H274-I274-J274</f>
        <v>0</v>
      </c>
      <c r="L274" s="65"/>
      <c r="M274" s="65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</row>
    <row r="275" spans="1:57">
      <c r="A275" s="58" t="s">
        <v>397</v>
      </c>
      <c r="B275" s="57"/>
      <c r="C275" s="58"/>
      <c r="D275" s="63"/>
      <c r="E275" s="63"/>
      <c r="F275" s="117"/>
      <c r="G275" s="101"/>
      <c r="H275" s="65">
        <f>VLOOKUP(A275,'Thuc te theo thang'!$A$4:$I$309,8,FALSE)</f>
        <v>0</v>
      </c>
      <c r="I275" s="65">
        <f>VLOOKUP(A275,'Thuc te theo thang'!$A$4:$I$309,9,FALSE)</f>
        <v>0</v>
      </c>
      <c r="J275" s="65"/>
      <c r="K275" s="65">
        <f t="shared" si="10"/>
        <v>0</v>
      </c>
      <c r="L275" s="65"/>
      <c r="M275" s="65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</row>
    <row r="276" spans="1:57">
      <c r="A276" s="58" t="s">
        <v>398</v>
      </c>
      <c r="B276" s="171"/>
      <c r="C276" s="58"/>
      <c r="D276" s="63"/>
      <c r="E276" s="63"/>
      <c r="F276" s="117"/>
      <c r="G276" s="64"/>
      <c r="H276" s="65">
        <f>VLOOKUP(A276,'Thuc te theo thang'!$A$4:$I$309,8,FALSE)</f>
        <v>0</v>
      </c>
      <c r="I276" s="65">
        <f>VLOOKUP(A276,'Thuc te theo thang'!$A$4:$I$309,9,FALSE)</f>
        <v>0</v>
      </c>
      <c r="J276" s="65"/>
      <c r="K276" s="65">
        <f t="shared" si="10"/>
        <v>0</v>
      </c>
      <c r="L276" s="65"/>
      <c r="M276" s="65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</row>
    <row r="277" spans="1:57">
      <c r="A277" s="58" t="s">
        <v>399</v>
      </c>
      <c r="B277" s="57"/>
      <c r="C277" s="61"/>
      <c r="D277" s="63"/>
      <c r="E277" s="63"/>
      <c r="F277" s="117"/>
      <c r="G277" s="64"/>
      <c r="H277" s="65">
        <f>VLOOKUP(A277,'Thuc te theo thang'!$A$4:$I$309,8,FALSE)</f>
        <v>0</v>
      </c>
      <c r="I277" s="65">
        <f>VLOOKUP(A277,'Thuc te theo thang'!$A$4:$I$309,9,FALSE)</f>
        <v>0</v>
      </c>
      <c r="J277" s="65"/>
      <c r="K277" s="65">
        <f t="shared" si="10"/>
        <v>0</v>
      </c>
      <c r="L277" s="65"/>
      <c r="M277" s="65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</row>
    <row r="278" spans="1:57">
      <c r="A278" s="58" t="s">
        <v>400</v>
      </c>
      <c r="B278" s="57"/>
      <c r="C278" s="58"/>
      <c r="D278" s="63"/>
      <c r="E278" s="63"/>
      <c r="F278" s="117"/>
      <c r="G278" s="64"/>
      <c r="H278" s="65">
        <f>VLOOKUP(A278,'Thuc te theo thang'!$A$4:$I$309,8,FALSE)</f>
        <v>0</v>
      </c>
      <c r="I278" s="65">
        <f>VLOOKUP(A278,'Thuc te theo thang'!$A$4:$I$309,9,FALSE)</f>
        <v>0</v>
      </c>
      <c r="J278" s="65"/>
      <c r="K278" s="65">
        <f t="shared" si="10"/>
        <v>0</v>
      </c>
      <c r="L278" s="65"/>
      <c r="M278" s="65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</row>
    <row r="279" spans="1:57">
      <c r="A279" s="58" t="s">
        <v>401</v>
      </c>
      <c r="B279" s="57"/>
      <c r="C279" s="68"/>
      <c r="D279" s="63"/>
      <c r="E279" s="63"/>
      <c r="F279" s="117"/>
      <c r="G279" s="64"/>
      <c r="H279" s="65">
        <f>VLOOKUP(A279,'Thuc te theo thang'!$A$4:$I$309,8,FALSE)</f>
        <v>0</v>
      </c>
      <c r="I279" s="65">
        <f>VLOOKUP(A279,'Thuc te theo thang'!$A$4:$I$309,9,FALSE)</f>
        <v>0</v>
      </c>
      <c r="J279" s="65"/>
      <c r="K279" s="65">
        <f t="shared" si="10"/>
        <v>0</v>
      </c>
      <c r="L279" s="65"/>
      <c r="M279" s="65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</row>
    <row r="280" spans="1:57">
      <c r="A280" s="58" t="s">
        <v>402</v>
      </c>
      <c r="B280" s="57"/>
      <c r="C280" s="58"/>
      <c r="D280" s="63"/>
      <c r="E280" s="63"/>
      <c r="F280" s="117"/>
      <c r="G280" s="64"/>
      <c r="H280" s="65">
        <f>VLOOKUP(A280,'Thuc te theo thang'!$A$4:$I$309,8,FALSE)</f>
        <v>0</v>
      </c>
      <c r="I280" s="65">
        <f>VLOOKUP(A280,'Thuc te theo thang'!$A$4:$I$309,9,FALSE)</f>
        <v>0</v>
      </c>
      <c r="J280" s="65"/>
      <c r="K280" s="65">
        <f t="shared" si="10"/>
        <v>0</v>
      </c>
      <c r="L280" s="65"/>
      <c r="M280" s="65"/>
      <c r="N280" s="74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</row>
    <row r="281" spans="1:57">
      <c r="A281" s="58" t="s">
        <v>403</v>
      </c>
      <c r="B281" s="57"/>
      <c r="C281" s="61"/>
      <c r="D281" s="63"/>
      <c r="E281" s="63"/>
      <c r="F281" s="117"/>
      <c r="G281" s="64"/>
      <c r="H281" s="65">
        <f>VLOOKUP(A281,'Thuc te theo thang'!$A$4:$I$309,8,FALSE)</f>
        <v>0</v>
      </c>
      <c r="I281" s="65">
        <f>VLOOKUP(A281,'Thuc te theo thang'!$A$4:$I$309,9,FALSE)</f>
        <v>0</v>
      </c>
      <c r="J281" s="65"/>
      <c r="K281" s="65">
        <f>H281-I281-J281</f>
        <v>0</v>
      </c>
      <c r="L281" s="65"/>
      <c r="M281" s="65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</row>
    <row r="282" spans="1:57">
      <c r="A282" s="58" t="s">
        <v>404</v>
      </c>
      <c r="B282" s="57"/>
      <c r="C282" s="58"/>
      <c r="D282" s="63"/>
      <c r="E282" s="63"/>
      <c r="F282" s="117"/>
      <c r="G282" s="64"/>
      <c r="H282" s="65">
        <f>VLOOKUP(A282,'Thuc te theo thang'!$A$4:$I$309,8,FALSE)</f>
        <v>0</v>
      </c>
      <c r="I282" s="65">
        <f>VLOOKUP(A282,'Thuc te theo thang'!$A$4:$I$309,9,FALSE)</f>
        <v>0</v>
      </c>
      <c r="J282" s="65"/>
      <c r="K282" s="65">
        <f t="shared" si="10"/>
        <v>0</v>
      </c>
      <c r="L282" s="65"/>
      <c r="M282" s="65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</row>
    <row r="283" spans="1:57">
      <c r="A283" s="58" t="s">
        <v>405</v>
      </c>
      <c r="B283" s="171"/>
      <c r="C283" s="58"/>
      <c r="D283" s="63"/>
      <c r="E283" s="63"/>
      <c r="F283" s="117"/>
      <c r="G283" s="63"/>
      <c r="H283" s="65">
        <f>VLOOKUP(A283,'Thuc te theo thang'!$A$4:$I$309,8,FALSE)</f>
        <v>0</v>
      </c>
      <c r="I283" s="65">
        <f>VLOOKUP(A283,'Thuc te theo thang'!$A$4:$I$309,9,FALSE)</f>
        <v>0</v>
      </c>
      <c r="J283" s="65"/>
      <c r="K283" s="65">
        <f t="shared" si="10"/>
        <v>0</v>
      </c>
      <c r="L283" s="65"/>
      <c r="M283" s="65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</row>
    <row r="284" spans="1:57">
      <c r="A284" s="58" t="s">
        <v>406</v>
      </c>
      <c r="B284" s="57"/>
      <c r="C284" s="58"/>
      <c r="D284" s="63"/>
      <c r="E284" s="63"/>
      <c r="F284" s="117"/>
      <c r="G284" s="64"/>
      <c r="H284" s="65">
        <f>VLOOKUP(A284,'Thuc te theo thang'!$A$4:$I$309,8,FALSE)</f>
        <v>0</v>
      </c>
      <c r="I284" s="65">
        <f>VLOOKUP(A284,'Thuc te theo thang'!$A$4:$I$309,9,FALSE)</f>
        <v>0</v>
      </c>
      <c r="J284" s="65"/>
      <c r="K284" s="65">
        <f t="shared" si="10"/>
        <v>0</v>
      </c>
      <c r="L284" s="65"/>
      <c r="M284" s="65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</row>
    <row r="285" spans="1:57">
      <c r="A285" s="58" t="s">
        <v>407</v>
      </c>
      <c r="B285" s="171"/>
      <c r="C285" s="61"/>
      <c r="D285" s="63"/>
      <c r="E285" s="63"/>
      <c r="F285" s="117"/>
      <c r="G285" s="101"/>
      <c r="H285" s="65">
        <f>VLOOKUP(A285,'Thuc te theo thang'!$A$4:$I$309,8,FALSE)</f>
        <v>0</v>
      </c>
      <c r="I285" s="65">
        <f>VLOOKUP(A285,'Thuc te theo thang'!$A$4:$I$309,9,FALSE)</f>
        <v>0</v>
      </c>
      <c r="J285" s="65"/>
      <c r="K285" s="65">
        <f t="shared" si="10"/>
        <v>0</v>
      </c>
      <c r="L285" s="65"/>
      <c r="M285" s="65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</row>
    <row r="286" spans="1:57">
      <c r="A286" s="58" t="s">
        <v>408</v>
      </c>
      <c r="B286" s="57"/>
      <c r="C286" s="58"/>
      <c r="D286" s="63"/>
      <c r="E286" s="63"/>
      <c r="F286" s="117"/>
      <c r="G286" s="64"/>
      <c r="H286" s="65">
        <f>VLOOKUP(A286,'Thuc te theo thang'!$A$4:$I$309,8,FALSE)</f>
        <v>0</v>
      </c>
      <c r="I286" s="65">
        <f>VLOOKUP(A286,'Thuc te theo thang'!$A$4:$I$309,9,FALSE)</f>
        <v>0</v>
      </c>
      <c r="J286" s="65"/>
      <c r="K286" s="65">
        <f t="shared" si="10"/>
        <v>0</v>
      </c>
      <c r="L286" s="65"/>
      <c r="M286" s="65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</row>
    <row r="287" spans="1:57">
      <c r="A287" s="58" t="s">
        <v>409</v>
      </c>
      <c r="B287" s="57"/>
      <c r="C287" s="58"/>
      <c r="D287" s="63"/>
      <c r="E287" s="63"/>
      <c r="F287" s="117"/>
      <c r="G287" s="64"/>
      <c r="H287" s="65">
        <f>VLOOKUP(A287,'Thuc te theo thang'!$A$4:$I$309,8,FALSE)</f>
        <v>0</v>
      </c>
      <c r="I287" s="65">
        <f>VLOOKUP(A287,'Thuc te theo thang'!$A$4:$I$309,9,FALSE)</f>
        <v>0</v>
      </c>
      <c r="J287" s="65"/>
      <c r="K287" s="65">
        <f t="shared" si="10"/>
        <v>0</v>
      </c>
      <c r="L287" s="65"/>
      <c r="M287" s="65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</row>
    <row r="288" spans="1:57">
      <c r="A288" s="58" t="s">
        <v>410</v>
      </c>
      <c r="B288" s="57"/>
      <c r="C288" s="58"/>
      <c r="D288" s="63"/>
      <c r="E288" s="63"/>
      <c r="F288" s="117"/>
      <c r="G288" s="64"/>
      <c r="H288" s="65">
        <f>VLOOKUP(A288,'Thuc te theo thang'!$A$4:$I$309,8,FALSE)</f>
        <v>0</v>
      </c>
      <c r="I288" s="65">
        <f>VLOOKUP(A288,'Thuc te theo thang'!$A$4:$I$309,9,FALSE)</f>
        <v>0</v>
      </c>
      <c r="J288" s="65"/>
      <c r="K288" s="65">
        <f t="shared" si="10"/>
        <v>0</v>
      </c>
      <c r="L288" s="65"/>
      <c r="M288" s="65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</row>
    <row r="289" spans="1:57">
      <c r="A289" s="58" t="s">
        <v>411</v>
      </c>
      <c r="B289" s="57"/>
      <c r="C289" s="58"/>
      <c r="D289" s="63"/>
      <c r="E289" s="63"/>
      <c r="F289" s="117"/>
      <c r="G289" s="64"/>
      <c r="H289" s="65">
        <f>VLOOKUP(A289,'Thuc te theo thang'!$A$4:$I$309,8,FALSE)</f>
        <v>0</v>
      </c>
      <c r="I289" s="65">
        <f>VLOOKUP(A289,'Thuc te theo thang'!$A$4:$I$309,9,FALSE)</f>
        <v>0</v>
      </c>
      <c r="J289" s="65"/>
      <c r="K289" s="65">
        <f t="shared" si="10"/>
        <v>0</v>
      </c>
      <c r="L289" s="65"/>
      <c r="M289" s="65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</row>
    <row r="290" spans="1:57">
      <c r="A290" s="58" t="s">
        <v>412</v>
      </c>
      <c r="B290" s="57"/>
      <c r="C290" s="58"/>
      <c r="D290" s="63"/>
      <c r="E290" s="63"/>
      <c r="F290" s="117"/>
      <c r="G290" s="64"/>
      <c r="H290" s="65">
        <f>VLOOKUP(A290,'Thuc te theo thang'!$A$4:$I$309,8,FALSE)</f>
        <v>0</v>
      </c>
      <c r="I290" s="65">
        <f>VLOOKUP(A290,'Thuc te theo thang'!$A$4:$I$309,9,FALSE)</f>
        <v>0</v>
      </c>
      <c r="J290" s="65"/>
      <c r="K290" s="65">
        <f t="shared" si="10"/>
        <v>0</v>
      </c>
      <c r="L290" s="65"/>
      <c r="M290" s="65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</row>
    <row r="291" spans="1:57">
      <c r="A291" s="58" t="s">
        <v>413</v>
      </c>
      <c r="B291" s="401"/>
      <c r="C291" s="58"/>
      <c r="D291" s="63"/>
      <c r="E291" s="63"/>
      <c r="F291" s="117"/>
      <c r="G291" s="64"/>
      <c r="H291" s="65">
        <f>VLOOKUP(A291,'Thuc te theo thang'!$A$4:$I$309,8,FALSE)</f>
        <v>0</v>
      </c>
      <c r="I291" s="65">
        <f>VLOOKUP(A291,'Thuc te theo thang'!$A$4:$I$309,9,FALSE)</f>
        <v>0</v>
      </c>
      <c r="J291" s="65"/>
      <c r="K291" s="65">
        <f t="shared" si="10"/>
        <v>0</v>
      </c>
      <c r="L291" s="65"/>
      <c r="M291" s="65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</row>
    <row r="292" spans="1:57">
      <c r="A292" s="58" t="s">
        <v>414</v>
      </c>
      <c r="B292" s="57"/>
      <c r="C292" s="68"/>
      <c r="D292" s="63"/>
      <c r="E292" s="63"/>
      <c r="F292" s="117"/>
      <c r="G292" s="64"/>
      <c r="H292" s="65">
        <f>VLOOKUP(A292,'Thuc te theo thang'!$A$4:$I$309,8,FALSE)</f>
        <v>0</v>
      </c>
      <c r="I292" s="65">
        <f>VLOOKUP(A292,'Thuc te theo thang'!$A$4:$I$309,9,FALSE)</f>
        <v>0</v>
      </c>
      <c r="J292" s="65"/>
      <c r="K292" s="65">
        <f t="shared" si="10"/>
        <v>0</v>
      </c>
      <c r="L292" s="65"/>
      <c r="M292" s="65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</row>
    <row r="293" spans="1:57">
      <c r="A293" s="58" t="s">
        <v>415</v>
      </c>
      <c r="B293" s="57"/>
      <c r="C293" s="61"/>
      <c r="D293" s="63"/>
      <c r="E293" s="63"/>
      <c r="F293" s="117"/>
      <c r="G293" s="63"/>
      <c r="H293" s="65">
        <f>VLOOKUP(A293,'Thuc te theo thang'!$A$4:$I$309,8,FALSE)</f>
        <v>0</v>
      </c>
      <c r="I293" s="65">
        <f>VLOOKUP(A293,'Thuc te theo thang'!$A$4:$I$309,9,FALSE)</f>
        <v>0</v>
      </c>
      <c r="J293" s="65"/>
      <c r="K293" s="65">
        <f t="shared" si="10"/>
        <v>0</v>
      </c>
      <c r="L293" s="65"/>
      <c r="M293" s="65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</row>
    <row r="294" spans="1:57">
      <c r="A294" s="58" t="s">
        <v>416</v>
      </c>
      <c r="B294" s="57"/>
      <c r="C294" s="69"/>
      <c r="D294" s="63"/>
      <c r="E294" s="63"/>
      <c r="F294" s="117"/>
      <c r="G294" s="64"/>
      <c r="H294" s="65">
        <f>VLOOKUP(A294,'Thuc te theo thang'!$A$4:$I$309,8,FALSE)</f>
        <v>0</v>
      </c>
      <c r="I294" s="65">
        <f>VLOOKUP(A294,'Thuc te theo thang'!$A$4:$I$309,9,FALSE)</f>
        <v>0</v>
      </c>
      <c r="J294" s="65"/>
      <c r="K294" s="65">
        <f t="shared" si="10"/>
        <v>0</v>
      </c>
      <c r="L294" s="65"/>
      <c r="M294" s="65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</row>
    <row r="295" spans="1:57">
      <c r="A295" s="58" t="s">
        <v>417</v>
      </c>
      <c r="B295" s="171"/>
      <c r="C295" s="69"/>
      <c r="D295" s="63"/>
      <c r="E295" s="63"/>
      <c r="F295" s="117"/>
      <c r="G295" s="101"/>
      <c r="H295" s="65">
        <f>VLOOKUP(A295,'Thuc te theo thang'!$A$4:$I$309,8,FALSE)</f>
        <v>0</v>
      </c>
      <c r="I295" s="65">
        <f>VLOOKUP(A295,'Thuc te theo thang'!$A$4:$I$309,9,FALSE)</f>
        <v>0</v>
      </c>
      <c r="J295" s="65"/>
      <c r="K295" s="65">
        <f t="shared" si="10"/>
        <v>0</v>
      </c>
      <c r="L295" s="65"/>
      <c r="M295" s="65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</row>
    <row r="296" spans="1:57">
      <c r="A296" s="58" t="s">
        <v>418</v>
      </c>
      <c r="B296" s="57"/>
      <c r="C296" s="61"/>
      <c r="D296" s="63"/>
      <c r="E296" s="63"/>
      <c r="F296" s="117"/>
      <c r="G296" s="64"/>
      <c r="H296" s="65">
        <f>VLOOKUP(A296,'Thuc te theo thang'!$A$4:$I$309,8,FALSE)</f>
        <v>0</v>
      </c>
      <c r="I296" s="65">
        <f>VLOOKUP(A296,'Thuc te theo thang'!$A$4:$I$309,9,FALSE)</f>
        <v>0</v>
      </c>
      <c r="J296" s="65"/>
      <c r="K296" s="65">
        <f t="shared" si="10"/>
        <v>0</v>
      </c>
      <c r="L296" s="65"/>
      <c r="M296" s="65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</row>
    <row r="297" spans="1:57">
      <c r="A297" s="58" t="s">
        <v>419</v>
      </c>
      <c r="B297" s="94"/>
      <c r="C297" s="69"/>
      <c r="D297" s="63"/>
      <c r="E297" s="63"/>
      <c r="F297" s="117"/>
      <c r="G297" s="64"/>
      <c r="H297" s="65">
        <f>VLOOKUP(A297,'Thuc te theo thang'!$A$4:$I$309,8,FALSE)</f>
        <v>0</v>
      </c>
      <c r="I297" s="65">
        <f>VLOOKUP(A297,'Thuc te theo thang'!$A$4:$I$309,9,FALSE)</f>
        <v>0</v>
      </c>
      <c r="J297" s="65"/>
      <c r="K297" s="65">
        <f t="shared" si="10"/>
        <v>0</v>
      </c>
      <c r="L297" s="65"/>
      <c r="M297" s="65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</row>
    <row r="298" spans="1:57">
      <c r="A298" s="58" t="s">
        <v>420</v>
      </c>
      <c r="B298" s="94"/>
      <c r="C298" s="69"/>
      <c r="D298" s="63"/>
      <c r="E298" s="63"/>
      <c r="F298" s="117"/>
      <c r="G298" s="64"/>
      <c r="H298" s="65">
        <f>VLOOKUP(A298,'Thuc te theo thang'!$A$4:$I$309,8,FALSE)</f>
        <v>0</v>
      </c>
      <c r="I298" s="65">
        <f>VLOOKUP(A298,'Thuc te theo thang'!$A$4:$I$309,9,FALSE)</f>
        <v>0</v>
      </c>
      <c r="J298" s="65"/>
      <c r="K298" s="65">
        <f t="shared" si="10"/>
        <v>0</v>
      </c>
      <c r="L298" s="65"/>
      <c r="M298" s="65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</row>
    <row r="299" spans="1:57">
      <c r="A299" s="58" t="s">
        <v>421</v>
      </c>
      <c r="B299" s="57"/>
      <c r="C299" s="69"/>
      <c r="D299" s="63"/>
      <c r="E299" s="63"/>
      <c r="F299" s="117"/>
      <c r="G299" s="64"/>
      <c r="H299" s="65">
        <f>VLOOKUP(A299,'Thuc te theo thang'!$A$4:$I$309,8,FALSE)</f>
        <v>0</v>
      </c>
      <c r="I299" s="65">
        <f>VLOOKUP(A299,'Thuc te theo thang'!$A$4:$I$309,9,FALSE)</f>
        <v>0</v>
      </c>
      <c r="J299" s="65"/>
      <c r="K299" s="65">
        <f t="shared" si="10"/>
        <v>0</v>
      </c>
      <c r="L299" s="65"/>
      <c r="M299" s="65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</row>
    <row r="300" spans="1:57">
      <c r="A300" s="58" t="s">
        <v>422</v>
      </c>
      <c r="B300" s="57"/>
      <c r="C300" s="58"/>
      <c r="D300" s="63"/>
      <c r="E300" s="63"/>
      <c r="F300" s="117"/>
      <c r="G300" s="64"/>
      <c r="H300" s="65">
        <f>VLOOKUP(A300,'Thuc te theo thang'!$A$4:$I$309,8,FALSE)</f>
        <v>0</v>
      </c>
      <c r="I300" s="65">
        <f>VLOOKUP(A300,'Thuc te theo thang'!$A$4:$I$309,9,FALSE)</f>
        <v>0</v>
      </c>
      <c r="J300" s="65"/>
      <c r="K300" s="65">
        <f t="shared" si="10"/>
        <v>0</v>
      </c>
      <c r="L300" s="65"/>
      <c r="M300" s="65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</row>
    <row r="301" spans="1:57">
      <c r="A301" s="58" t="s">
        <v>423</v>
      </c>
      <c r="B301" s="57"/>
      <c r="C301" s="58"/>
      <c r="D301" s="63"/>
      <c r="E301" s="63"/>
      <c r="F301" s="117"/>
      <c r="G301" s="64"/>
      <c r="H301" s="65">
        <f>VLOOKUP(A301,'Thuc te theo thang'!$A$4:$I$309,8,FALSE)</f>
        <v>0</v>
      </c>
      <c r="I301" s="65">
        <f>VLOOKUP(A301,'Thuc te theo thang'!$A$4:$I$309,9,FALSE)</f>
        <v>0</v>
      </c>
      <c r="J301" s="65"/>
      <c r="K301" s="65">
        <f t="shared" si="10"/>
        <v>0</v>
      </c>
      <c r="L301" s="65"/>
      <c r="M301" s="65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</row>
    <row r="302" spans="1:57">
      <c r="A302" s="58" t="s">
        <v>424</v>
      </c>
      <c r="B302" s="94"/>
      <c r="C302" s="58"/>
      <c r="D302" s="63"/>
      <c r="E302" s="63"/>
      <c r="F302" s="117"/>
      <c r="G302" s="64"/>
      <c r="H302" s="65">
        <f>VLOOKUP(A302,'Thuc te theo thang'!$A$4:$I$309,8,FALSE)</f>
        <v>0</v>
      </c>
      <c r="I302" s="65">
        <f>VLOOKUP(A302,'Thuc te theo thang'!$A$4:$I$309,9,FALSE)</f>
        <v>0</v>
      </c>
      <c r="J302" s="65"/>
      <c r="K302" s="65">
        <f t="shared" si="10"/>
        <v>0</v>
      </c>
      <c r="L302" s="65"/>
      <c r="M302" s="65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</row>
    <row r="303" spans="1:57" ht="17.25" customHeight="1">
      <c r="A303" s="58" t="s">
        <v>425</v>
      </c>
      <c r="B303" s="57"/>
      <c r="C303" s="58"/>
      <c r="D303" s="63"/>
      <c r="E303" s="63"/>
      <c r="F303" s="117"/>
      <c r="G303" s="63"/>
      <c r="H303" s="65">
        <f>VLOOKUP(A303,'Thuc te theo thang'!$A$4:$I$309,8,FALSE)</f>
        <v>0</v>
      </c>
      <c r="I303" s="65">
        <f>VLOOKUP(A303,'Thuc te theo thang'!$A$4:$I$309,9,FALSE)</f>
        <v>0</v>
      </c>
      <c r="J303" s="65"/>
      <c r="K303" s="65">
        <f t="shared" si="10"/>
        <v>0</v>
      </c>
      <c r="L303" s="65"/>
      <c r="M303" s="65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</row>
    <row r="304" spans="1:57">
      <c r="A304" s="58" t="s">
        <v>426</v>
      </c>
      <c r="B304" s="57"/>
      <c r="C304" s="58"/>
      <c r="D304" s="63"/>
      <c r="E304" s="63"/>
      <c r="F304" s="117"/>
      <c r="G304" s="64"/>
      <c r="H304" s="65">
        <f>VLOOKUP(A304,'Thuc te theo thang'!$A$4:$I$309,8,FALSE)</f>
        <v>0</v>
      </c>
      <c r="I304" s="65">
        <f>VLOOKUP(A304,'Thuc te theo thang'!$A$4:$I$309,9,FALSE)</f>
        <v>0</v>
      </c>
      <c r="J304" s="65"/>
      <c r="K304" s="65">
        <f t="shared" si="10"/>
        <v>0</v>
      </c>
      <c r="L304" s="65"/>
      <c r="M304" s="65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</row>
    <row r="305" spans="1:57">
      <c r="A305" s="58" t="s">
        <v>427</v>
      </c>
      <c r="B305" s="57"/>
      <c r="C305" s="58"/>
      <c r="D305" s="63"/>
      <c r="E305" s="63"/>
      <c r="F305" s="117"/>
      <c r="G305" s="101"/>
      <c r="H305" s="65">
        <f>VLOOKUP(A305,'Thuc te theo thang'!$A$4:$I$309,8,FALSE)</f>
        <v>0</v>
      </c>
      <c r="I305" s="65">
        <f>VLOOKUP(A305,'Thuc te theo thang'!$A$4:$I$309,9,FALSE)</f>
        <v>0</v>
      </c>
      <c r="J305" s="65"/>
      <c r="K305" s="65">
        <f t="shared" si="10"/>
        <v>0</v>
      </c>
      <c r="L305" s="65"/>
      <c r="M305" s="65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</row>
    <row r="306" spans="1:57">
      <c r="A306" s="58" t="s">
        <v>428</v>
      </c>
      <c r="B306" s="171"/>
      <c r="C306" s="58"/>
      <c r="D306" s="63"/>
      <c r="E306" s="63"/>
      <c r="F306" s="117"/>
      <c r="G306" s="64"/>
      <c r="H306" s="65">
        <f>VLOOKUP(A306,'Thuc te theo thang'!$A$4:$I$309,8,FALSE)</f>
        <v>0</v>
      </c>
      <c r="I306" s="65">
        <f>VLOOKUP(A306,'Thuc te theo thang'!$A$4:$I$309,9,FALSE)</f>
        <v>0</v>
      </c>
      <c r="J306" s="65"/>
      <c r="K306" s="65">
        <f t="shared" si="10"/>
        <v>0</v>
      </c>
      <c r="L306" s="65"/>
      <c r="M306" s="65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</row>
    <row r="307" spans="1:57">
      <c r="A307" s="58" t="s">
        <v>429</v>
      </c>
      <c r="B307" s="26"/>
      <c r="C307" s="61"/>
      <c r="D307" s="63"/>
      <c r="E307" s="63"/>
      <c r="F307" s="117"/>
      <c r="G307" s="64"/>
      <c r="H307" s="65">
        <f>VLOOKUP(A307,'Thuc te theo thang'!$A$4:$I$309,8,FALSE)</f>
        <v>0</v>
      </c>
      <c r="I307" s="65">
        <f>VLOOKUP(A307,'Thuc te theo thang'!$A$4:$I$309,9,FALSE)</f>
        <v>0</v>
      </c>
      <c r="J307" s="65"/>
      <c r="K307" s="65">
        <f t="shared" si="10"/>
        <v>0</v>
      </c>
      <c r="L307" s="65"/>
      <c r="M307" s="65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</row>
    <row r="308" spans="1:57">
      <c r="A308" s="58" t="s">
        <v>430</v>
      </c>
      <c r="B308" s="94" t="s">
        <v>460</v>
      </c>
      <c r="C308" s="61"/>
      <c r="D308" s="63"/>
      <c r="E308" s="63"/>
      <c r="F308" s="117"/>
      <c r="G308" s="64"/>
      <c r="H308" s="65">
        <f>VLOOKUP(A308,'Thuc te theo thang'!$A$4:$I$309,8,FALSE)</f>
        <v>0</v>
      </c>
      <c r="I308" s="65">
        <f>VLOOKUP(A308,'Thuc te theo thang'!$A$4:$I$309,9,FALSE)</f>
        <v>0</v>
      </c>
      <c r="J308" s="65"/>
      <c r="K308" s="65">
        <f t="shared" si="10"/>
        <v>0</v>
      </c>
      <c r="L308" s="65"/>
      <c r="M308" s="65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</row>
    <row r="309" spans="1:57">
      <c r="A309" s="104"/>
      <c r="B309" s="98"/>
      <c r="C309" s="99"/>
      <c r="D309" s="104"/>
      <c r="E309" s="104"/>
      <c r="F309" s="99"/>
      <c r="G309" s="104"/>
      <c r="H309" s="104"/>
      <c r="I309" s="104"/>
      <c r="J309" s="104"/>
      <c r="K309" s="104" t="s">
        <v>463</v>
      </c>
      <c r="L309" s="104"/>
      <c r="M309" s="104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</row>
    <row r="310" spans="1:57"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</row>
    <row r="311" spans="1:57">
      <c r="N311" s="60"/>
      <c r="O311" s="60"/>
      <c r="P311" s="60"/>
      <c r="Q311" s="60"/>
    </row>
    <row r="312" spans="1:57">
      <c r="B312" s="390"/>
      <c r="N312" s="60"/>
      <c r="O312" s="60"/>
      <c r="P312" s="60"/>
      <c r="Q312" s="60"/>
    </row>
    <row r="313" spans="1:57">
      <c r="B313" s="390"/>
    </row>
    <row r="314" spans="1:57">
      <c r="B314" s="390"/>
    </row>
    <row r="315" spans="1:57">
      <c r="B315" s="390"/>
    </row>
  </sheetData>
  <autoFilter ref="A1:M308"/>
  <phoneticPr fontId="14"/>
  <conditionalFormatting sqref="B136 B196">
    <cfRule type="cellIs" dxfId="3" priority="35" stopIfTrue="1" operator="notEqual">
      <formula>INDIRECT("Dummy_for_Comparison1!"&amp;ADDRESS(ROW(),COLUMN()))</formula>
    </cfRule>
  </conditionalFormatting>
  <conditionalFormatting sqref="B191:B194">
    <cfRule type="cellIs" dxfId="2" priority="18" stopIfTrue="1" operator="notEqual">
      <formula>INDIRECT("Dummy_for_Comparison1!"&amp;ADDRESS(ROW(),COLUMN()))</formula>
    </cfRule>
  </conditionalFormatting>
  <conditionalFormatting sqref="B242">
    <cfRule type="cellIs" dxfId="1" priority="3" stopIfTrue="1" operator="notEqual">
      <formula>INDIRECT("Dummy_for_Comparison1!"&amp;ADDRESS(ROW(),COLUMN()))</formula>
    </cfRule>
  </conditionalFormatting>
  <conditionalFormatting sqref="B244:B247">
    <cfRule type="cellIs" dxfId="0" priority="1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r:id="rId1"/>
  <ignoredErrors>
    <ignoredError sqref="H6:I6 I208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H345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I24" sqref="AI24"/>
    </sheetView>
  </sheetViews>
  <sheetFormatPr defaultColWidth="8.85546875" defaultRowHeight="16.5"/>
  <cols>
    <col min="1" max="1" width="12.7109375" style="32" customWidth="1"/>
    <col min="2" max="2" width="78.42578125" style="32" customWidth="1"/>
    <col min="3" max="3" width="8.85546875" style="38" bestFit="1" customWidth="1"/>
    <col min="4" max="5" width="18.42578125" style="38" hidden="1" customWidth="1"/>
    <col min="6" max="6" width="15.28515625" style="48" hidden="1" customWidth="1"/>
    <col min="7" max="7" width="15.85546875" style="49" hidden="1" customWidth="1"/>
    <col min="8" max="8" width="19.7109375" style="48" bestFit="1" customWidth="1"/>
    <col min="9" max="9" width="23" style="49" customWidth="1"/>
    <col min="10" max="33" width="20.7109375" style="49" customWidth="1"/>
    <col min="34" max="34" width="18.7109375" style="32" bestFit="1" customWidth="1"/>
    <col min="35" max="35" width="19.7109375" style="32" customWidth="1"/>
    <col min="36" max="16384" width="8.85546875" style="32"/>
  </cols>
  <sheetData>
    <row r="1" spans="1:34" s="38" customFormat="1"/>
    <row r="2" spans="1:34" s="29" customFormat="1">
      <c r="A2" s="505" t="s">
        <v>35</v>
      </c>
      <c r="B2" s="505" t="s">
        <v>34</v>
      </c>
      <c r="C2" s="505" t="s">
        <v>38</v>
      </c>
      <c r="D2" s="503" t="s">
        <v>72</v>
      </c>
      <c r="E2" s="504"/>
      <c r="F2" s="503" t="s">
        <v>17</v>
      </c>
      <c r="G2" s="504"/>
      <c r="H2" s="503" t="s">
        <v>133</v>
      </c>
      <c r="I2" s="504"/>
      <c r="J2" s="503" t="s">
        <v>19</v>
      </c>
      <c r="K2" s="504"/>
      <c r="L2" s="503" t="s">
        <v>20</v>
      </c>
      <c r="M2" s="504"/>
      <c r="N2" s="503" t="s">
        <v>21</v>
      </c>
      <c r="O2" s="504"/>
      <c r="P2" s="503" t="s">
        <v>22</v>
      </c>
      <c r="Q2" s="504"/>
      <c r="R2" s="503" t="s">
        <v>23</v>
      </c>
      <c r="S2" s="504"/>
      <c r="T2" s="503" t="s">
        <v>24</v>
      </c>
      <c r="U2" s="504"/>
      <c r="V2" s="503" t="s">
        <v>12</v>
      </c>
      <c r="W2" s="504"/>
      <c r="X2" s="503" t="s">
        <v>13</v>
      </c>
      <c r="Y2" s="504"/>
      <c r="Z2" s="503" t="s">
        <v>14</v>
      </c>
      <c r="AA2" s="504"/>
      <c r="AB2" s="503" t="s">
        <v>15</v>
      </c>
      <c r="AC2" s="504"/>
      <c r="AD2" s="503" t="s">
        <v>16</v>
      </c>
      <c r="AE2" s="504"/>
      <c r="AF2" s="503" t="s">
        <v>11</v>
      </c>
      <c r="AG2" s="504"/>
    </row>
    <row r="3" spans="1:34" s="29" customFormat="1">
      <c r="A3" s="506"/>
      <c r="B3" s="506"/>
      <c r="C3" s="506"/>
      <c r="D3" s="39" t="s">
        <v>7</v>
      </c>
      <c r="E3" s="40" t="s">
        <v>1</v>
      </c>
      <c r="F3" s="39" t="s">
        <v>7</v>
      </c>
      <c r="G3" s="40" t="s">
        <v>1</v>
      </c>
      <c r="H3" s="39" t="s">
        <v>7</v>
      </c>
      <c r="I3" s="40" t="s">
        <v>1</v>
      </c>
      <c r="J3" s="39" t="s">
        <v>7</v>
      </c>
      <c r="K3" s="40" t="s">
        <v>1</v>
      </c>
      <c r="L3" s="39" t="s">
        <v>7</v>
      </c>
      <c r="M3" s="40" t="s">
        <v>1</v>
      </c>
      <c r="N3" s="39" t="s">
        <v>7</v>
      </c>
      <c r="O3" s="40" t="s">
        <v>1</v>
      </c>
      <c r="P3" s="39" t="s">
        <v>7</v>
      </c>
      <c r="Q3" s="40" t="s">
        <v>1</v>
      </c>
      <c r="R3" s="39" t="s">
        <v>7</v>
      </c>
      <c r="S3" s="40" t="s">
        <v>1</v>
      </c>
      <c r="T3" s="39" t="s">
        <v>7</v>
      </c>
      <c r="U3" s="40" t="s">
        <v>1</v>
      </c>
      <c r="V3" s="39" t="s">
        <v>7</v>
      </c>
      <c r="W3" s="40" t="s">
        <v>1</v>
      </c>
      <c r="X3" s="39" t="s">
        <v>7</v>
      </c>
      <c r="Y3" s="40" t="s">
        <v>1</v>
      </c>
      <c r="Z3" s="39" t="s">
        <v>7</v>
      </c>
      <c r="AA3" s="40" t="s">
        <v>1</v>
      </c>
      <c r="AB3" s="39" t="s">
        <v>7</v>
      </c>
      <c r="AC3" s="40" t="s">
        <v>1</v>
      </c>
      <c r="AD3" s="39" t="s">
        <v>7</v>
      </c>
      <c r="AE3" s="40" t="s">
        <v>1</v>
      </c>
      <c r="AF3" s="39" t="s">
        <v>7</v>
      </c>
      <c r="AG3" s="40" t="s">
        <v>1</v>
      </c>
    </row>
    <row r="4" spans="1:34">
      <c r="A4" s="30" t="s">
        <v>70</v>
      </c>
      <c r="B4" s="30"/>
      <c r="C4" s="31"/>
      <c r="D4" s="31"/>
      <c r="E4" s="31"/>
      <c r="F4" s="41"/>
      <c r="G4" s="41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34" s="34" customFormat="1">
      <c r="A5" s="28" t="s">
        <v>69</v>
      </c>
      <c r="B5" s="26" t="str">
        <f>VLOOKUP(A5,'TH theo khach hang'!$A$4:$G$309,2,FALSE)</f>
        <v>Hợp đồng Outsource</v>
      </c>
      <c r="C5" s="27" t="str">
        <f>IF(VLOOKUP(A5,'TH theo khach hang'!$A$4:$G$309,3,FALSE)=0, "", "x")</f>
        <v/>
      </c>
      <c r="D5" s="43">
        <f>F5-H5</f>
        <v>0</v>
      </c>
      <c r="E5" s="44">
        <f>G5-I5</f>
        <v>0</v>
      </c>
      <c r="F5" s="45">
        <f>VLOOKUP(A5,'TH theo khach hang'!$A$4:$G$309,4,FALSE)</f>
        <v>0</v>
      </c>
      <c r="G5" s="46">
        <f>VLOOKUP(A5,'TH theo khach hang'!$A$4:$G$309,5,FALSE)</f>
        <v>0</v>
      </c>
      <c r="H5" s="45">
        <f>J5+L5+N5+P5+R5+T5+V5+X5+Z5+AB5+AD5+AF5</f>
        <v>0</v>
      </c>
      <c r="I5" s="47">
        <f>K5+M5+O5+Q5+S5+U5+W5+Y5+AA5+AC5+AE5+AG5</f>
        <v>0</v>
      </c>
      <c r="J5" s="46"/>
      <c r="K5" s="46">
        <f>J5</f>
        <v>0</v>
      </c>
      <c r="L5" s="46"/>
      <c r="M5" s="46">
        <f>L5</f>
        <v>0</v>
      </c>
      <c r="N5" s="46"/>
      <c r="O5" s="46">
        <f>N5</f>
        <v>0</v>
      </c>
      <c r="P5" s="46"/>
      <c r="Q5" s="46">
        <f>P5</f>
        <v>0</v>
      </c>
      <c r="R5" s="46"/>
      <c r="S5" s="46">
        <f t="shared" ref="S5" si="0">R5</f>
        <v>0</v>
      </c>
      <c r="T5" s="46"/>
      <c r="U5" s="46">
        <f t="shared" ref="U5" si="1">T5</f>
        <v>0</v>
      </c>
      <c r="V5" s="46"/>
      <c r="W5" s="46">
        <f t="shared" ref="W5" si="2">V5</f>
        <v>0</v>
      </c>
      <c r="X5" s="46"/>
      <c r="Y5" s="46">
        <f t="shared" ref="Y5" si="3">X5</f>
        <v>0</v>
      </c>
      <c r="Z5" s="46"/>
      <c r="AA5" s="46">
        <f t="shared" ref="AA5" si="4">Z5</f>
        <v>0</v>
      </c>
      <c r="AB5" s="46"/>
      <c r="AC5" s="46">
        <f t="shared" ref="AC5" si="5">AB5</f>
        <v>0</v>
      </c>
      <c r="AD5" s="46"/>
      <c r="AE5" s="46">
        <f t="shared" ref="AE5" si="6">AD5</f>
        <v>0</v>
      </c>
      <c r="AF5" s="46">
        <v>0</v>
      </c>
      <c r="AG5" s="46">
        <f>AF5</f>
        <v>0</v>
      </c>
      <c r="AH5" s="33"/>
    </row>
    <row r="6" spans="1:34">
      <c r="A6" s="30" t="s">
        <v>33</v>
      </c>
      <c r="B6" s="30"/>
      <c r="C6" s="31"/>
      <c r="D6" s="31"/>
      <c r="E6" s="31"/>
      <c r="F6" s="31"/>
      <c r="G6" s="31"/>
      <c r="H6" s="31"/>
      <c r="I6" s="42"/>
      <c r="J6" s="244">
        <f>SUM(J7:J106)</f>
        <v>0</v>
      </c>
      <c r="K6" s="244">
        <f t="shared" ref="K6:AG6" si="7">SUM(K7:K106)</f>
        <v>0</v>
      </c>
      <c r="L6" s="244">
        <f t="shared" si="7"/>
        <v>0</v>
      </c>
      <c r="M6" s="244">
        <f t="shared" si="7"/>
        <v>0</v>
      </c>
      <c r="N6" s="244">
        <f t="shared" si="7"/>
        <v>0</v>
      </c>
      <c r="O6" s="244">
        <f t="shared" si="7"/>
        <v>0</v>
      </c>
      <c r="P6" s="244">
        <f t="shared" si="7"/>
        <v>0</v>
      </c>
      <c r="Q6" s="244">
        <f t="shared" si="7"/>
        <v>0</v>
      </c>
      <c r="R6" s="244">
        <f t="shared" si="7"/>
        <v>0</v>
      </c>
      <c r="S6" s="244">
        <f t="shared" si="7"/>
        <v>0</v>
      </c>
      <c r="T6" s="244">
        <f t="shared" si="7"/>
        <v>0</v>
      </c>
      <c r="U6" s="244">
        <f t="shared" si="7"/>
        <v>0</v>
      </c>
      <c r="V6" s="244">
        <f t="shared" si="7"/>
        <v>0</v>
      </c>
      <c r="W6" s="244">
        <f t="shared" si="7"/>
        <v>0</v>
      </c>
      <c r="X6" s="244">
        <f t="shared" si="7"/>
        <v>0</v>
      </c>
      <c r="Y6" s="244">
        <f t="shared" si="7"/>
        <v>0</v>
      </c>
      <c r="Z6" s="244">
        <f t="shared" si="7"/>
        <v>0</v>
      </c>
      <c r="AA6" s="244">
        <f t="shared" si="7"/>
        <v>0</v>
      </c>
      <c r="AB6" s="244">
        <f t="shared" si="7"/>
        <v>0</v>
      </c>
      <c r="AC6" s="244">
        <f t="shared" si="7"/>
        <v>0</v>
      </c>
      <c r="AD6" s="244">
        <f t="shared" si="7"/>
        <v>0</v>
      </c>
      <c r="AE6" s="244">
        <f t="shared" si="7"/>
        <v>0</v>
      </c>
      <c r="AF6" s="244">
        <f t="shared" si="7"/>
        <v>0</v>
      </c>
      <c r="AG6" s="244">
        <f t="shared" si="7"/>
        <v>0</v>
      </c>
    </row>
    <row r="7" spans="1:34" s="34" customFormat="1">
      <c r="A7" s="28" t="s">
        <v>37</v>
      </c>
      <c r="B7" s="26">
        <f>VLOOKUP(A7,'TH theo khach hang'!$A$4:$C$309,2,FALSE)</f>
        <v>0</v>
      </c>
      <c r="C7" s="27" t="str">
        <f>IF(VLOOKUP(A7,'TH theo khach hang'!$A$4:$C$309,3,FALSE)=0, "", "x")</f>
        <v/>
      </c>
      <c r="D7" s="43">
        <f t="shared" ref="D7:E22" si="8">F7-H7</f>
        <v>0</v>
      </c>
      <c r="E7" s="44">
        <f t="shared" si="8"/>
        <v>0</v>
      </c>
      <c r="F7" s="45">
        <f>VLOOKUP(A7,'TH theo khach hang'!$A$4:$G$309,4,FALSE)</f>
        <v>0</v>
      </c>
      <c r="G7" s="46">
        <f>VLOOKUP(A7,'TH theo khach hang'!$A$4:$G$309,5,FALSE)</f>
        <v>0</v>
      </c>
      <c r="H7" s="45">
        <f>J7+L7+N7+P7+R7+T7+V7+X7+Z7+AB7+AD7+AF7</f>
        <v>0</v>
      </c>
      <c r="I7" s="47">
        <f>K7+M7+O7+Q7+S7+U7+W7+Y7+AA7+AC7+AE7+AG7</f>
        <v>0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3"/>
    </row>
    <row r="8" spans="1:34" s="34" customFormat="1">
      <c r="A8" s="28" t="s">
        <v>39</v>
      </c>
      <c r="B8" s="26">
        <f>VLOOKUP(A8,'TH theo khach hang'!$A$4:$C$309,2,FALSE)</f>
        <v>0</v>
      </c>
      <c r="C8" s="27" t="str">
        <f>IF(VLOOKUP(A8,'TH theo khach hang'!$A$4:$C$309,3,FALSE)=0, "", "x")</f>
        <v/>
      </c>
      <c r="D8" s="43">
        <f t="shared" si="8"/>
        <v>0</v>
      </c>
      <c r="E8" s="44">
        <f t="shared" si="8"/>
        <v>0</v>
      </c>
      <c r="F8" s="45">
        <f>VLOOKUP(A8,'TH theo khach hang'!$A$4:$G$309,4,FALSE)</f>
        <v>0</v>
      </c>
      <c r="G8" s="46">
        <f>VLOOKUP(A8,'TH theo khach hang'!$A$4:$G$309,5,FALSE)</f>
        <v>0</v>
      </c>
      <c r="H8" s="45">
        <f t="shared" ref="H8:H71" si="9">J8+L8+N8+P8+R8+T8+V8+X8+Z8+AB8+AD8+AF8</f>
        <v>0</v>
      </c>
      <c r="I8" s="47">
        <f t="shared" ref="I8:I71" si="10">K8+M8+O8+Q8+S8+U8+W8+Y8+AA8+AC8+AE8+AG8</f>
        <v>0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3"/>
    </row>
    <row r="9" spans="1:34" s="34" customFormat="1">
      <c r="A9" s="28" t="s">
        <v>40</v>
      </c>
      <c r="B9" s="26">
        <f>VLOOKUP(A9,'TH theo khach hang'!$A$4:$C$309,2,FALSE)</f>
        <v>0</v>
      </c>
      <c r="C9" s="27" t="str">
        <f>IF(VLOOKUP(A9,'TH theo khach hang'!$A$4:$C$309,3,FALSE)=0, "", "x")</f>
        <v/>
      </c>
      <c r="D9" s="43">
        <f t="shared" si="8"/>
        <v>0</v>
      </c>
      <c r="E9" s="44">
        <f t="shared" si="8"/>
        <v>0</v>
      </c>
      <c r="F9" s="45">
        <f>VLOOKUP(A9,'TH theo khach hang'!$A$4:$G$309,4,FALSE)</f>
        <v>0</v>
      </c>
      <c r="G9" s="46">
        <f>VLOOKUP(A9,'TH theo khach hang'!$A$4:$G$309,5,FALSE)</f>
        <v>0</v>
      </c>
      <c r="H9" s="45">
        <f t="shared" si="9"/>
        <v>0</v>
      </c>
      <c r="I9" s="47">
        <f t="shared" si="10"/>
        <v>0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3"/>
    </row>
    <row r="10" spans="1:34" s="34" customFormat="1">
      <c r="A10" s="28" t="s">
        <v>41</v>
      </c>
      <c r="B10" s="26">
        <f>VLOOKUP(A10,'TH theo khach hang'!$A$4:$C$309,2,FALSE)</f>
        <v>0</v>
      </c>
      <c r="C10" s="27" t="str">
        <f>IF(VLOOKUP(A10,'TH theo khach hang'!$A$4:$C$309,3,FALSE)=0, "", "x")</f>
        <v/>
      </c>
      <c r="D10" s="43">
        <f t="shared" si="8"/>
        <v>0</v>
      </c>
      <c r="E10" s="44">
        <f t="shared" si="8"/>
        <v>0</v>
      </c>
      <c r="F10" s="45">
        <f>VLOOKUP(A10,'TH theo khach hang'!$A$4:$G$309,4,FALSE)</f>
        <v>0</v>
      </c>
      <c r="G10" s="46">
        <f>VLOOKUP(A10,'TH theo khach hang'!$A$4:$G$309,5,FALSE)</f>
        <v>0</v>
      </c>
      <c r="H10" s="45">
        <f t="shared" si="9"/>
        <v>0</v>
      </c>
      <c r="I10" s="47">
        <f t="shared" si="10"/>
        <v>0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3"/>
    </row>
    <row r="11" spans="1:34" s="34" customFormat="1">
      <c r="A11" s="28" t="s">
        <v>42</v>
      </c>
      <c r="B11" s="383">
        <f>VLOOKUP(A11,'TH theo khach hang'!$A$4:$C$309,2,FALSE)</f>
        <v>0</v>
      </c>
      <c r="C11" s="27" t="str">
        <f>IF(VLOOKUP(A11,'TH theo khach hang'!$A$4:$C$309,3,FALSE)=0, "", "x")</f>
        <v/>
      </c>
      <c r="D11" s="43">
        <f t="shared" si="8"/>
        <v>0</v>
      </c>
      <c r="E11" s="44">
        <f t="shared" si="8"/>
        <v>0</v>
      </c>
      <c r="F11" s="45">
        <f>VLOOKUP(A11,'TH theo khach hang'!$A$4:$G$309,4,FALSE)</f>
        <v>0</v>
      </c>
      <c r="G11" s="46">
        <f>VLOOKUP(A11,'TH theo khach hang'!$A$4:$G$309,5,FALSE)</f>
        <v>0</v>
      </c>
      <c r="H11" s="45">
        <f t="shared" si="9"/>
        <v>0</v>
      </c>
      <c r="I11" s="47">
        <f t="shared" si="10"/>
        <v>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</row>
    <row r="12" spans="1:34" s="34" customFormat="1">
      <c r="A12" s="28" t="s">
        <v>43</v>
      </c>
      <c r="B12" s="26">
        <f>VLOOKUP(A12,'TH theo khach hang'!$A$4:$C$309,2,FALSE)</f>
        <v>0</v>
      </c>
      <c r="C12" s="27" t="str">
        <f>IF(VLOOKUP(A12,'TH theo khach hang'!$A$4:$C$309,3,FALSE)=0, "", "x")</f>
        <v/>
      </c>
      <c r="D12" s="43">
        <f t="shared" si="8"/>
        <v>0</v>
      </c>
      <c r="E12" s="44">
        <f t="shared" si="8"/>
        <v>0</v>
      </c>
      <c r="F12" s="45">
        <f>VLOOKUP(A12,'TH theo khach hang'!$A$4:$G$309,4,FALSE)</f>
        <v>0</v>
      </c>
      <c r="G12" s="46">
        <f>VLOOKUP(A12,'TH theo khach hang'!$A$4:$G$309,5,FALSE)</f>
        <v>0</v>
      </c>
      <c r="H12" s="45">
        <f t="shared" si="9"/>
        <v>0</v>
      </c>
      <c r="I12" s="47">
        <f t="shared" si="10"/>
        <v>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</row>
    <row r="13" spans="1:34" s="34" customFormat="1">
      <c r="A13" s="28" t="s">
        <v>44</v>
      </c>
      <c r="B13" s="26">
        <f>VLOOKUP(A13,'TH theo khach hang'!$A$4:$C$309,2,FALSE)</f>
        <v>0</v>
      </c>
      <c r="C13" s="27" t="str">
        <f>IF(VLOOKUP(A13,'TH theo khach hang'!$A$4:$C$309,3,FALSE)=0, "", "x")</f>
        <v/>
      </c>
      <c r="D13" s="43">
        <f t="shared" si="8"/>
        <v>0</v>
      </c>
      <c r="E13" s="44">
        <f t="shared" si="8"/>
        <v>0</v>
      </c>
      <c r="F13" s="45">
        <f>VLOOKUP(A13,'TH theo khach hang'!$A$4:$G$309,4,FALSE)</f>
        <v>0</v>
      </c>
      <c r="G13" s="46">
        <f>VLOOKUP(A13,'TH theo khach hang'!$A$4:$G$309,5,FALSE)</f>
        <v>0</v>
      </c>
      <c r="H13" s="45">
        <f t="shared" si="9"/>
        <v>0</v>
      </c>
      <c r="I13" s="47">
        <f t="shared" si="10"/>
        <v>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3"/>
    </row>
    <row r="14" spans="1:34" s="34" customFormat="1">
      <c r="A14" s="28" t="s">
        <v>45</v>
      </c>
      <c r="B14" s="26">
        <f>VLOOKUP(A14,'TH theo khach hang'!$A$4:$C$309,2,FALSE)</f>
        <v>0</v>
      </c>
      <c r="C14" s="27" t="str">
        <f>IF(VLOOKUP(A14,'TH theo khach hang'!$A$4:$C$309,3,FALSE)=0, "", "x")</f>
        <v/>
      </c>
      <c r="D14" s="43">
        <f t="shared" si="8"/>
        <v>0</v>
      </c>
      <c r="E14" s="44">
        <f t="shared" si="8"/>
        <v>0</v>
      </c>
      <c r="F14" s="45">
        <f>VLOOKUP(A14,'TH theo khach hang'!$A$4:$G$309,4,FALSE)</f>
        <v>0</v>
      </c>
      <c r="G14" s="46">
        <f>VLOOKUP(A14,'TH theo khach hang'!$A$4:$G$309,5,FALSE)</f>
        <v>0</v>
      </c>
      <c r="H14" s="45">
        <f t="shared" si="9"/>
        <v>0</v>
      </c>
      <c r="I14" s="47">
        <f t="shared" si="10"/>
        <v>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</row>
    <row r="15" spans="1:34" s="34" customFormat="1">
      <c r="A15" s="28" t="s">
        <v>46</v>
      </c>
      <c r="B15" s="26">
        <f>VLOOKUP(A15,'TH theo khach hang'!$A$4:$C$309,2,FALSE)</f>
        <v>0</v>
      </c>
      <c r="C15" s="27" t="str">
        <f>IF(VLOOKUP(A15,'TH theo khach hang'!$A$4:$C$309,3,FALSE)=0, "", "x")</f>
        <v/>
      </c>
      <c r="D15" s="43">
        <f>F15-H15</f>
        <v>0</v>
      </c>
      <c r="E15" s="44">
        <f t="shared" si="8"/>
        <v>0</v>
      </c>
      <c r="F15" s="45">
        <f>VLOOKUP(A15,'TH theo khach hang'!$A$4:$G$309,4,FALSE)</f>
        <v>0</v>
      </c>
      <c r="G15" s="46">
        <f>VLOOKUP(A15,'TH theo khach hang'!$A$4:$G$309,5,FALSE)</f>
        <v>0</v>
      </c>
      <c r="H15" s="45">
        <f t="shared" si="9"/>
        <v>0</v>
      </c>
      <c r="I15" s="47">
        <f t="shared" si="10"/>
        <v>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</row>
    <row r="16" spans="1:34" s="34" customFormat="1" ht="16.5" customHeight="1">
      <c r="A16" s="28" t="s">
        <v>47</v>
      </c>
      <c r="B16" s="26">
        <f>VLOOKUP(A16,'TH theo khach hang'!$A$4:$C$309,2,FALSE)</f>
        <v>0</v>
      </c>
      <c r="C16" s="27" t="str">
        <f>IF(VLOOKUP(A16,'TH theo khach hang'!$A$4:$C$309,3,FALSE)=0, "", "x")</f>
        <v/>
      </c>
      <c r="D16" s="43">
        <f t="shared" si="8"/>
        <v>0</v>
      </c>
      <c r="E16" s="44">
        <f t="shared" si="8"/>
        <v>0</v>
      </c>
      <c r="F16" s="45">
        <f>VLOOKUP(A16,'TH theo khach hang'!$A$4:$G$309,4,FALSE)</f>
        <v>0</v>
      </c>
      <c r="G16" s="46">
        <f>VLOOKUP(A16,'TH theo khach hang'!$A$4:$G$309,5,FALSE)</f>
        <v>0</v>
      </c>
      <c r="H16" s="45">
        <f t="shared" si="9"/>
        <v>0</v>
      </c>
      <c r="I16" s="47">
        <f t="shared" si="10"/>
        <v>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3"/>
    </row>
    <row r="17" spans="1:34" ht="16.5" customHeight="1">
      <c r="A17" s="28" t="s">
        <v>48</v>
      </c>
      <c r="B17" s="26">
        <f>VLOOKUP(A17,'TH theo khach hang'!$A$4:$C$309,2,FALSE)</f>
        <v>0</v>
      </c>
      <c r="C17" s="27" t="str">
        <f>IF(VLOOKUP(A17,'TH theo khach hang'!$A$4:$C$309,3,FALSE)=0, "", "x")</f>
        <v/>
      </c>
      <c r="D17" s="43">
        <f t="shared" si="8"/>
        <v>0</v>
      </c>
      <c r="E17" s="44">
        <f t="shared" si="8"/>
        <v>0</v>
      </c>
      <c r="F17" s="45">
        <f>VLOOKUP(A17,'TH theo khach hang'!$A$4:$G$309,4,FALSE)</f>
        <v>0</v>
      </c>
      <c r="G17" s="46">
        <f>VLOOKUP(A17,'TH theo khach hang'!$A$4:$G$309,5,FALSE)</f>
        <v>0</v>
      </c>
      <c r="H17" s="45">
        <f t="shared" si="9"/>
        <v>0</v>
      </c>
      <c r="I17" s="47">
        <f t="shared" si="10"/>
        <v>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</row>
    <row r="18" spans="1:34" ht="33" customHeight="1">
      <c r="A18" s="28" t="s">
        <v>49</v>
      </c>
      <c r="B18" s="26">
        <f>VLOOKUP(A18,'TH theo khach hang'!$A$4:$C$309,2,FALSE)</f>
        <v>0</v>
      </c>
      <c r="C18" s="27" t="str">
        <f>IF(VLOOKUP(A18,'TH theo khach hang'!$A$4:$C$309,3,FALSE)=0, "", "x")</f>
        <v/>
      </c>
      <c r="D18" s="43">
        <f t="shared" si="8"/>
        <v>0</v>
      </c>
      <c r="E18" s="44">
        <f t="shared" si="8"/>
        <v>0</v>
      </c>
      <c r="F18" s="45">
        <f>VLOOKUP(A18,'TH theo khach hang'!$A$4:$G$309,4,FALSE)</f>
        <v>0</v>
      </c>
      <c r="G18" s="46">
        <f>VLOOKUP(A18,'TH theo khach hang'!$A$4:$G$309,5,FALSE)</f>
        <v>0</v>
      </c>
      <c r="H18" s="45">
        <f t="shared" si="9"/>
        <v>0</v>
      </c>
      <c r="I18" s="47">
        <f t="shared" si="10"/>
        <v>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</row>
    <row r="19" spans="1:34">
      <c r="A19" s="28" t="s">
        <v>50</v>
      </c>
      <c r="B19" s="26">
        <f>VLOOKUP(A19,'TH theo khach hang'!$A$4:$C$309,2,FALSE)</f>
        <v>0</v>
      </c>
      <c r="C19" s="27" t="str">
        <f>IF(VLOOKUP(A19,'TH theo khach hang'!$A$4:$C$309,3,FALSE)=0, "", "x")</f>
        <v/>
      </c>
      <c r="D19" s="43">
        <f t="shared" si="8"/>
        <v>0</v>
      </c>
      <c r="E19" s="44">
        <f t="shared" si="8"/>
        <v>0</v>
      </c>
      <c r="F19" s="45">
        <f>VLOOKUP(A19,'TH theo khach hang'!$A$4:$G$309,4,FALSE)</f>
        <v>0</v>
      </c>
      <c r="G19" s="46">
        <f>VLOOKUP(A19,'TH theo khach hang'!$A$4:$G$309,5,FALSE)</f>
        <v>0</v>
      </c>
      <c r="H19" s="45">
        <f t="shared" si="9"/>
        <v>0</v>
      </c>
      <c r="I19" s="47">
        <f t="shared" si="10"/>
        <v>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</row>
    <row r="20" spans="1:34">
      <c r="A20" s="28" t="s">
        <v>51</v>
      </c>
      <c r="B20" s="26">
        <f>VLOOKUP(A20,'TH theo khach hang'!$A$4:$C$309,2,FALSE)</f>
        <v>0</v>
      </c>
      <c r="C20" s="27" t="str">
        <f>IF(VLOOKUP(A20,'TH theo khach hang'!$A$4:$C$309,3,FALSE)=0, "", "x")</f>
        <v/>
      </c>
      <c r="D20" s="43">
        <f t="shared" si="8"/>
        <v>0</v>
      </c>
      <c r="E20" s="44">
        <f t="shared" si="8"/>
        <v>0</v>
      </c>
      <c r="F20" s="45">
        <f>VLOOKUP(A20,'TH theo khach hang'!$A$4:$G$309,4,FALSE)</f>
        <v>0</v>
      </c>
      <c r="G20" s="46">
        <f>VLOOKUP(A20,'TH theo khach hang'!$A$4:$G$309,5,FALSE)</f>
        <v>0</v>
      </c>
      <c r="H20" s="45">
        <f t="shared" si="9"/>
        <v>0</v>
      </c>
      <c r="I20" s="47">
        <f t="shared" si="10"/>
        <v>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</row>
    <row r="21" spans="1:34" ht="16.5" customHeight="1">
      <c r="A21" s="28" t="s">
        <v>52</v>
      </c>
      <c r="B21" s="26">
        <f>VLOOKUP(A21,'TH theo khach hang'!$A$4:$C$309,2,FALSE)</f>
        <v>0</v>
      </c>
      <c r="C21" s="27" t="str">
        <f>IF(VLOOKUP(A21,'TH theo khach hang'!$A$4:$C$309,3,FALSE)=0, "", "x")</f>
        <v/>
      </c>
      <c r="D21" s="43">
        <f t="shared" si="8"/>
        <v>0</v>
      </c>
      <c r="E21" s="44">
        <f t="shared" si="8"/>
        <v>0</v>
      </c>
      <c r="F21" s="45">
        <f>VLOOKUP(A21,'TH theo khach hang'!$A$4:$G$309,4,FALSE)</f>
        <v>0</v>
      </c>
      <c r="G21" s="46">
        <f>VLOOKUP(A21,'TH theo khach hang'!$A$4:$G$309,5,FALSE)</f>
        <v>0</v>
      </c>
      <c r="H21" s="45">
        <f t="shared" si="9"/>
        <v>0</v>
      </c>
      <c r="I21" s="47">
        <f t="shared" si="10"/>
        <v>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</row>
    <row r="22" spans="1:34" s="34" customFormat="1">
      <c r="A22" s="28" t="s">
        <v>73</v>
      </c>
      <c r="B22" s="26">
        <f>VLOOKUP(A22,'TH theo khach hang'!$A$4:$C$309,2,FALSE)</f>
        <v>0</v>
      </c>
      <c r="C22" s="27" t="str">
        <f>IF(VLOOKUP(A22,'TH theo khach hang'!$A$4:$C$309,3,FALSE)=0, "", "x")</f>
        <v/>
      </c>
      <c r="D22" s="43">
        <f>F22-H22</f>
        <v>0</v>
      </c>
      <c r="E22" s="44">
        <f t="shared" si="8"/>
        <v>0</v>
      </c>
      <c r="F22" s="45">
        <f>VLOOKUP(A22,'TH theo khach hang'!$A$4:$G$309,4,FALSE)</f>
        <v>0</v>
      </c>
      <c r="G22" s="46">
        <f>VLOOKUP(A22,'TH theo khach hang'!$A$4:$G$309,5,FALSE)</f>
        <v>0</v>
      </c>
      <c r="H22" s="45">
        <f t="shared" si="9"/>
        <v>0</v>
      </c>
      <c r="I22" s="47">
        <f t="shared" si="10"/>
        <v>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3"/>
    </row>
    <row r="23" spans="1:34" s="34" customFormat="1">
      <c r="A23" s="28" t="s">
        <v>74</v>
      </c>
      <c r="B23" s="383">
        <f>VLOOKUP(A23,'TH theo khach hang'!$A$4:$C$309,2,FALSE)</f>
        <v>0</v>
      </c>
      <c r="C23" s="27" t="str">
        <f>IF(VLOOKUP(A23,'TH theo khach hang'!$A$4:$C$309,3,FALSE)=0, "", "x")</f>
        <v/>
      </c>
      <c r="D23" s="43">
        <f t="shared" ref="D23:E38" si="11">F23-H23</f>
        <v>0</v>
      </c>
      <c r="E23" s="44">
        <f t="shared" si="11"/>
        <v>0</v>
      </c>
      <c r="F23" s="45">
        <f>VLOOKUP(A23,'TH theo khach hang'!$A$4:$G$309,4,FALSE)</f>
        <v>0</v>
      </c>
      <c r="G23" s="46">
        <f>VLOOKUP(A23,'TH theo khach hang'!$A$4:$G$309,5,FALSE)</f>
        <v>0</v>
      </c>
      <c r="H23" s="45">
        <f t="shared" si="9"/>
        <v>0</v>
      </c>
      <c r="I23" s="47">
        <f t="shared" si="10"/>
        <v>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3"/>
    </row>
    <row r="24" spans="1:34" s="34" customFormat="1">
      <c r="A24" s="28" t="s">
        <v>75</v>
      </c>
      <c r="B24" s="26">
        <f>VLOOKUP(A24,'TH theo khach hang'!$A$4:$C$309,2,FALSE)</f>
        <v>0</v>
      </c>
      <c r="C24" s="27" t="str">
        <f>IF(VLOOKUP(A24,'TH theo khach hang'!$A$4:$C$309,3,FALSE)=0, "", "x")</f>
        <v/>
      </c>
      <c r="D24" s="43">
        <f t="shared" si="11"/>
        <v>0</v>
      </c>
      <c r="E24" s="44">
        <f t="shared" si="11"/>
        <v>0</v>
      </c>
      <c r="F24" s="45">
        <f>VLOOKUP(A24,'TH theo khach hang'!$A$4:$G$309,4,FALSE)</f>
        <v>0</v>
      </c>
      <c r="G24" s="46">
        <f>VLOOKUP(A24,'TH theo khach hang'!$A$4:$G$309,5,FALSE)</f>
        <v>0</v>
      </c>
      <c r="H24" s="45">
        <f t="shared" si="9"/>
        <v>0</v>
      </c>
      <c r="I24" s="47">
        <f t="shared" si="10"/>
        <v>0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3"/>
    </row>
    <row r="25" spans="1:34" s="34" customFormat="1">
      <c r="A25" s="28" t="s">
        <v>76</v>
      </c>
      <c r="B25" s="26">
        <f>VLOOKUP(A25,'TH theo khach hang'!$A$4:$C$309,2,FALSE)</f>
        <v>0</v>
      </c>
      <c r="C25" s="27" t="str">
        <f>IF(VLOOKUP(A25,'TH theo khach hang'!$A$4:$C$309,3,FALSE)=0, "", "x")</f>
        <v/>
      </c>
      <c r="D25" s="43">
        <f t="shared" si="11"/>
        <v>0</v>
      </c>
      <c r="E25" s="44">
        <f t="shared" si="11"/>
        <v>0</v>
      </c>
      <c r="F25" s="45">
        <f>VLOOKUP(A25,'TH theo khach hang'!$A$4:$G$309,4,FALSE)</f>
        <v>0</v>
      </c>
      <c r="G25" s="46">
        <f>VLOOKUP(A25,'TH theo khach hang'!$A$4:$G$309,5,FALSE)</f>
        <v>0</v>
      </c>
      <c r="H25" s="45">
        <f t="shared" si="9"/>
        <v>0</v>
      </c>
      <c r="I25" s="47">
        <f t="shared" si="10"/>
        <v>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3"/>
    </row>
    <row r="26" spans="1:34" s="34" customFormat="1">
      <c r="A26" s="28" t="s">
        <v>77</v>
      </c>
      <c r="B26" s="26">
        <f>VLOOKUP(A26,'TH theo khach hang'!$A$4:$C$309,2,FALSE)</f>
        <v>0</v>
      </c>
      <c r="C26" s="27" t="str">
        <f>IF(VLOOKUP(A26,'TH theo khach hang'!$A$4:$C$309,3,FALSE)=0, "", "x")</f>
        <v/>
      </c>
      <c r="D26" s="43">
        <f t="shared" si="11"/>
        <v>0</v>
      </c>
      <c r="E26" s="44">
        <f t="shared" si="11"/>
        <v>0</v>
      </c>
      <c r="F26" s="45">
        <f>VLOOKUP(A26,'TH theo khach hang'!$A$4:$G$309,4,FALSE)</f>
        <v>0</v>
      </c>
      <c r="G26" s="46">
        <f>VLOOKUP(A26,'TH theo khach hang'!$A$4:$G$309,5,FALSE)</f>
        <v>0</v>
      </c>
      <c r="H26" s="45">
        <f t="shared" si="9"/>
        <v>0</v>
      </c>
      <c r="I26" s="47">
        <f t="shared" si="10"/>
        <v>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</row>
    <row r="27" spans="1:34" s="34" customFormat="1">
      <c r="A27" s="28" t="s">
        <v>78</v>
      </c>
      <c r="B27" s="26">
        <f>VLOOKUP(A27,'TH theo khach hang'!$A$4:$C$309,2,FALSE)</f>
        <v>0</v>
      </c>
      <c r="C27" s="27" t="str">
        <f>IF(VLOOKUP(A27,'TH theo khach hang'!$A$4:$C$309,3,FALSE)=0, "", "x")</f>
        <v/>
      </c>
      <c r="D27" s="43">
        <f t="shared" si="11"/>
        <v>0</v>
      </c>
      <c r="E27" s="44">
        <f t="shared" si="11"/>
        <v>0</v>
      </c>
      <c r="F27" s="45">
        <f>VLOOKUP(A27,'TH theo khach hang'!$A$4:$G$309,4,FALSE)</f>
        <v>0</v>
      </c>
      <c r="G27" s="46">
        <f>VLOOKUP(A27,'TH theo khach hang'!$A$4:$G$309,5,FALSE)</f>
        <v>0</v>
      </c>
      <c r="H27" s="45">
        <f t="shared" si="9"/>
        <v>0</v>
      </c>
      <c r="I27" s="47">
        <f t="shared" si="10"/>
        <v>0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</row>
    <row r="28" spans="1:34" s="34" customFormat="1">
      <c r="A28" s="28" t="s">
        <v>79</v>
      </c>
      <c r="B28" s="26">
        <f>VLOOKUP(A28,'TH theo khach hang'!$A$4:$C$309,2,FALSE)</f>
        <v>0</v>
      </c>
      <c r="C28" s="27" t="str">
        <f>IF(VLOOKUP(A28,'TH theo khach hang'!$A$4:$C$309,3,FALSE)=0, "", "x")</f>
        <v/>
      </c>
      <c r="D28" s="43">
        <f t="shared" si="11"/>
        <v>0</v>
      </c>
      <c r="E28" s="44">
        <f t="shared" si="11"/>
        <v>0</v>
      </c>
      <c r="F28" s="45">
        <f>VLOOKUP(A28,'TH theo khach hang'!$A$4:$G$309,4,FALSE)</f>
        <v>0</v>
      </c>
      <c r="G28" s="46">
        <f>VLOOKUP(A28,'TH theo khach hang'!$A$4:$G$309,5,FALSE)</f>
        <v>0</v>
      </c>
      <c r="H28" s="45">
        <f t="shared" si="9"/>
        <v>0</v>
      </c>
      <c r="I28" s="47">
        <f t="shared" si="10"/>
        <v>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3"/>
    </row>
    <row r="29" spans="1:34" s="34" customFormat="1">
      <c r="A29" s="28" t="s">
        <v>80</v>
      </c>
      <c r="B29" s="26">
        <f>VLOOKUP(A29,'TH theo khach hang'!$A$4:$C$309,2,FALSE)</f>
        <v>0</v>
      </c>
      <c r="C29" s="27" t="str">
        <f>IF(VLOOKUP(A29,'TH theo khach hang'!$A$4:$C$309,3,FALSE)=0, "", "x")</f>
        <v/>
      </c>
      <c r="D29" s="43">
        <f t="shared" si="11"/>
        <v>0</v>
      </c>
      <c r="E29" s="44">
        <f t="shared" si="11"/>
        <v>0</v>
      </c>
      <c r="F29" s="45">
        <f>VLOOKUP(A29,'TH theo khach hang'!$A$4:$G$309,4,FALSE)</f>
        <v>0</v>
      </c>
      <c r="G29" s="46">
        <f>VLOOKUP(A29,'TH theo khach hang'!$A$4:$G$309,5,FALSE)</f>
        <v>0</v>
      </c>
      <c r="H29" s="45">
        <f t="shared" si="9"/>
        <v>0</v>
      </c>
      <c r="I29" s="47">
        <f t="shared" si="10"/>
        <v>0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</row>
    <row r="30" spans="1:34" s="34" customFormat="1">
      <c r="A30" s="28" t="s">
        <v>81</v>
      </c>
      <c r="B30" s="26">
        <f>VLOOKUP(A30,'TH theo khach hang'!$A$4:$C$309,2,FALSE)</f>
        <v>0</v>
      </c>
      <c r="C30" s="27" t="str">
        <f>IF(VLOOKUP(A30,'TH theo khach hang'!$A$4:$C$309,3,FALSE)=0, "", "x")</f>
        <v/>
      </c>
      <c r="D30" s="43">
        <f t="shared" si="11"/>
        <v>0</v>
      </c>
      <c r="E30" s="44">
        <f t="shared" si="11"/>
        <v>0</v>
      </c>
      <c r="F30" s="45">
        <f>VLOOKUP(A30,'TH theo khach hang'!$A$4:$G$309,4,FALSE)</f>
        <v>0</v>
      </c>
      <c r="G30" s="46">
        <f>VLOOKUP(A30,'TH theo khach hang'!$A$4:$G$309,5,FALSE)</f>
        <v>0</v>
      </c>
      <c r="H30" s="45">
        <f t="shared" si="9"/>
        <v>0</v>
      </c>
      <c r="I30" s="47">
        <f t="shared" si="10"/>
        <v>0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spans="1:34" s="34" customFormat="1">
      <c r="A31" s="28" t="s">
        <v>82</v>
      </c>
      <c r="B31" s="26">
        <f>VLOOKUP(A31,'TH theo khach hang'!$A$4:$C$309,2,FALSE)</f>
        <v>0</v>
      </c>
      <c r="C31" s="27" t="str">
        <f>IF(VLOOKUP(A31,'TH theo khach hang'!$A$4:$C$309,3,FALSE)=0, "", "x")</f>
        <v/>
      </c>
      <c r="D31" s="43">
        <f t="shared" si="11"/>
        <v>0</v>
      </c>
      <c r="E31" s="44">
        <f t="shared" si="11"/>
        <v>0</v>
      </c>
      <c r="F31" s="45">
        <f>VLOOKUP(A31,'TH theo khach hang'!$A$4:$G$309,4,FALSE)</f>
        <v>0</v>
      </c>
      <c r="G31" s="46">
        <f>VLOOKUP(A31,'TH theo khach hang'!$A$4:$G$309,5,FALSE)</f>
        <v>0</v>
      </c>
      <c r="H31" s="45">
        <f t="shared" si="9"/>
        <v>0</v>
      </c>
      <c r="I31" s="47">
        <f t="shared" si="10"/>
        <v>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3"/>
    </row>
    <row r="32" spans="1:34">
      <c r="A32" s="28" t="s">
        <v>83</v>
      </c>
      <c r="B32" s="26">
        <f>VLOOKUP(A32,'TH theo khach hang'!$A$4:$C$309,2,FALSE)</f>
        <v>0</v>
      </c>
      <c r="C32" s="27" t="str">
        <f>IF(VLOOKUP(A32,'TH theo khach hang'!$A$4:$C$309,3,FALSE)=0, "", "x")</f>
        <v/>
      </c>
      <c r="D32" s="43">
        <f t="shared" si="11"/>
        <v>0</v>
      </c>
      <c r="E32" s="44">
        <f t="shared" si="11"/>
        <v>0</v>
      </c>
      <c r="F32" s="45">
        <f>VLOOKUP(A32,'TH theo khach hang'!$A$4:$G$309,4,FALSE)</f>
        <v>0</v>
      </c>
      <c r="G32" s="46">
        <f>VLOOKUP(A32,'TH theo khach hang'!$A$4:$G$309,5,FALSE)</f>
        <v>0</v>
      </c>
      <c r="H32" s="45">
        <f t="shared" si="9"/>
        <v>0</v>
      </c>
      <c r="I32" s="47">
        <f t="shared" si="10"/>
        <v>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</row>
    <row r="33" spans="1:34">
      <c r="A33" s="28" t="s">
        <v>84</v>
      </c>
      <c r="B33" s="26">
        <f>VLOOKUP(A33,'TH theo khach hang'!$A$4:$C$309,2,FALSE)</f>
        <v>0</v>
      </c>
      <c r="C33" s="27" t="str">
        <f>IF(VLOOKUP(A33,'TH theo khach hang'!$A$4:$C$309,3,FALSE)=0, "", "x")</f>
        <v/>
      </c>
      <c r="D33" s="43">
        <f t="shared" si="11"/>
        <v>0</v>
      </c>
      <c r="E33" s="44">
        <f t="shared" si="11"/>
        <v>0</v>
      </c>
      <c r="F33" s="45">
        <f>VLOOKUP(A33,'TH theo khach hang'!$A$4:$G$309,4,FALSE)</f>
        <v>0</v>
      </c>
      <c r="G33" s="46">
        <f>VLOOKUP(A33,'TH theo khach hang'!$A$4:$G$309,5,FALSE)</f>
        <v>0</v>
      </c>
      <c r="H33" s="45">
        <f t="shared" si="9"/>
        <v>0</v>
      </c>
      <c r="I33" s="47">
        <f t="shared" si="10"/>
        <v>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</row>
    <row r="34" spans="1:34">
      <c r="A34" s="28" t="s">
        <v>85</v>
      </c>
      <c r="B34" s="26">
        <f>VLOOKUP(A34,'TH theo khach hang'!$A$4:$C$309,2,FALSE)</f>
        <v>0</v>
      </c>
      <c r="C34" s="27" t="str">
        <f>IF(VLOOKUP(A34,'TH theo khach hang'!$A$4:$C$309,3,FALSE)=0, "", "x")</f>
        <v/>
      </c>
      <c r="D34" s="43">
        <f t="shared" si="11"/>
        <v>0</v>
      </c>
      <c r="E34" s="44">
        <f t="shared" si="11"/>
        <v>0</v>
      </c>
      <c r="F34" s="45">
        <f>VLOOKUP(A34,'TH theo khach hang'!$A$4:$G$309,4,FALSE)</f>
        <v>0</v>
      </c>
      <c r="G34" s="46">
        <f>VLOOKUP(A34,'TH theo khach hang'!$A$4:$G$309,5,FALSE)</f>
        <v>0</v>
      </c>
      <c r="H34" s="45">
        <f t="shared" si="9"/>
        <v>0</v>
      </c>
      <c r="I34" s="47">
        <f t="shared" si="10"/>
        <v>0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</row>
    <row r="35" spans="1:34">
      <c r="A35" s="28" t="s">
        <v>86</v>
      </c>
      <c r="B35" s="26">
        <f>VLOOKUP(A35,'TH theo khach hang'!$A$4:$C$309,2,FALSE)</f>
        <v>0</v>
      </c>
      <c r="C35" s="27" t="str">
        <f>IF(VLOOKUP(A35,'TH theo khach hang'!$A$4:$C$309,3,FALSE)=0, "", "x")</f>
        <v/>
      </c>
      <c r="D35" s="43">
        <f t="shared" si="11"/>
        <v>0</v>
      </c>
      <c r="E35" s="44">
        <f t="shared" si="11"/>
        <v>0</v>
      </c>
      <c r="F35" s="45">
        <f>VLOOKUP(A35,'TH theo khach hang'!$A$4:$G$309,4,FALSE)</f>
        <v>0</v>
      </c>
      <c r="G35" s="46">
        <f>VLOOKUP(A35,'TH theo khach hang'!$A$4:$G$309,5,FALSE)</f>
        <v>0</v>
      </c>
      <c r="H35" s="45">
        <f t="shared" si="9"/>
        <v>0</v>
      </c>
      <c r="I35" s="47">
        <f t="shared" si="10"/>
        <v>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</row>
    <row r="36" spans="1:34">
      <c r="A36" s="28" t="s">
        <v>87</v>
      </c>
      <c r="B36" s="26">
        <f>VLOOKUP(A36,'TH theo khach hang'!$A$4:$C$309,2,FALSE)</f>
        <v>0</v>
      </c>
      <c r="C36" s="27" t="str">
        <f>IF(VLOOKUP(A36,'TH theo khach hang'!$A$4:$C$309,3,FALSE)=0, "", "x")</f>
        <v/>
      </c>
      <c r="D36" s="43">
        <f t="shared" si="11"/>
        <v>0</v>
      </c>
      <c r="E36" s="44">
        <f t="shared" si="11"/>
        <v>0</v>
      </c>
      <c r="F36" s="45">
        <f>VLOOKUP(A36,'TH theo khach hang'!$A$4:$G$309,4,FALSE)</f>
        <v>0</v>
      </c>
      <c r="G36" s="46">
        <f>VLOOKUP(A36,'TH theo khach hang'!$A$4:$G$309,5,FALSE)</f>
        <v>0</v>
      </c>
      <c r="H36" s="45">
        <f t="shared" si="9"/>
        <v>0</v>
      </c>
      <c r="I36" s="47">
        <f t="shared" si="10"/>
        <v>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</row>
    <row r="37" spans="1:34" s="34" customFormat="1">
      <c r="A37" s="28" t="s">
        <v>103</v>
      </c>
      <c r="B37" s="26">
        <f>VLOOKUP(A37,'TH theo khach hang'!$A$4:$C$309,2,FALSE)</f>
        <v>0</v>
      </c>
      <c r="C37" s="27" t="str">
        <f>IF(VLOOKUP(A37,'TH theo khach hang'!$A$4:$C$309,3,FALSE)=0, "", "x")</f>
        <v/>
      </c>
      <c r="D37" s="43">
        <f t="shared" si="11"/>
        <v>0</v>
      </c>
      <c r="E37" s="44">
        <f t="shared" si="11"/>
        <v>0</v>
      </c>
      <c r="F37" s="45">
        <f>VLOOKUP(A37,'TH theo khach hang'!$A$4:$G$309,4,FALSE)</f>
        <v>0</v>
      </c>
      <c r="G37" s="46">
        <f>VLOOKUP(A37,'TH theo khach hang'!$A$4:$G$309,5,FALSE)</f>
        <v>0</v>
      </c>
      <c r="H37" s="45">
        <f t="shared" si="9"/>
        <v>0</v>
      </c>
      <c r="I37" s="47">
        <f t="shared" si="10"/>
        <v>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</row>
    <row r="38" spans="1:34" s="34" customFormat="1">
      <c r="A38" s="28" t="s">
        <v>104</v>
      </c>
      <c r="B38" s="26">
        <f>VLOOKUP(A38,'TH theo khach hang'!$A$4:$C$309,2,FALSE)</f>
        <v>0</v>
      </c>
      <c r="C38" s="27" t="str">
        <f>IF(VLOOKUP(A38,'TH theo khach hang'!$A$4:$C$309,3,FALSE)=0, "", "x")</f>
        <v/>
      </c>
      <c r="D38" s="43">
        <f>F38-H38</f>
        <v>0</v>
      </c>
      <c r="E38" s="44">
        <f t="shared" si="11"/>
        <v>0</v>
      </c>
      <c r="F38" s="45">
        <f>VLOOKUP(A38,'TH theo khach hang'!$A$4:$G$309,4,FALSE)</f>
        <v>0</v>
      </c>
      <c r="G38" s="46">
        <f>VLOOKUP(A38,'TH theo khach hang'!$A$4:$G$309,5,FALSE)</f>
        <v>0</v>
      </c>
      <c r="H38" s="45">
        <f t="shared" si="9"/>
        <v>0</v>
      </c>
      <c r="I38" s="47">
        <f t="shared" si="10"/>
        <v>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</row>
    <row r="39" spans="1:34" s="34" customFormat="1">
      <c r="A39" s="28" t="s">
        <v>105</v>
      </c>
      <c r="B39" s="26">
        <f>VLOOKUP(A39,'TH theo khach hang'!$A$4:$C$309,2,FALSE)</f>
        <v>0</v>
      </c>
      <c r="C39" s="27" t="str">
        <f>IF(VLOOKUP(A39,'TH theo khach hang'!$A$4:$C$309,3,FALSE)=0, "", "x")</f>
        <v/>
      </c>
      <c r="D39" s="43">
        <f t="shared" ref="D39:E46" si="12">F39-H39</f>
        <v>0</v>
      </c>
      <c r="E39" s="44">
        <f t="shared" si="12"/>
        <v>0</v>
      </c>
      <c r="F39" s="45">
        <f>VLOOKUP(A39,'TH theo khach hang'!$A$4:$G$309,4,FALSE)</f>
        <v>0</v>
      </c>
      <c r="G39" s="46">
        <f>VLOOKUP(A39,'TH theo khach hang'!$A$4:$G$309,5,FALSE)</f>
        <v>0</v>
      </c>
      <c r="H39" s="45">
        <f t="shared" si="9"/>
        <v>0</v>
      </c>
      <c r="I39" s="47">
        <f t="shared" si="10"/>
        <v>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</row>
    <row r="40" spans="1:34" s="34" customFormat="1">
      <c r="A40" s="28" t="s">
        <v>106</v>
      </c>
      <c r="B40" s="26">
        <f>VLOOKUP(A40,'TH theo khach hang'!$A$4:$C$309,2,FALSE)</f>
        <v>0</v>
      </c>
      <c r="C40" s="27" t="str">
        <f>IF(VLOOKUP(A40,'TH theo khach hang'!$A$4:$C$309,3,FALSE)=0, "", "x")</f>
        <v/>
      </c>
      <c r="D40" s="43">
        <f t="shared" si="12"/>
        <v>0</v>
      </c>
      <c r="E40" s="44">
        <f t="shared" si="12"/>
        <v>0</v>
      </c>
      <c r="F40" s="45">
        <f>VLOOKUP(A40,'TH theo khach hang'!$A$4:$G$309,4,FALSE)</f>
        <v>0</v>
      </c>
      <c r="G40" s="46">
        <f>VLOOKUP(A40,'TH theo khach hang'!$A$4:$G$309,5,FALSE)</f>
        <v>0</v>
      </c>
      <c r="H40" s="45">
        <f t="shared" si="9"/>
        <v>0</v>
      </c>
      <c r="I40" s="47">
        <f t="shared" si="10"/>
        <v>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</row>
    <row r="41" spans="1:34" s="34" customFormat="1">
      <c r="A41" s="28" t="s">
        <v>107</v>
      </c>
      <c r="B41" s="26">
        <f>VLOOKUP(A41,'TH theo khach hang'!$A$4:$C$309,2,FALSE)</f>
        <v>0</v>
      </c>
      <c r="C41" s="27" t="str">
        <f>IF(VLOOKUP(A41,'TH theo khach hang'!$A$4:$C$309,3,FALSE)=0, "", "x")</f>
        <v/>
      </c>
      <c r="D41" s="43">
        <f t="shared" si="12"/>
        <v>0</v>
      </c>
      <c r="E41" s="44">
        <f t="shared" si="12"/>
        <v>0</v>
      </c>
      <c r="F41" s="45">
        <f>VLOOKUP(A41,'TH theo khach hang'!$A$4:$G$309,4,FALSE)</f>
        <v>0</v>
      </c>
      <c r="G41" s="46">
        <f>VLOOKUP(A41,'TH theo khach hang'!$A$4:$G$309,5,FALSE)</f>
        <v>0</v>
      </c>
      <c r="H41" s="45">
        <f t="shared" si="9"/>
        <v>0</v>
      </c>
      <c r="I41" s="47">
        <f t="shared" si="10"/>
        <v>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 spans="1:34" s="34" customFormat="1">
      <c r="A42" s="28" t="s">
        <v>108</v>
      </c>
      <c r="B42" s="26">
        <f>VLOOKUP(A42,'TH theo khach hang'!$A$4:$C$309,2,FALSE)</f>
        <v>0</v>
      </c>
      <c r="C42" s="27" t="str">
        <f>IF(VLOOKUP(A42,'TH theo khach hang'!$A$4:$C$309,3,FALSE)=0, "", "x")</f>
        <v/>
      </c>
      <c r="D42" s="43">
        <f t="shared" si="12"/>
        <v>0</v>
      </c>
      <c r="E42" s="44">
        <f t="shared" si="12"/>
        <v>0</v>
      </c>
      <c r="F42" s="45">
        <f>VLOOKUP(A42,'TH theo khach hang'!$A$4:$G$309,4,FALSE)</f>
        <v>0</v>
      </c>
      <c r="G42" s="46">
        <f>VLOOKUP(A42,'TH theo khach hang'!$A$4:$G$309,5,FALSE)</f>
        <v>0</v>
      </c>
      <c r="H42" s="45">
        <f t="shared" si="9"/>
        <v>0</v>
      </c>
      <c r="I42" s="47">
        <f t="shared" si="10"/>
        <v>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</row>
    <row r="43" spans="1:34" s="34" customFormat="1">
      <c r="A43" s="28" t="s">
        <v>109</v>
      </c>
      <c r="B43" s="26">
        <f>VLOOKUP(A43,'TH theo khach hang'!$A$4:$C$309,2,FALSE)</f>
        <v>0</v>
      </c>
      <c r="C43" s="27" t="str">
        <f>IF(VLOOKUP(A43,'TH theo khach hang'!$A$4:$C$309,3,FALSE)=0, "", "x")</f>
        <v/>
      </c>
      <c r="D43" s="43">
        <f t="shared" si="12"/>
        <v>0</v>
      </c>
      <c r="E43" s="44">
        <f t="shared" si="12"/>
        <v>0</v>
      </c>
      <c r="F43" s="45">
        <f>VLOOKUP(A43,'TH theo khach hang'!$A$4:$G$309,4,FALSE)</f>
        <v>0</v>
      </c>
      <c r="G43" s="46">
        <f>VLOOKUP(A43,'TH theo khach hang'!$A$4:$G$309,5,FALSE)</f>
        <v>0</v>
      </c>
      <c r="H43" s="45">
        <f t="shared" si="9"/>
        <v>0</v>
      </c>
      <c r="I43" s="47">
        <f t="shared" si="10"/>
        <v>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</row>
    <row r="44" spans="1:34" s="34" customFormat="1">
      <c r="A44" s="28" t="s">
        <v>110</v>
      </c>
      <c r="B44" s="26">
        <f>VLOOKUP(A44,'TH theo khach hang'!$A$4:$C$309,2,FALSE)</f>
        <v>0</v>
      </c>
      <c r="C44" s="27" t="str">
        <f>IF(VLOOKUP(A44,'TH theo khach hang'!$A$4:$C$309,3,FALSE)=0, "", "x")</f>
        <v/>
      </c>
      <c r="D44" s="43">
        <f t="shared" si="12"/>
        <v>0</v>
      </c>
      <c r="E44" s="44">
        <f t="shared" si="12"/>
        <v>0</v>
      </c>
      <c r="F44" s="45">
        <f>VLOOKUP(A44,'TH theo khach hang'!$A$4:$G$309,4,FALSE)</f>
        <v>0</v>
      </c>
      <c r="G44" s="46">
        <f>VLOOKUP(A44,'TH theo khach hang'!$A$4:$G$309,5,FALSE)</f>
        <v>0</v>
      </c>
      <c r="H44" s="45">
        <f t="shared" si="9"/>
        <v>0</v>
      </c>
      <c r="I44" s="47">
        <f t="shared" si="10"/>
        <v>0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34" s="34" customFormat="1">
      <c r="A45" s="28" t="s">
        <v>111</v>
      </c>
      <c r="B45" s="26">
        <f>VLOOKUP(A45,'TH theo khach hang'!$A$4:$C$309,2,FALSE)</f>
        <v>0</v>
      </c>
      <c r="C45" s="27" t="str">
        <f>IF(VLOOKUP(A45,'TH theo khach hang'!$A$4:$C$309,3,FALSE)=0, "", "x")</f>
        <v/>
      </c>
      <c r="D45" s="43">
        <f t="shared" si="12"/>
        <v>0</v>
      </c>
      <c r="E45" s="44">
        <f t="shared" si="12"/>
        <v>0</v>
      </c>
      <c r="F45" s="45">
        <f>VLOOKUP(A45,'TH theo khach hang'!$A$4:$G$309,4,FALSE)</f>
        <v>0</v>
      </c>
      <c r="G45" s="46">
        <f>VLOOKUP(A45,'TH theo khach hang'!$A$4:$G$309,5,FALSE)</f>
        <v>0</v>
      </c>
      <c r="H45" s="45">
        <f t="shared" si="9"/>
        <v>0</v>
      </c>
      <c r="I45" s="47">
        <f t="shared" si="10"/>
        <v>0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</row>
    <row r="46" spans="1:34" s="34" customFormat="1">
      <c r="A46" s="28" t="s">
        <v>112</v>
      </c>
      <c r="B46" s="26">
        <f>VLOOKUP(A46,'TH theo khach hang'!$A$4:$C$309,2,FALSE)</f>
        <v>0</v>
      </c>
      <c r="C46" s="27" t="str">
        <f>IF(VLOOKUP(A46,'TH theo khach hang'!$A$4:$C$309,3,FALSE)=0, "", "x")</f>
        <v/>
      </c>
      <c r="D46" s="43">
        <f t="shared" si="12"/>
        <v>0</v>
      </c>
      <c r="E46" s="44">
        <f t="shared" si="12"/>
        <v>0</v>
      </c>
      <c r="F46" s="45">
        <f>VLOOKUP(A46,'TH theo khach hang'!$A$4:$G$309,4,FALSE)</f>
        <v>0</v>
      </c>
      <c r="G46" s="46">
        <f>VLOOKUP(A46,'TH theo khach hang'!$A$4:$G$309,5,FALSE)</f>
        <v>0</v>
      </c>
      <c r="H46" s="45">
        <f t="shared" si="9"/>
        <v>0</v>
      </c>
      <c r="I46" s="47">
        <f t="shared" si="10"/>
        <v>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</row>
    <row r="47" spans="1:34" s="34" customFormat="1">
      <c r="A47" s="28" t="s">
        <v>196</v>
      </c>
      <c r="B47" s="26">
        <f>VLOOKUP(A47,'TH theo khach hang'!$A$4:$C$309,2,FALSE)</f>
        <v>0</v>
      </c>
      <c r="C47" s="27" t="str">
        <f>IF(VLOOKUP(A47,'TH theo khach hang'!$A$4:$C$309,3,FALSE)=0, "", "x")</f>
        <v/>
      </c>
      <c r="D47" s="43">
        <f t="shared" ref="D47:E50" si="13">F47-H47</f>
        <v>0</v>
      </c>
      <c r="E47" s="44">
        <f t="shared" si="13"/>
        <v>0</v>
      </c>
      <c r="F47" s="45">
        <f>VLOOKUP(A47,'TH theo khach hang'!$A$4:$G$309,4,FALSE)</f>
        <v>0</v>
      </c>
      <c r="G47" s="46">
        <f>VLOOKUP(A47,'TH theo khach hang'!$A$4:$G$309,5,FALSE)</f>
        <v>0</v>
      </c>
      <c r="H47" s="45">
        <f t="shared" si="9"/>
        <v>0</v>
      </c>
      <c r="I47" s="47">
        <f t="shared" si="10"/>
        <v>0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</row>
    <row r="48" spans="1:34" s="34" customFormat="1">
      <c r="A48" s="28" t="s">
        <v>197</v>
      </c>
      <c r="B48" s="26">
        <f>VLOOKUP(A48,'TH theo khach hang'!$A$4:$C$309,2,FALSE)</f>
        <v>0</v>
      </c>
      <c r="C48" s="27" t="str">
        <f>IF(VLOOKUP(A48,'TH theo khach hang'!$A$4:$C$309,3,FALSE)=0, "", "x")</f>
        <v/>
      </c>
      <c r="D48" s="43">
        <f t="shared" si="13"/>
        <v>0</v>
      </c>
      <c r="E48" s="44">
        <f t="shared" si="13"/>
        <v>0</v>
      </c>
      <c r="F48" s="45">
        <f>VLOOKUP(A48,'TH theo khach hang'!$A$4:$G$309,4,FALSE)</f>
        <v>0</v>
      </c>
      <c r="G48" s="46">
        <f>VLOOKUP(A48,'TH theo khach hang'!$A$4:$G$309,5,FALSE)</f>
        <v>0</v>
      </c>
      <c r="H48" s="45">
        <f t="shared" si="9"/>
        <v>0</v>
      </c>
      <c r="I48" s="47">
        <f t="shared" si="10"/>
        <v>0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</row>
    <row r="49" spans="1:34" s="34" customFormat="1">
      <c r="A49" s="28" t="s">
        <v>198</v>
      </c>
      <c r="B49" s="26">
        <f>VLOOKUP(A49,'TH theo khach hang'!$A$4:$C$309,2,FALSE)</f>
        <v>0</v>
      </c>
      <c r="C49" s="27" t="str">
        <f>IF(VLOOKUP(A49,'TH theo khach hang'!$A$4:$C$309,3,FALSE)=0, "", "x")</f>
        <v/>
      </c>
      <c r="D49" s="43">
        <f t="shared" si="13"/>
        <v>0</v>
      </c>
      <c r="E49" s="44">
        <f t="shared" si="13"/>
        <v>0</v>
      </c>
      <c r="F49" s="45">
        <f>VLOOKUP(A49,'TH theo khach hang'!$A$4:$G$309,4,FALSE)</f>
        <v>0</v>
      </c>
      <c r="G49" s="46">
        <f>VLOOKUP(A49,'TH theo khach hang'!$A$4:$G$309,5,FALSE)</f>
        <v>0</v>
      </c>
      <c r="H49" s="45">
        <f t="shared" si="9"/>
        <v>0</v>
      </c>
      <c r="I49" s="47">
        <f t="shared" si="10"/>
        <v>0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</row>
    <row r="50" spans="1:34" s="34" customFormat="1">
      <c r="A50" s="28" t="s">
        <v>199</v>
      </c>
      <c r="B50" s="26">
        <f>VLOOKUP(A50,'TH theo khach hang'!$A$4:$C$309,2,FALSE)</f>
        <v>0</v>
      </c>
      <c r="C50" s="27" t="str">
        <f>IF(VLOOKUP(A50,'TH theo khach hang'!$A$4:$C$309,3,FALSE)=0, "", "x")</f>
        <v/>
      </c>
      <c r="D50" s="43">
        <f t="shared" si="13"/>
        <v>0</v>
      </c>
      <c r="E50" s="44">
        <f t="shared" si="13"/>
        <v>0</v>
      </c>
      <c r="F50" s="45">
        <f>VLOOKUP(A50,'TH theo khach hang'!$A$4:$G$309,4,FALSE)</f>
        <v>0</v>
      </c>
      <c r="G50" s="46">
        <f>VLOOKUP(A50,'TH theo khach hang'!$A$4:$G$309,5,FALSE)</f>
        <v>0</v>
      </c>
      <c r="H50" s="45">
        <f t="shared" si="9"/>
        <v>0</v>
      </c>
      <c r="I50" s="47">
        <f t="shared" si="10"/>
        <v>0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</row>
    <row r="51" spans="1:34" s="34" customFormat="1">
      <c r="A51" s="28" t="s">
        <v>200</v>
      </c>
      <c r="B51" s="26">
        <f>VLOOKUP(A51,'TH theo khach hang'!$A$4:$C$309,2,FALSE)</f>
        <v>0</v>
      </c>
      <c r="C51" s="27" t="str">
        <f>IF(VLOOKUP(A51,'TH theo khach hang'!$A$4:$C$309,3,FALSE)=0, "", "x")</f>
        <v/>
      </c>
      <c r="D51" s="43">
        <f t="shared" ref="D51:D59" si="14">F51-H51</f>
        <v>0</v>
      </c>
      <c r="E51" s="44">
        <f t="shared" ref="E51:E59" si="15">G51-I51</f>
        <v>0</v>
      </c>
      <c r="F51" s="45">
        <f>VLOOKUP(A51,'TH theo khach hang'!$A$4:$G$309,4,FALSE)</f>
        <v>0</v>
      </c>
      <c r="G51" s="46">
        <f>VLOOKUP(A51,'TH theo khach hang'!$A$4:$G$309,5,FALSE)</f>
        <v>0</v>
      </c>
      <c r="H51" s="45">
        <f t="shared" si="9"/>
        <v>0</v>
      </c>
      <c r="I51" s="47">
        <f t="shared" si="10"/>
        <v>0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</row>
    <row r="52" spans="1:34" s="34" customFormat="1">
      <c r="A52" s="28" t="s">
        <v>201</v>
      </c>
      <c r="B52" s="26">
        <f>VLOOKUP(A52,'TH theo khach hang'!$A$4:$C$309,2,FALSE)</f>
        <v>0</v>
      </c>
      <c r="C52" s="27" t="str">
        <f>IF(VLOOKUP(A52,'TH theo khach hang'!$A$4:$C$309,3,FALSE)=0, "", "x")</f>
        <v/>
      </c>
      <c r="D52" s="43">
        <f t="shared" si="14"/>
        <v>0</v>
      </c>
      <c r="E52" s="44">
        <f t="shared" si="15"/>
        <v>0</v>
      </c>
      <c r="F52" s="45">
        <f>VLOOKUP(A52,'TH theo khach hang'!$A$4:$G$309,4,FALSE)</f>
        <v>0</v>
      </c>
      <c r="G52" s="46">
        <f>VLOOKUP(A52,'TH theo khach hang'!$A$4:$G$309,5,FALSE)</f>
        <v>0</v>
      </c>
      <c r="H52" s="45">
        <f t="shared" si="9"/>
        <v>0</v>
      </c>
      <c r="I52" s="47">
        <f t="shared" si="10"/>
        <v>0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</row>
    <row r="53" spans="1:34" s="34" customFormat="1">
      <c r="A53" s="28" t="s">
        <v>202</v>
      </c>
      <c r="B53" s="26">
        <f>VLOOKUP(A53,'TH theo khach hang'!$A$4:$C$309,2,FALSE)</f>
        <v>0</v>
      </c>
      <c r="C53" s="27" t="str">
        <f>IF(VLOOKUP(A53,'TH theo khach hang'!$A$4:$C$309,3,FALSE)=0, "", "x")</f>
        <v/>
      </c>
      <c r="D53" s="43">
        <f t="shared" si="14"/>
        <v>0</v>
      </c>
      <c r="E53" s="44">
        <f t="shared" si="15"/>
        <v>0</v>
      </c>
      <c r="F53" s="45">
        <f>VLOOKUP(A53,'TH theo khach hang'!$A$4:$G$309,4,FALSE)</f>
        <v>0</v>
      </c>
      <c r="G53" s="46">
        <f>VLOOKUP(A53,'TH theo khach hang'!$A$4:$G$309,5,FALSE)</f>
        <v>0</v>
      </c>
      <c r="H53" s="45">
        <f t="shared" si="9"/>
        <v>0</v>
      </c>
      <c r="I53" s="47">
        <f t="shared" si="10"/>
        <v>0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</row>
    <row r="54" spans="1:34" s="34" customFormat="1">
      <c r="A54" s="28" t="s">
        <v>203</v>
      </c>
      <c r="B54" s="26">
        <f>VLOOKUP(A54,'TH theo khach hang'!$A$4:$C$309,2,FALSE)</f>
        <v>0</v>
      </c>
      <c r="C54" s="27" t="str">
        <f>IF(VLOOKUP(A54,'TH theo khach hang'!$A$4:$C$309,3,FALSE)=0, "", "x")</f>
        <v/>
      </c>
      <c r="D54" s="43">
        <f t="shared" si="14"/>
        <v>0</v>
      </c>
      <c r="E54" s="44">
        <f t="shared" si="15"/>
        <v>0</v>
      </c>
      <c r="F54" s="45">
        <f>VLOOKUP(A54,'TH theo khach hang'!$A$4:$G$309,4,FALSE)</f>
        <v>0</v>
      </c>
      <c r="G54" s="46">
        <f>VLOOKUP(A54,'TH theo khach hang'!$A$4:$G$309,5,FALSE)</f>
        <v>0</v>
      </c>
      <c r="H54" s="45">
        <f t="shared" si="9"/>
        <v>0</v>
      </c>
      <c r="I54" s="47">
        <f t="shared" si="10"/>
        <v>0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33"/>
    </row>
    <row r="55" spans="1:34" s="34" customFormat="1">
      <c r="A55" s="28" t="s">
        <v>204</v>
      </c>
      <c r="B55" s="26">
        <f>VLOOKUP(A55,'TH theo khach hang'!$A$4:$C$309,2,FALSE)</f>
        <v>0</v>
      </c>
      <c r="C55" s="27" t="str">
        <f>IF(VLOOKUP(A55,'TH theo khach hang'!$A$4:$C$309,3,FALSE)=0, "", "x")</f>
        <v/>
      </c>
      <c r="D55" s="43">
        <f t="shared" si="14"/>
        <v>0</v>
      </c>
      <c r="E55" s="44">
        <f t="shared" si="15"/>
        <v>0</v>
      </c>
      <c r="F55" s="45">
        <f>VLOOKUP(A55,'TH theo khach hang'!$A$4:$G$309,4,FALSE)</f>
        <v>0</v>
      </c>
      <c r="G55" s="46">
        <f>VLOOKUP(A55,'TH theo khach hang'!$A$4:$G$309,5,FALSE)</f>
        <v>0</v>
      </c>
      <c r="H55" s="45">
        <f t="shared" si="9"/>
        <v>0</v>
      </c>
      <c r="I55" s="47">
        <f t="shared" si="10"/>
        <v>0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33"/>
    </row>
    <row r="56" spans="1:34" s="34" customFormat="1">
      <c r="A56" s="28" t="s">
        <v>205</v>
      </c>
      <c r="B56" s="26">
        <f>VLOOKUP(A56,'TH theo khach hang'!$A$4:$C$309,2,FALSE)</f>
        <v>0</v>
      </c>
      <c r="C56" s="27" t="str">
        <f>IF(VLOOKUP(A56,'TH theo khach hang'!$A$4:$C$309,3,FALSE)=0, "", "x")</f>
        <v/>
      </c>
      <c r="D56" s="43">
        <f t="shared" si="14"/>
        <v>0</v>
      </c>
      <c r="E56" s="44">
        <f t="shared" si="15"/>
        <v>0</v>
      </c>
      <c r="F56" s="45">
        <f>VLOOKUP(A56,'TH theo khach hang'!$A$4:$G$309,4,FALSE)</f>
        <v>0</v>
      </c>
      <c r="G56" s="46">
        <f>VLOOKUP(A56,'TH theo khach hang'!$A$4:$G$309,5,FALSE)</f>
        <v>0</v>
      </c>
      <c r="H56" s="45">
        <f t="shared" si="9"/>
        <v>0</v>
      </c>
      <c r="I56" s="47">
        <f t="shared" si="10"/>
        <v>0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33"/>
    </row>
    <row r="57" spans="1:34" s="34" customFormat="1">
      <c r="A57" s="28" t="s">
        <v>206</v>
      </c>
      <c r="B57" s="26">
        <f>VLOOKUP(A57,'TH theo khach hang'!$A$4:$C$309,2,FALSE)</f>
        <v>0</v>
      </c>
      <c r="C57" s="27" t="str">
        <f>IF(VLOOKUP(A57,'TH theo khach hang'!$A$4:$C$309,3,FALSE)=0, "", "x")</f>
        <v/>
      </c>
      <c r="D57" s="43">
        <f t="shared" si="14"/>
        <v>0</v>
      </c>
      <c r="E57" s="44">
        <f t="shared" si="15"/>
        <v>0</v>
      </c>
      <c r="F57" s="45">
        <f>VLOOKUP(A57,'TH theo khach hang'!$A$4:$G$309,4,FALSE)</f>
        <v>0</v>
      </c>
      <c r="G57" s="46">
        <f>VLOOKUP(A57,'TH theo khach hang'!$A$4:$G$309,5,FALSE)</f>
        <v>0</v>
      </c>
      <c r="H57" s="45">
        <f t="shared" si="9"/>
        <v>0</v>
      </c>
      <c r="I57" s="47">
        <f t="shared" si="10"/>
        <v>0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33"/>
    </row>
    <row r="58" spans="1:34" s="34" customFormat="1">
      <c r="A58" s="28" t="s">
        <v>207</v>
      </c>
      <c r="B58" s="26">
        <f>VLOOKUP(A58,'TH theo khach hang'!$A$4:$C$309,2,FALSE)</f>
        <v>0</v>
      </c>
      <c r="C58" s="27" t="str">
        <f>IF(VLOOKUP(A58,'TH theo khach hang'!$A$4:$C$309,3,FALSE)=0, "", "x")</f>
        <v/>
      </c>
      <c r="D58" s="43">
        <f t="shared" si="14"/>
        <v>0</v>
      </c>
      <c r="E58" s="44">
        <f t="shared" si="15"/>
        <v>0</v>
      </c>
      <c r="F58" s="45">
        <f>VLOOKUP(A58,'TH theo khach hang'!$A$4:$G$309,4,FALSE)</f>
        <v>0</v>
      </c>
      <c r="G58" s="46">
        <f>VLOOKUP(A58,'TH theo khach hang'!$A$4:$G$309,5,FALSE)</f>
        <v>0</v>
      </c>
      <c r="H58" s="45">
        <f t="shared" si="9"/>
        <v>0</v>
      </c>
      <c r="I58" s="47">
        <f t="shared" si="10"/>
        <v>0</v>
      </c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33"/>
    </row>
    <row r="59" spans="1:34" s="34" customFormat="1">
      <c r="A59" s="28" t="s">
        <v>208</v>
      </c>
      <c r="B59" s="26">
        <f>VLOOKUP(A59,'TH theo khach hang'!$A$4:$C$309,2,FALSE)</f>
        <v>0</v>
      </c>
      <c r="C59" s="27" t="str">
        <f>IF(VLOOKUP(A59,'TH theo khach hang'!$A$4:$C$309,3,FALSE)=0, "", "x")</f>
        <v/>
      </c>
      <c r="D59" s="43">
        <f t="shared" si="14"/>
        <v>0</v>
      </c>
      <c r="E59" s="44">
        <f t="shared" si="15"/>
        <v>0</v>
      </c>
      <c r="F59" s="45">
        <f>VLOOKUP(A59,'TH theo khach hang'!$A$4:$G$309,4,FALSE)</f>
        <v>0</v>
      </c>
      <c r="G59" s="46">
        <f>VLOOKUP(A59,'TH theo khach hang'!$A$4:$G$309,5,FALSE)</f>
        <v>0</v>
      </c>
      <c r="H59" s="45">
        <f t="shared" si="9"/>
        <v>0</v>
      </c>
      <c r="I59" s="47">
        <f t="shared" si="10"/>
        <v>0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33"/>
    </row>
    <row r="60" spans="1:34" s="34" customFormat="1">
      <c r="A60" s="28" t="s">
        <v>209</v>
      </c>
      <c r="B60" s="26">
        <f>VLOOKUP(A60,'TH theo khach hang'!$A$4:$C$309,2,FALSE)</f>
        <v>0</v>
      </c>
      <c r="C60" s="27" t="str">
        <f>IF(VLOOKUP(A60,'TH theo khach hang'!$A$4:$C$309,3,FALSE)=0, "", "x")</f>
        <v/>
      </c>
      <c r="D60" s="43">
        <f t="shared" ref="D60:D106" si="16">F60-H60</f>
        <v>0</v>
      </c>
      <c r="E60" s="44">
        <f t="shared" ref="E60:E106" si="17">G60-I60</f>
        <v>0</v>
      </c>
      <c r="F60" s="45">
        <f>VLOOKUP(A60,'TH theo khach hang'!$A$4:$G$309,4,FALSE)</f>
        <v>0</v>
      </c>
      <c r="G60" s="46">
        <f>VLOOKUP(A60,'TH theo khach hang'!$A$4:$G$309,5,FALSE)</f>
        <v>0</v>
      </c>
      <c r="H60" s="45">
        <f t="shared" si="9"/>
        <v>0</v>
      </c>
      <c r="I60" s="47">
        <f t="shared" si="10"/>
        <v>0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33"/>
    </row>
    <row r="61" spans="1:34">
      <c r="A61" s="28" t="s">
        <v>210</v>
      </c>
      <c r="B61" s="26">
        <f>VLOOKUP(A61,'TH theo khach hang'!$A$4:$C$309,2,FALSE)</f>
        <v>0</v>
      </c>
      <c r="C61" s="27" t="str">
        <f>IF(VLOOKUP(A61,'TH theo khach hang'!$A$4:$C$309,3,FALSE)=0, "", "x")</f>
        <v/>
      </c>
      <c r="D61" s="43">
        <f t="shared" si="16"/>
        <v>0</v>
      </c>
      <c r="E61" s="44">
        <f t="shared" si="17"/>
        <v>0</v>
      </c>
      <c r="F61" s="45">
        <f>VLOOKUP(A61,'TH theo khach hang'!$A$4:$G$309,4,FALSE)</f>
        <v>0</v>
      </c>
      <c r="G61" s="46">
        <f>VLOOKUP(A61,'TH theo khach hang'!$A$4:$G$309,5,FALSE)</f>
        <v>0</v>
      </c>
      <c r="H61" s="45">
        <f t="shared" si="9"/>
        <v>0</v>
      </c>
      <c r="I61" s="47">
        <f t="shared" si="10"/>
        <v>0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</row>
    <row r="62" spans="1:34">
      <c r="A62" s="28" t="s">
        <v>211</v>
      </c>
      <c r="B62" s="26">
        <f>VLOOKUP(A62,'TH theo khach hang'!$A$4:$C$309,2,FALSE)</f>
        <v>0</v>
      </c>
      <c r="C62" s="27" t="str">
        <f>IF(VLOOKUP(A62,'TH theo khach hang'!$A$4:$C$309,3,FALSE)=0, "", "x")</f>
        <v/>
      </c>
      <c r="D62" s="43">
        <f t="shared" si="16"/>
        <v>0</v>
      </c>
      <c r="E62" s="44">
        <f t="shared" si="17"/>
        <v>0</v>
      </c>
      <c r="F62" s="45">
        <f>VLOOKUP(A62,'TH theo khach hang'!$A$4:$G$309,4,FALSE)</f>
        <v>0</v>
      </c>
      <c r="G62" s="46">
        <f>VLOOKUP(A62,'TH theo khach hang'!$A$4:$G$309,5,FALSE)</f>
        <v>0</v>
      </c>
      <c r="H62" s="45">
        <f t="shared" si="9"/>
        <v>0</v>
      </c>
      <c r="I62" s="47">
        <f t="shared" si="10"/>
        <v>0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</row>
    <row r="63" spans="1:34">
      <c r="A63" s="28" t="s">
        <v>212</v>
      </c>
      <c r="B63" s="26">
        <f>VLOOKUP(A63,'TH theo khach hang'!$A$4:$C$309,2,FALSE)</f>
        <v>0</v>
      </c>
      <c r="C63" s="27" t="str">
        <f>IF(VLOOKUP(A63,'TH theo khach hang'!$A$4:$C$309,3,FALSE)=0, "", "x")</f>
        <v/>
      </c>
      <c r="D63" s="43">
        <f t="shared" si="16"/>
        <v>0</v>
      </c>
      <c r="E63" s="44">
        <f t="shared" si="17"/>
        <v>0</v>
      </c>
      <c r="F63" s="45">
        <f>VLOOKUP(A63,'TH theo khach hang'!$A$4:$G$309,4,FALSE)</f>
        <v>0</v>
      </c>
      <c r="G63" s="46">
        <f>VLOOKUP(A63,'TH theo khach hang'!$A$4:$G$309,5,FALSE)</f>
        <v>0</v>
      </c>
      <c r="H63" s="45">
        <f t="shared" si="9"/>
        <v>0</v>
      </c>
      <c r="I63" s="47">
        <f t="shared" si="10"/>
        <v>0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</row>
    <row r="64" spans="1:34">
      <c r="A64" s="28" t="s">
        <v>213</v>
      </c>
      <c r="B64" s="26">
        <f>VLOOKUP(A64,'TH theo khach hang'!$A$4:$C$309,2,FALSE)</f>
        <v>0</v>
      </c>
      <c r="C64" s="27" t="str">
        <f>IF(VLOOKUP(A64,'TH theo khach hang'!$A$4:$C$309,3,FALSE)=0, "", "x")</f>
        <v/>
      </c>
      <c r="D64" s="43">
        <f t="shared" si="16"/>
        <v>0</v>
      </c>
      <c r="E64" s="44">
        <f t="shared" si="17"/>
        <v>0</v>
      </c>
      <c r="F64" s="45">
        <f>VLOOKUP(A64,'TH theo khach hang'!$A$4:$G$309,4,FALSE)</f>
        <v>0</v>
      </c>
      <c r="G64" s="46">
        <f>VLOOKUP(A64,'TH theo khach hang'!$A$4:$G$309,5,FALSE)</f>
        <v>0</v>
      </c>
      <c r="H64" s="45">
        <f t="shared" si="9"/>
        <v>0</v>
      </c>
      <c r="I64" s="47">
        <f t="shared" si="10"/>
        <v>0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</row>
    <row r="65" spans="1:34">
      <c r="A65" s="28" t="s">
        <v>214</v>
      </c>
      <c r="B65" s="26">
        <f>VLOOKUP(A65,'TH theo khach hang'!$A$4:$C$309,2,FALSE)</f>
        <v>0</v>
      </c>
      <c r="C65" s="27" t="str">
        <f>IF(VLOOKUP(A65,'TH theo khach hang'!$A$4:$C$309,3,FALSE)=0, "", "x")</f>
        <v/>
      </c>
      <c r="D65" s="43">
        <f t="shared" si="16"/>
        <v>0</v>
      </c>
      <c r="E65" s="44">
        <f t="shared" si="17"/>
        <v>0</v>
      </c>
      <c r="F65" s="45">
        <f>VLOOKUP(A65,'TH theo khach hang'!$A$4:$G$309,4,FALSE)</f>
        <v>0</v>
      </c>
      <c r="G65" s="46">
        <f>VLOOKUP(A65,'TH theo khach hang'!$A$4:$G$309,5,FALSE)</f>
        <v>0</v>
      </c>
      <c r="H65" s="45">
        <f t="shared" si="9"/>
        <v>0</v>
      </c>
      <c r="I65" s="47">
        <f t="shared" si="10"/>
        <v>0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</row>
    <row r="66" spans="1:34">
      <c r="A66" s="28" t="s">
        <v>215</v>
      </c>
      <c r="B66" s="26">
        <f>VLOOKUP(A66,'TH theo khach hang'!$A$4:$C$309,2,FALSE)</f>
        <v>0</v>
      </c>
      <c r="C66" s="27" t="str">
        <f>IF(VLOOKUP(A66,'TH theo khach hang'!$A$4:$C$309,3,FALSE)=0, "", "x")</f>
        <v/>
      </c>
      <c r="D66" s="43">
        <f t="shared" si="16"/>
        <v>0</v>
      </c>
      <c r="E66" s="44">
        <f t="shared" si="17"/>
        <v>0</v>
      </c>
      <c r="F66" s="45">
        <f>VLOOKUP(A66,'TH theo khach hang'!$A$4:$G$309,4,FALSE)</f>
        <v>0</v>
      </c>
      <c r="G66" s="46">
        <f>VLOOKUP(A66,'TH theo khach hang'!$A$4:$G$309,5,FALSE)</f>
        <v>0</v>
      </c>
      <c r="H66" s="45">
        <f t="shared" si="9"/>
        <v>0</v>
      </c>
      <c r="I66" s="47">
        <f t="shared" si="10"/>
        <v>0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</row>
    <row r="67" spans="1:34">
      <c r="A67" s="28" t="s">
        <v>216</v>
      </c>
      <c r="B67" s="26">
        <f>VLOOKUP(A67,'TH theo khach hang'!$A$4:$C$309,2,FALSE)</f>
        <v>0</v>
      </c>
      <c r="C67" s="27" t="str">
        <f>IF(VLOOKUP(A67,'TH theo khach hang'!$A$4:$C$309,3,FALSE)=0, "", "x")</f>
        <v/>
      </c>
      <c r="D67" s="43">
        <f t="shared" si="16"/>
        <v>0</v>
      </c>
      <c r="E67" s="44">
        <f t="shared" si="17"/>
        <v>0</v>
      </c>
      <c r="F67" s="45">
        <f>VLOOKUP(A67,'TH theo khach hang'!$A$4:$G$309,4,FALSE)</f>
        <v>0</v>
      </c>
      <c r="G67" s="46">
        <f>VLOOKUP(A67,'TH theo khach hang'!$A$4:$G$309,5,FALSE)</f>
        <v>0</v>
      </c>
      <c r="H67" s="45">
        <f t="shared" si="9"/>
        <v>0</v>
      </c>
      <c r="I67" s="47">
        <f t="shared" si="10"/>
        <v>0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</row>
    <row r="68" spans="1:34">
      <c r="A68" s="28" t="s">
        <v>217</v>
      </c>
      <c r="B68" s="26">
        <f>VLOOKUP(A68,'TH theo khach hang'!$A$4:$C$309,2,FALSE)</f>
        <v>0</v>
      </c>
      <c r="C68" s="27" t="str">
        <f>IF(VLOOKUP(A68,'TH theo khach hang'!$A$4:$C$309,3,FALSE)=0, "", "x")</f>
        <v/>
      </c>
      <c r="D68" s="43">
        <f t="shared" si="16"/>
        <v>0</v>
      </c>
      <c r="E68" s="44">
        <f t="shared" si="17"/>
        <v>0</v>
      </c>
      <c r="F68" s="45">
        <f>VLOOKUP(A68,'TH theo khach hang'!$A$4:$G$309,4,FALSE)</f>
        <v>0</v>
      </c>
      <c r="G68" s="46">
        <f>VLOOKUP(A68,'TH theo khach hang'!$A$4:$G$309,5,FALSE)</f>
        <v>0</v>
      </c>
      <c r="H68" s="45">
        <f t="shared" si="9"/>
        <v>0</v>
      </c>
      <c r="I68" s="47">
        <f t="shared" si="10"/>
        <v>0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</row>
    <row r="69" spans="1:34">
      <c r="A69" s="28" t="s">
        <v>218</v>
      </c>
      <c r="B69" s="26">
        <f>VLOOKUP(A69,'TH theo khach hang'!$A$4:$C$309,2,FALSE)</f>
        <v>0</v>
      </c>
      <c r="C69" s="27" t="str">
        <f>IF(VLOOKUP(A69,'TH theo khach hang'!$A$4:$C$309,3,FALSE)=0, "", "x")</f>
        <v/>
      </c>
      <c r="D69" s="43">
        <f t="shared" si="16"/>
        <v>0</v>
      </c>
      <c r="E69" s="44">
        <f t="shared" si="17"/>
        <v>0</v>
      </c>
      <c r="F69" s="45">
        <f>VLOOKUP(A69,'TH theo khach hang'!$A$4:$G$309,4,FALSE)</f>
        <v>0</v>
      </c>
      <c r="G69" s="46">
        <f>VLOOKUP(A69,'TH theo khach hang'!$A$4:$G$309,5,FALSE)</f>
        <v>0</v>
      </c>
      <c r="H69" s="45">
        <f t="shared" si="9"/>
        <v>0</v>
      </c>
      <c r="I69" s="47">
        <f t="shared" si="10"/>
        <v>0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</row>
    <row r="70" spans="1:34" s="34" customFormat="1">
      <c r="A70" s="28" t="s">
        <v>219</v>
      </c>
      <c r="B70" s="26">
        <f>VLOOKUP(A70,'TH theo khach hang'!$A$4:$C$309,2,FALSE)</f>
        <v>0</v>
      </c>
      <c r="C70" s="27" t="str">
        <f>IF(VLOOKUP(A70,'TH theo khach hang'!$A$4:$C$309,3,FALSE)=0, "", "x")</f>
        <v/>
      </c>
      <c r="D70" s="43">
        <f t="shared" si="16"/>
        <v>0</v>
      </c>
      <c r="E70" s="44">
        <f t="shared" si="17"/>
        <v>0</v>
      </c>
      <c r="F70" s="45">
        <f>VLOOKUP(A70,'TH theo khach hang'!$A$4:$G$309,4,FALSE)</f>
        <v>0</v>
      </c>
      <c r="G70" s="46">
        <f>VLOOKUP(A70,'TH theo khach hang'!$A$4:$G$309,5,FALSE)</f>
        <v>0</v>
      </c>
      <c r="H70" s="45">
        <f t="shared" si="9"/>
        <v>0</v>
      </c>
      <c r="I70" s="47">
        <f t="shared" si="10"/>
        <v>0</v>
      </c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33"/>
    </row>
    <row r="71" spans="1:34" s="34" customFormat="1">
      <c r="A71" s="28" t="s">
        <v>220</v>
      </c>
      <c r="B71" s="26">
        <f>VLOOKUP(A71,'TH theo khach hang'!$A$4:$C$309,2,FALSE)</f>
        <v>0</v>
      </c>
      <c r="C71" s="27" t="str">
        <f>IF(VLOOKUP(A71,'TH theo khach hang'!$A$4:$C$309,3,FALSE)=0, "", "x")</f>
        <v/>
      </c>
      <c r="D71" s="43">
        <f t="shared" si="16"/>
        <v>0</v>
      </c>
      <c r="E71" s="44">
        <f t="shared" si="17"/>
        <v>0</v>
      </c>
      <c r="F71" s="45">
        <f>VLOOKUP(A71,'TH theo khach hang'!$A$4:$G$309,4,FALSE)</f>
        <v>0</v>
      </c>
      <c r="G71" s="46">
        <f>VLOOKUP(A71,'TH theo khach hang'!$A$4:$G$309,5,FALSE)</f>
        <v>0</v>
      </c>
      <c r="H71" s="45">
        <f t="shared" si="9"/>
        <v>0</v>
      </c>
      <c r="I71" s="47">
        <f t="shared" si="10"/>
        <v>0</v>
      </c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</row>
    <row r="72" spans="1:34" s="34" customFormat="1">
      <c r="A72" s="28" t="s">
        <v>221</v>
      </c>
      <c r="B72" s="26">
        <f>VLOOKUP(A72,'TH theo khach hang'!$A$4:$C$309,2,FALSE)</f>
        <v>0</v>
      </c>
      <c r="C72" s="27" t="str">
        <f>IF(VLOOKUP(A72,'TH theo khach hang'!$A$4:$C$309,3,FALSE)=0, "", "x")</f>
        <v/>
      </c>
      <c r="D72" s="43">
        <f t="shared" si="16"/>
        <v>0</v>
      </c>
      <c r="E72" s="44">
        <f t="shared" si="17"/>
        <v>0</v>
      </c>
      <c r="F72" s="45">
        <f>VLOOKUP(A72,'TH theo khach hang'!$A$4:$G$309,4,FALSE)</f>
        <v>0</v>
      </c>
      <c r="G72" s="46">
        <f>VLOOKUP(A72,'TH theo khach hang'!$A$4:$G$309,5,FALSE)</f>
        <v>0</v>
      </c>
      <c r="H72" s="45">
        <f t="shared" ref="H72:H106" si="18">J72+L72+N72+P72+R72+T72+V72+X72+Z72+AB72+AD72+AF72</f>
        <v>0</v>
      </c>
      <c r="I72" s="47">
        <f t="shared" ref="I72:I106" si="19">K72+M72+O72+Q72+S72+U72+W72+Y72+AA72+AC72+AE72+AG72</f>
        <v>0</v>
      </c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</row>
    <row r="73" spans="1:34" s="34" customFormat="1">
      <c r="A73" s="28" t="s">
        <v>222</v>
      </c>
      <c r="B73" s="26">
        <f>VLOOKUP(A73,'TH theo khach hang'!$A$4:$C$309,2,FALSE)</f>
        <v>0</v>
      </c>
      <c r="C73" s="27" t="str">
        <f>IF(VLOOKUP(A73,'TH theo khach hang'!$A$4:$C$309,3,FALSE)=0, "", "x")</f>
        <v/>
      </c>
      <c r="D73" s="43">
        <f t="shared" si="16"/>
        <v>0</v>
      </c>
      <c r="E73" s="44">
        <f t="shared" si="17"/>
        <v>0</v>
      </c>
      <c r="F73" s="45">
        <f>VLOOKUP(A73,'TH theo khach hang'!$A$4:$G$309,4,FALSE)</f>
        <v>0</v>
      </c>
      <c r="G73" s="46">
        <f>VLOOKUP(A73,'TH theo khach hang'!$A$4:$G$309,5,FALSE)</f>
        <v>0</v>
      </c>
      <c r="H73" s="45">
        <f t="shared" si="18"/>
        <v>0</v>
      </c>
      <c r="I73" s="47">
        <f t="shared" si="19"/>
        <v>0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33"/>
    </row>
    <row r="74" spans="1:34" s="34" customFormat="1">
      <c r="A74" s="28" t="s">
        <v>223</v>
      </c>
      <c r="B74" s="26">
        <f>VLOOKUP(A74,'TH theo khach hang'!$A$4:$C$309,2,FALSE)</f>
        <v>0</v>
      </c>
      <c r="C74" s="27" t="str">
        <f>IF(VLOOKUP(A74,'TH theo khach hang'!$A$4:$C$309,3,FALSE)=0, "", "x")</f>
        <v/>
      </c>
      <c r="D74" s="43">
        <f t="shared" si="16"/>
        <v>0</v>
      </c>
      <c r="E74" s="44">
        <f t="shared" si="17"/>
        <v>0</v>
      </c>
      <c r="F74" s="45">
        <f>VLOOKUP(A74,'TH theo khach hang'!$A$4:$G$309,4,FALSE)</f>
        <v>0</v>
      </c>
      <c r="G74" s="46">
        <f>VLOOKUP(A74,'TH theo khach hang'!$A$4:$G$309,5,FALSE)</f>
        <v>0</v>
      </c>
      <c r="H74" s="45">
        <f t="shared" si="18"/>
        <v>0</v>
      </c>
      <c r="I74" s="47">
        <f t="shared" si="19"/>
        <v>0</v>
      </c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</row>
    <row r="75" spans="1:34" s="34" customFormat="1">
      <c r="A75" s="28" t="s">
        <v>224</v>
      </c>
      <c r="B75" s="26">
        <f>VLOOKUP(A75,'TH theo khach hang'!$A$4:$C$309,2,FALSE)</f>
        <v>0</v>
      </c>
      <c r="C75" s="27" t="str">
        <f>IF(VLOOKUP(A75,'TH theo khach hang'!$A$4:$C$309,3,FALSE)=0, "", "x")</f>
        <v/>
      </c>
      <c r="D75" s="43">
        <f t="shared" si="16"/>
        <v>0</v>
      </c>
      <c r="E75" s="44">
        <f t="shared" si="17"/>
        <v>0</v>
      </c>
      <c r="F75" s="45">
        <f>VLOOKUP(A75,'TH theo khach hang'!$A$4:$G$309,4,FALSE)</f>
        <v>0</v>
      </c>
      <c r="G75" s="46">
        <f>VLOOKUP(A75,'TH theo khach hang'!$A$4:$G$309,5,FALSE)</f>
        <v>0</v>
      </c>
      <c r="H75" s="45">
        <f t="shared" si="18"/>
        <v>0</v>
      </c>
      <c r="I75" s="47">
        <f t="shared" si="19"/>
        <v>0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</row>
    <row r="76" spans="1:34" s="34" customFormat="1">
      <c r="A76" s="28" t="s">
        <v>225</v>
      </c>
      <c r="B76" s="26">
        <f>VLOOKUP(A76,'TH theo khach hang'!$A$4:$C$309,2,FALSE)</f>
        <v>0</v>
      </c>
      <c r="C76" s="27" t="str">
        <f>IF(VLOOKUP(A76,'TH theo khach hang'!$A$4:$C$309,3,FALSE)=0, "", "x")</f>
        <v/>
      </c>
      <c r="D76" s="43">
        <f t="shared" si="16"/>
        <v>0</v>
      </c>
      <c r="E76" s="44">
        <f t="shared" si="17"/>
        <v>0</v>
      </c>
      <c r="F76" s="45">
        <f>VLOOKUP(A76,'TH theo khach hang'!$A$4:$G$309,4,FALSE)</f>
        <v>0</v>
      </c>
      <c r="G76" s="46">
        <f>VLOOKUP(A76,'TH theo khach hang'!$A$4:$G$309,5,FALSE)</f>
        <v>0</v>
      </c>
      <c r="H76" s="45">
        <f t="shared" si="18"/>
        <v>0</v>
      </c>
      <c r="I76" s="47">
        <f t="shared" si="19"/>
        <v>0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33"/>
    </row>
    <row r="77" spans="1:34">
      <c r="A77" s="28" t="s">
        <v>226</v>
      </c>
      <c r="B77" s="26">
        <f>VLOOKUP(A77,'TH theo khach hang'!$A$4:$C$309,2,FALSE)</f>
        <v>0</v>
      </c>
      <c r="C77" s="27" t="str">
        <f>IF(VLOOKUP(A77,'TH theo khach hang'!$A$4:$C$309,3,FALSE)=0, "", "x")</f>
        <v/>
      </c>
      <c r="D77" s="43">
        <f t="shared" si="16"/>
        <v>0</v>
      </c>
      <c r="E77" s="44">
        <f t="shared" si="17"/>
        <v>0</v>
      </c>
      <c r="F77" s="45">
        <f>VLOOKUP(A77,'TH theo khach hang'!$A$4:$G$309,4,FALSE)</f>
        <v>0</v>
      </c>
      <c r="G77" s="46">
        <f>VLOOKUP(A77,'TH theo khach hang'!$A$4:$G$309,5,FALSE)</f>
        <v>0</v>
      </c>
      <c r="H77" s="45">
        <f t="shared" si="18"/>
        <v>0</v>
      </c>
      <c r="I77" s="47">
        <f t="shared" si="19"/>
        <v>0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</row>
    <row r="78" spans="1:34">
      <c r="A78" s="28" t="s">
        <v>227</v>
      </c>
      <c r="B78" s="26">
        <f>VLOOKUP(A78,'TH theo khach hang'!$A$4:$C$309,2,FALSE)</f>
        <v>0</v>
      </c>
      <c r="C78" s="27" t="str">
        <f>IF(VLOOKUP(A78,'TH theo khach hang'!$A$4:$C$309,3,FALSE)=0, "", "x")</f>
        <v/>
      </c>
      <c r="D78" s="43">
        <f t="shared" si="16"/>
        <v>0</v>
      </c>
      <c r="E78" s="44">
        <f t="shared" si="17"/>
        <v>0</v>
      </c>
      <c r="F78" s="45">
        <f>VLOOKUP(A78,'TH theo khach hang'!$A$4:$G$309,4,FALSE)</f>
        <v>0</v>
      </c>
      <c r="G78" s="46">
        <f>VLOOKUP(A78,'TH theo khach hang'!$A$4:$G$309,5,FALSE)</f>
        <v>0</v>
      </c>
      <c r="H78" s="45">
        <f t="shared" si="18"/>
        <v>0</v>
      </c>
      <c r="I78" s="47">
        <f t="shared" si="19"/>
        <v>0</v>
      </c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</row>
    <row r="79" spans="1:34">
      <c r="A79" s="28" t="s">
        <v>228</v>
      </c>
      <c r="B79" s="26">
        <f>VLOOKUP(A79,'TH theo khach hang'!$A$4:$C$309,2,FALSE)</f>
        <v>0</v>
      </c>
      <c r="C79" s="27" t="str">
        <f>IF(VLOOKUP(A79,'TH theo khach hang'!$A$4:$C$309,3,FALSE)=0, "", "x")</f>
        <v/>
      </c>
      <c r="D79" s="43">
        <f t="shared" si="16"/>
        <v>0</v>
      </c>
      <c r="E79" s="44">
        <f t="shared" si="17"/>
        <v>0</v>
      </c>
      <c r="F79" s="45">
        <f>VLOOKUP(A79,'TH theo khach hang'!$A$4:$G$309,4,FALSE)</f>
        <v>0</v>
      </c>
      <c r="G79" s="46">
        <f>VLOOKUP(A79,'TH theo khach hang'!$A$4:$G$309,5,FALSE)</f>
        <v>0</v>
      </c>
      <c r="H79" s="45">
        <f t="shared" si="18"/>
        <v>0</v>
      </c>
      <c r="I79" s="47">
        <f t="shared" si="19"/>
        <v>0</v>
      </c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</row>
    <row r="80" spans="1:34">
      <c r="A80" s="28" t="s">
        <v>229</v>
      </c>
      <c r="B80" s="26">
        <f>VLOOKUP(A80,'TH theo khach hang'!$A$4:$C$309,2,FALSE)</f>
        <v>0</v>
      </c>
      <c r="C80" s="27" t="str">
        <f>IF(VLOOKUP(A80,'TH theo khach hang'!$A$4:$C$309,3,FALSE)=0, "", "x")</f>
        <v/>
      </c>
      <c r="D80" s="43">
        <f t="shared" si="16"/>
        <v>0</v>
      </c>
      <c r="E80" s="44">
        <f t="shared" si="17"/>
        <v>0</v>
      </c>
      <c r="F80" s="45">
        <f>VLOOKUP(A80,'TH theo khach hang'!$A$4:$G$309,4,FALSE)</f>
        <v>0</v>
      </c>
      <c r="G80" s="46">
        <f>VLOOKUP(A80,'TH theo khach hang'!$A$4:$G$309,5,FALSE)</f>
        <v>0</v>
      </c>
      <c r="H80" s="45">
        <f t="shared" si="18"/>
        <v>0</v>
      </c>
      <c r="I80" s="47">
        <f t="shared" si="19"/>
        <v>0</v>
      </c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</row>
    <row r="81" spans="1:34">
      <c r="A81" s="28" t="s">
        <v>230</v>
      </c>
      <c r="B81" s="26">
        <f>VLOOKUP(A81,'TH theo khach hang'!$A$4:$C$309,2,FALSE)</f>
        <v>0</v>
      </c>
      <c r="C81" s="27" t="str">
        <f>IF(VLOOKUP(A81,'TH theo khach hang'!$A$4:$C$309,3,FALSE)=0, "", "x")</f>
        <v/>
      </c>
      <c r="D81" s="43">
        <f t="shared" si="16"/>
        <v>0</v>
      </c>
      <c r="E81" s="44">
        <f t="shared" si="17"/>
        <v>0</v>
      </c>
      <c r="F81" s="45">
        <f>VLOOKUP(A81,'TH theo khach hang'!$A$4:$G$309,4,FALSE)</f>
        <v>0</v>
      </c>
      <c r="G81" s="46">
        <f>VLOOKUP(A81,'TH theo khach hang'!$A$4:$G$309,5,FALSE)</f>
        <v>0</v>
      </c>
      <c r="H81" s="45">
        <f t="shared" si="18"/>
        <v>0</v>
      </c>
      <c r="I81" s="47">
        <f t="shared" si="19"/>
        <v>0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</row>
    <row r="82" spans="1:34" s="34" customFormat="1" ht="16.5" customHeight="1">
      <c r="A82" s="28" t="s">
        <v>231</v>
      </c>
      <c r="B82" s="26">
        <f>VLOOKUP(A82,'TH theo khach hang'!$A$4:$C$309,2,FALSE)</f>
        <v>0</v>
      </c>
      <c r="C82" s="27" t="str">
        <f>IF(VLOOKUP(A82,'TH theo khach hang'!$A$4:$C$309,3,FALSE)=0, "", "x")</f>
        <v/>
      </c>
      <c r="D82" s="43">
        <f t="shared" si="16"/>
        <v>0</v>
      </c>
      <c r="E82" s="44">
        <f t="shared" si="17"/>
        <v>0</v>
      </c>
      <c r="F82" s="45">
        <f>VLOOKUP(A82,'TH theo khach hang'!$A$4:$G$309,4,FALSE)</f>
        <v>0</v>
      </c>
      <c r="G82" s="46">
        <f>VLOOKUP(A82,'TH theo khach hang'!$A$4:$G$309,5,FALSE)</f>
        <v>0</v>
      </c>
      <c r="H82" s="45">
        <f t="shared" si="18"/>
        <v>0</v>
      </c>
      <c r="I82" s="47">
        <f t="shared" si="19"/>
        <v>0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33"/>
    </row>
    <row r="83" spans="1:34" s="34" customFormat="1">
      <c r="A83" s="28" t="s">
        <v>232</v>
      </c>
      <c r="B83" s="26">
        <f>VLOOKUP(A83,'TH theo khach hang'!$A$4:$C$309,2,FALSE)</f>
        <v>0</v>
      </c>
      <c r="C83" s="27" t="str">
        <f>IF(VLOOKUP(A83,'TH theo khach hang'!$A$4:$C$309,3,FALSE)=0, "", "x")</f>
        <v/>
      </c>
      <c r="D83" s="43">
        <f t="shared" si="16"/>
        <v>0</v>
      </c>
      <c r="E83" s="44">
        <f t="shared" si="17"/>
        <v>0</v>
      </c>
      <c r="F83" s="45">
        <f>VLOOKUP(A83,'TH theo khach hang'!$A$4:$G$309,4,FALSE)</f>
        <v>0</v>
      </c>
      <c r="G83" s="46">
        <f>VLOOKUP(A83,'TH theo khach hang'!$A$4:$G$309,5,FALSE)</f>
        <v>0</v>
      </c>
      <c r="H83" s="45">
        <f t="shared" si="18"/>
        <v>0</v>
      </c>
      <c r="I83" s="47">
        <f t="shared" si="19"/>
        <v>0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</row>
    <row r="84" spans="1:34" s="34" customFormat="1">
      <c r="A84" s="28" t="s">
        <v>233</v>
      </c>
      <c r="B84" s="26">
        <f>VLOOKUP(A84,'TH theo khach hang'!$A$4:$C$309,2,FALSE)</f>
        <v>0</v>
      </c>
      <c r="C84" s="27" t="str">
        <f>IF(VLOOKUP(A84,'TH theo khach hang'!$A$4:$C$309,3,FALSE)=0, "", "x")</f>
        <v/>
      </c>
      <c r="D84" s="43">
        <f t="shared" si="16"/>
        <v>0</v>
      </c>
      <c r="E84" s="44">
        <f t="shared" si="17"/>
        <v>0</v>
      </c>
      <c r="F84" s="45">
        <f>VLOOKUP(A84,'TH theo khach hang'!$A$4:$G$309,4,FALSE)</f>
        <v>0</v>
      </c>
      <c r="G84" s="46">
        <f>VLOOKUP(A84,'TH theo khach hang'!$A$4:$G$309,5,FALSE)</f>
        <v>0</v>
      </c>
      <c r="H84" s="45">
        <f t="shared" si="18"/>
        <v>0</v>
      </c>
      <c r="I84" s="47">
        <f t="shared" si="19"/>
        <v>0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</row>
    <row r="85" spans="1:34" s="34" customFormat="1">
      <c r="A85" s="28" t="s">
        <v>234</v>
      </c>
      <c r="B85" s="26">
        <f>VLOOKUP(A85,'TH theo khach hang'!$A$4:$C$309,2,FALSE)</f>
        <v>0</v>
      </c>
      <c r="C85" s="27" t="str">
        <f>IF(VLOOKUP(A85,'TH theo khach hang'!$A$4:$C$309,3,FALSE)=0, "", "x")</f>
        <v/>
      </c>
      <c r="D85" s="43">
        <f>F85-H85</f>
        <v>0</v>
      </c>
      <c r="E85" s="44">
        <f t="shared" si="17"/>
        <v>0</v>
      </c>
      <c r="F85" s="45">
        <f>VLOOKUP(A85,'TH theo khach hang'!$A$4:$G$309,4,FALSE)</f>
        <v>0</v>
      </c>
      <c r="G85" s="46">
        <f>VLOOKUP(A85,'TH theo khach hang'!$A$4:$G$309,5,FALSE)</f>
        <v>0</v>
      </c>
      <c r="H85" s="45">
        <f t="shared" si="18"/>
        <v>0</v>
      </c>
      <c r="I85" s="47">
        <f t="shared" si="19"/>
        <v>0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33"/>
    </row>
    <row r="86" spans="1:34" s="34" customFormat="1">
      <c r="A86" s="28" t="s">
        <v>235</v>
      </c>
      <c r="B86" s="26">
        <f>VLOOKUP(A86,'TH theo khach hang'!$A$4:$C$309,2,FALSE)</f>
        <v>0</v>
      </c>
      <c r="C86" s="27" t="str">
        <f>IF(VLOOKUP(A86,'TH theo khach hang'!$A$4:$C$309,3,FALSE)=0, "", "x")</f>
        <v/>
      </c>
      <c r="D86" s="43">
        <f t="shared" si="16"/>
        <v>0</v>
      </c>
      <c r="E86" s="44">
        <f t="shared" si="17"/>
        <v>0</v>
      </c>
      <c r="F86" s="45">
        <f>VLOOKUP(A86,'TH theo khach hang'!$A$4:$G$309,4,FALSE)</f>
        <v>0</v>
      </c>
      <c r="G86" s="46">
        <f>VLOOKUP(A86,'TH theo khach hang'!$A$4:$G$309,5,FALSE)</f>
        <v>0</v>
      </c>
      <c r="H86" s="45">
        <f t="shared" si="18"/>
        <v>0</v>
      </c>
      <c r="I86" s="47">
        <f t="shared" si="19"/>
        <v>0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</row>
    <row r="87" spans="1:34" s="34" customFormat="1">
      <c r="A87" s="28" t="s">
        <v>236</v>
      </c>
      <c r="B87" s="26">
        <f>VLOOKUP(A87,'TH theo khach hang'!$A$4:$C$309,2,FALSE)</f>
        <v>0</v>
      </c>
      <c r="C87" s="27" t="str">
        <f>IF(VLOOKUP(A87,'TH theo khach hang'!$A$4:$C$309,3,FALSE)=0, "", "x")</f>
        <v/>
      </c>
      <c r="D87" s="43">
        <f t="shared" si="16"/>
        <v>0</v>
      </c>
      <c r="E87" s="44">
        <f t="shared" si="17"/>
        <v>0</v>
      </c>
      <c r="F87" s="45">
        <f>VLOOKUP(A87,'TH theo khach hang'!$A$4:$G$309,4,FALSE)</f>
        <v>0</v>
      </c>
      <c r="G87" s="46">
        <f>VLOOKUP(A87,'TH theo khach hang'!$A$4:$G$309,5,FALSE)</f>
        <v>0</v>
      </c>
      <c r="H87" s="45">
        <f t="shared" si="18"/>
        <v>0</v>
      </c>
      <c r="I87" s="47">
        <f t="shared" si="19"/>
        <v>0</v>
      </c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</row>
    <row r="88" spans="1:34" s="34" customFormat="1">
      <c r="A88" s="28" t="s">
        <v>237</v>
      </c>
      <c r="B88" s="26">
        <f>VLOOKUP(A88,'TH theo khach hang'!$A$4:$C$309,2,FALSE)</f>
        <v>0</v>
      </c>
      <c r="C88" s="27" t="str">
        <f>IF(VLOOKUP(A88,'TH theo khach hang'!$A$4:$C$309,3,FALSE)=0, "", "x")</f>
        <v/>
      </c>
      <c r="D88" s="43">
        <f t="shared" si="16"/>
        <v>0</v>
      </c>
      <c r="E88" s="44">
        <f t="shared" si="17"/>
        <v>0</v>
      </c>
      <c r="F88" s="45">
        <f>VLOOKUP(A88,'TH theo khach hang'!$A$4:$G$309,4,FALSE)</f>
        <v>0</v>
      </c>
      <c r="G88" s="46">
        <f>VLOOKUP(A88,'TH theo khach hang'!$A$4:$G$309,5,FALSE)</f>
        <v>0</v>
      </c>
      <c r="H88" s="45">
        <f t="shared" si="18"/>
        <v>0</v>
      </c>
      <c r="I88" s="47">
        <f t="shared" si="19"/>
        <v>0</v>
      </c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33"/>
    </row>
    <row r="89" spans="1:34">
      <c r="A89" s="28" t="s">
        <v>238</v>
      </c>
      <c r="B89" s="26">
        <f>VLOOKUP(A89,'TH theo khach hang'!$A$4:$C$309,2,FALSE)</f>
        <v>0</v>
      </c>
      <c r="C89" s="27" t="str">
        <f>IF(VLOOKUP(A89,'TH theo khach hang'!$A$4:$C$309,3,FALSE)=0, "", "x")</f>
        <v/>
      </c>
      <c r="D89" s="43">
        <f t="shared" si="16"/>
        <v>0</v>
      </c>
      <c r="E89" s="44">
        <f t="shared" si="17"/>
        <v>0</v>
      </c>
      <c r="F89" s="45">
        <f>VLOOKUP(A89,'TH theo khach hang'!$A$4:$G$309,4,FALSE)</f>
        <v>0</v>
      </c>
      <c r="G89" s="46">
        <f>VLOOKUP(A89,'TH theo khach hang'!$A$4:$G$309,5,FALSE)</f>
        <v>0</v>
      </c>
      <c r="H89" s="45">
        <f t="shared" si="18"/>
        <v>0</v>
      </c>
      <c r="I89" s="47">
        <f t="shared" si="19"/>
        <v>0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</row>
    <row r="90" spans="1:34">
      <c r="A90" s="28" t="s">
        <v>239</v>
      </c>
      <c r="B90" s="26">
        <f>VLOOKUP(A90,'TH theo khach hang'!$A$4:$C$309,2,FALSE)</f>
        <v>0</v>
      </c>
      <c r="C90" s="27" t="str">
        <f>IF(VLOOKUP(A90,'TH theo khach hang'!$A$4:$C$309,3,FALSE)=0, "", "x")</f>
        <v/>
      </c>
      <c r="D90" s="43">
        <f t="shared" si="16"/>
        <v>0</v>
      </c>
      <c r="E90" s="44">
        <f t="shared" si="17"/>
        <v>0</v>
      </c>
      <c r="F90" s="45">
        <f>VLOOKUP(A90,'TH theo khach hang'!$A$4:$G$309,4,FALSE)</f>
        <v>0</v>
      </c>
      <c r="G90" s="46">
        <f>VLOOKUP(A90,'TH theo khach hang'!$A$4:$G$309,5,FALSE)</f>
        <v>0</v>
      </c>
      <c r="H90" s="45">
        <f t="shared" si="18"/>
        <v>0</v>
      </c>
      <c r="I90" s="47">
        <f t="shared" si="19"/>
        <v>0</v>
      </c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</row>
    <row r="91" spans="1:34">
      <c r="A91" s="28" t="s">
        <v>240</v>
      </c>
      <c r="B91" s="26">
        <f>VLOOKUP(A91,'TH theo khach hang'!$A$4:$C$309,2,FALSE)</f>
        <v>0</v>
      </c>
      <c r="C91" s="27" t="str">
        <f>IF(VLOOKUP(A91,'TH theo khach hang'!$A$4:$C$309,3,FALSE)=0, "", "x")</f>
        <v/>
      </c>
      <c r="D91" s="43">
        <f t="shared" si="16"/>
        <v>0</v>
      </c>
      <c r="E91" s="44">
        <f t="shared" si="17"/>
        <v>0</v>
      </c>
      <c r="F91" s="45">
        <f>VLOOKUP(A91,'TH theo khach hang'!$A$4:$G$309,4,FALSE)</f>
        <v>0</v>
      </c>
      <c r="G91" s="46">
        <f>VLOOKUP(A91,'TH theo khach hang'!$A$4:$G$309,5,FALSE)</f>
        <v>0</v>
      </c>
      <c r="H91" s="45">
        <f t="shared" si="18"/>
        <v>0</v>
      </c>
      <c r="I91" s="47">
        <f t="shared" si="19"/>
        <v>0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</row>
    <row r="92" spans="1:34" ht="16.5" customHeight="1">
      <c r="A92" s="28" t="s">
        <v>241</v>
      </c>
      <c r="B92" s="26">
        <f>VLOOKUP(A92,'TH theo khach hang'!$A$4:$C$309,2,FALSE)</f>
        <v>0</v>
      </c>
      <c r="C92" s="27" t="str">
        <f>IF(VLOOKUP(A92,'TH theo khach hang'!$A$4:$C$309,3,FALSE)=0, "", "x")</f>
        <v/>
      </c>
      <c r="D92" s="43">
        <f t="shared" si="16"/>
        <v>0</v>
      </c>
      <c r="E92" s="44">
        <f t="shared" si="17"/>
        <v>0</v>
      </c>
      <c r="F92" s="45">
        <f>VLOOKUP(A92,'TH theo khach hang'!$A$4:$G$309,4,FALSE)</f>
        <v>0</v>
      </c>
      <c r="G92" s="46">
        <f>VLOOKUP(A92,'TH theo khach hang'!$A$4:$G$309,5,FALSE)</f>
        <v>0</v>
      </c>
      <c r="H92" s="45">
        <f t="shared" si="18"/>
        <v>0</v>
      </c>
      <c r="I92" s="47">
        <f t="shared" si="19"/>
        <v>0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</row>
    <row r="93" spans="1:34">
      <c r="A93" s="28" t="s">
        <v>242</v>
      </c>
      <c r="B93" s="26">
        <f>VLOOKUP(A93,'TH theo khach hang'!$A$4:$C$309,2,FALSE)</f>
        <v>0</v>
      </c>
      <c r="C93" s="27" t="str">
        <f>IF(VLOOKUP(A93,'TH theo khach hang'!$A$4:$C$309,3,FALSE)=0, "", "x")</f>
        <v/>
      </c>
      <c r="D93" s="43">
        <f t="shared" si="16"/>
        <v>0</v>
      </c>
      <c r="E93" s="44">
        <f t="shared" si="17"/>
        <v>0</v>
      </c>
      <c r="F93" s="45">
        <f>VLOOKUP(A93,'TH theo khach hang'!$A$4:$G$309,4,FALSE)</f>
        <v>0</v>
      </c>
      <c r="G93" s="46">
        <f>VLOOKUP(A93,'TH theo khach hang'!$A$4:$G$309,5,FALSE)</f>
        <v>0</v>
      </c>
      <c r="H93" s="45">
        <f t="shared" si="18"/>
        <v>0</v>
      </c>
      <c r="I93" s="47">
        <f t="shared" si="19"/>
        <v>0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</row>
    <row r="94" spans="1:34" ht="18" customHeight="1">
      <c r="A94" s="28" t="s">
        <v>243</v>
      </c>
      <c r="B94" s="26">
        <f>VLOOKUP(A94,'TH theo khach hang'!$A$4:$C$309,2,FALSE)</f>
        <v>0</v>
      </c>
      <c r="C94" s="27" t="str">
        <f>IF(VLOOKUP(A94,'TH theo khach hang'!$A$4:$C$309,3,FALSE)=0, "", "x")</f>
        <v/>
      </c>
      <c r="D94" s="43">
        <f t="shared" si="16"/>
        <v>0</v>
      </c>
      <c r="E94" s="44">
        <f t="shared" si="17"/>
        <v>0</v>
      </c>
      <c r="F94" s="45">
        <f>VLOOKUP(A94,'TH theo khach hang'!$A$4:$G$309,4,FALSE)</f>
        <v>0</v>
      </c>
      <c r="G94" s="46">
        <f>VLOOKUP(A94,'TH theo khach hang'!$A$4:$G$309,5,FALSE)</f>
        <v>0</v>
      </c>
      <c r="H94" s="45">
        <f t="shared" si="18"/>
        <v>0</v>
      </c>
      <c r="I94" s="47">
        <f t="shared" si="19"/>
        <v>0</v>
      </c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</row>
    <row r="95" spans="1:34">
      <c r="A95" s="28" t="s">
        <v>244</v>
      </c>
      <c r="B95" s="26">
        <f>VLOOKUP(A95,'TH theo khach hang'!$A$4:$C$309,2,FALSE)</f>
        <v>0</v>
      </c>
      <c r="C95" s="27" t="str">
        <f>IF(VLOOKUP(A95,'TH theo khach hang'!$A$4:$C$309,3,FALSE)=0, "", "x")</f>
        <v/>
      </c>
      <c r="D95" s="43">
        <f t="shared" si="16"/>
        <v>0</v>
      </c>
      <c r="E95" s="44">
        <f t="shared" si="17"/>
        <v>0</v>
      </c>
      <c r="F95" s="45">
        <f>VLOOKUP(A95,'TH theo khach hang'!$A$4:$G$309,4,FALSE)</f>
        <v>0</v>
      </c>
      <c r="G95" s="46">
        <f>VLOOKUP(A95,'TH theo khach hang'!$A$4:$G$309,5,FALSE)</f>
        <v>0</v>
      </c>
      <c r="H95" s="45">
        <f t="shared" si="18"/>
        <v>0</v>
      </c>
      <c r="I95" s="47">
        <f t="shared" si="19"/>
        <v>0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</row>
    <row r="96" spans="1:34">
      <c r="A96" s="28" t="s">
        <v>245</v>
      </c>
      <c r="B96" s="26">
        <f>VLOOKUP(A96,'TH theo khach hang'!$A$4:$C$309,2,FALSE)</f>
        <v>0</v>
      </c>
      <c r="C96" s="27" t="str">
        <f>IF(VLOOKUP(A96,'TH theo khach hang'!$A$4:$C$309,3,FALSE)=0, "", "x")</f>
        <v/>
      </c>
      <c r="D96" s="43">
        <f t="shared" si="16"/>
        <v>0</v>
      </c>
      <c r="E96" s="44">
        <f t="shared" si="17"/>
        <v>0</v>
      </c>
      <c r="F96" s="45">
        <f>VLOOKUP(A96,'TH theo khach hang'!$A$4:$G$309,4,FALSE)</f>
        <v>0</v>
      </c>
      <c r="G96" s="46">
        <f>VLOOKUP(A96,'TH theo khach hang'!$A$4:$G$309,5,FALSE)</f>
        <v>0</v>
      </c>
      <c r="H96" s="45">
        <f t="shared" si="18"/>
        <v>0</v>
      </c>
      <c r="I96" s="47">
        <f t="shared" si="19"/>
        <v>0</v>
      </c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</row>
    <row r="97" spans="1:34">
      <c r="A97" s="28" t="s">
        <v>246</v>
      </c>
      <c r="B97" s="26">
        <f>VLOOKUP(A97,'TH theo khach hang'!$A$4:$C$309,2,FALSE)</f>
        <v>0</v>
      </c>
      <c r="C97" s="27" t="str">
        <f>IF(VLOOKUP(A97,'TH theo khach hang'!$A$4:$C$309,3,FALSE)=0, "", "x")</f>
        <v/>
      </c>
      <c r="D97" s="43">
        <f t="shared" si="16"/>
        <v>0</v>
      </c>
      <c r="E97" s="44">
        <f t="shared" si="17"/>
        <v>0</v>
      </c>
      <c r="F97" s="45">
        <f>VLOOKUP(A97,'TH theo khach hang'!$A$4:$G$309,4,FALSE)</f>
        <v>0</v>
      </c>
      <c r="G97" s="46">
        <f>VLOOKUP(A97,'TH theo khach hang'!$A$4:$G$309,5,FALSE)</f>
        <v>0</v>
      </c>
      <c r="H97" s="45">
        <f t="shared" si="18"/>
        <v>0</v>
      </c>
      <c r="I97" s="47">
        <f t="shared" si="19"/>
        <v>0</v>
      </c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</row>
    <row r="98" spans="1:34">
      <c r="A98" s="28" t="s">
        <v>247</v>
      </c>
      <c r="B98" s="26">
        <f>VLOOKUP(A98,'TH theo khach hang'!$A$4:$C$309,2,FALSE)</f>
        <v>0</v>
      </c>
      <c r="C98" s="27" t="str">
        <f>IF(VLOOKUP(A98,'TH theo khach hang'!$A$4:$C$309,3,FALSE)=0, "", "x")</f>
        <v/>
      </c>
      <c r="D98" s="43">
        <f t="shared" si="16"/>
        <v>0</v>
      </c>
      <c r="E98" s="44">
        <f t="shared" si="17"/>
        <v>0</v>
      </c>
      <c r="F98" s="45">
        <f>VLOOKUP(A98,'TH theo khach hang'!$A$4:$G$309,4,FALSE)</f>
        <v>0</v>
      </c>
      <c r="G98" s="46">
        <f>VLOOKUP(A98,'TH theo khach hang'!$A$4:$G$309,5,FALSE)</f>
        <v>0</v>
      </c>
      <c r="H98" s="45">
        <f t="shared" si="18"/>
        <v>0</v>
      </c>
      <c r="I98" s="47">
        <f t="shared" si="19"/>
        <v>0</v>
      </c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</row>
    <row r="99" spans="1:34" s="34" customFormat="1">
      <c r="A99" s="28" t="s">
        <v>248</v>
      </c>
      <c r="B99" s="26">
        <f>VLOOKUP(A99,'TH theo khach hang'!$A$4:$C$309,2,FALSE)</f>
        <v>0</v>
      </c>
      <c r="C99" s="27" t="str">
        <f>IF(VLOOKUP(A99,'TH theo khach hang'!$A$4:$C$309,3,FALSE)=0, "", "x")</f>
        <v/>
      </c>
      <c r="D99" s="43">
        <f t="shared" si="16"/>
        <v>0</v>
      </c>
      <c r="E99" s="44">
        <f t="shared" si="17"/>
        <v>0</v>
      </c>
      <c r="F99" s="45">
        <f>VLOOKUP(A99,'TH theo khach hang'!$A$4:$G$309,4,FALSE)</f>
        <v>0</v>
      </c>
      <c r="G99" s="46">
        <f>VLOOKUP(A99,'TH theo khach hang'!$A$4:$G$309,5,FALSE)</f>
        <v>0</v>
      </c>
      <c r="H99" s="45">
        <f t="shared" si="18"/>
        <v>0</v>
      </c>
      <c r="I99" s="47">
        <f t="shared" si="19"/>
        <v>0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</row>
    <row r="100" spans="1:34" s="34" customFormat="1">
      <c r="A100" s="28" t="s">
        <v>249</v>
      </c>
      <c r="B100" s="26">
        <f>VLOOKUP(A100,'TH theo khach hang'!$A$4:$C$309,2,FALSE)</f>
        <v>0</v>
      </c>
      <c r="C100" s="27" t="str">
        <f>IF(VLOOKUP(A100,'TH theo khach hang'!$A$4:$C$309,3,FALSE)=0, "", "x")</f>
        <v/>
      </c>
      <c r="D100" s="43">
        <f t="shared" si="16"/>
        <v>0</v>
      </c>
      <c r="E100" s="44">
        <f t="shared" si="17"/>
        <v>0</v>
      </c>
      <c r="F100" s="45">
        <f>VLOOKUP(A100,'TH theo khach hang'!$A$4:$G$309,4,FALSE)</f>
        <v>0</v>
      </c>
      <c r="G100" s="46">
        <f>VLOOKUP(A100,'TH theo khach hang'!$A$4:$G$309,5,FALSE)</f>
        <v>0</v>
      </c>
      <c r="H100" s="45">
        <f t="shared" si="18"/>
        <v>0</v>
      </c>
      <c r="I100" s="47">
        <f t="shared" si="19"/>
        <v>0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</row>
    <row r="101" spans="1:34" s="34" customFormat="1">
      <c r="A101" s="28" t="s">
        <v>250</v>
      </c>
      <c r="B101" s="26">
        <f>VLOOKUP(A101,'TH theo khach hang'!$A$4:$C$309,2,FALSE)</f>
        <v>0</v>
      </c>
      <c r="C101" s="27" t="str">
        <f>IF(VLOOKUP(A101,'TH theo khach hang'!$A$4:$C$309,3,FALSE)=0, "", "x")</f>
        <v/>
      </c>
      <c r="D101" s="43">
        <f t="shared" si="16"/>
        <v>0</v>
      </c>
      <c r="E101" s="44">
        <f t="shared" si="17"/>
        <v>0</v>
      </c>
      <c r="F101" s="45">
        <f>VLOOKUP(A101,'TH theo khach hang'!$A$4:$G$309,4,FALSE)</f>
        <v>0</v>
      </c>
      <c r="G101" s="46">
        <f>VLOOKUP(A101,'TH theo khach hang'!$A$4:$G$309,5,FALSE)</f>
        <v>0</v>
      </c>
      <c r="H101" s="45">
        <f t="shared" si="18"/>
        <v>0</v>
      </c>
      <c r="I101" s="47">
        <f t="shared" si="19"/>
        <v>0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33"/>
    </row>
    <row r="102" spans="1:34" s="34" customFormat="1">
      <c r="A102" s="28" t="s">
        <v>251</v>
      </c>
      <c r="B102" s="26">
        <f>VLOOKUP(A102,'TH theo khach hang'!$A$4:$C$309,2,FALSE)</f>
        <v>0</v>
      </c>
      <c r="C102" s="27" t="str">
        <f>IF(VLOOKUP(A102,'TH theo khach hang'!$A$4:$C$309,3,FALSE)=0, "", "x")</f>
        <v/>
      </c>
      <c r="D102" s="43">
        <f t="shared" si="16"/>
        <v>0</v>
      </c>
      <c r="E102" s="44">
        <f t="shared" si="17"/>
        <v>0</v>
      </c>
      <c r="F102" s="45">
        <f>VLOOKUP(A102,'TH theo khach hang'!$A$4:$G$309,4,FALSE)</f>
        <v>0</v>
      </c>
      <c r="G102" s="46">
        <f>VLOOKUP(A102,'TH theo khach hang'!$A$4:$G$309,5,FALSE)</f>
        <v>0</v>
      </c>
      <c r="H102" s="45">
        <f t="shared" si="18"/>
        <v>0</v>
      </c>
      <c r="I102" s="47">
        <f t="shared" si="19"/>
        <v>0</v>
      </c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</row>
    <row r="103" spans="1:34" s="34" customFormat="1">
      <c r="A103" s="28" t="s">
        <v>252</v>
      </c>
      <c r="B103" s="26">
        <f>VLOOKUP(A103,'TH theo khach hang'!$A$4:$C$309,2,FALSE)</f>
        <v>0</v>
      </c>
      <c r="C103" s="27" t="str">
        <f>IF(VLOOKUP(A103,'TH theo khach hang'!$A$4:$C$309,3,FALSE)=0, "", "x")</f>
        <v/>
      </c>
      <c r="D103" s="43">
        <f t="shared" si="16"/>
        <v>0</v>
      </c>
      <c r="E103" s="44">
        <f t="shared" si="17"/>
        <v>0</v>
      </c>
      <c r="F103" s="45">
        <f>VLOOKUP(A103,'TH theo khach hang'!$A$4:$G$309,4,FALSE)</f>
        <v>0</v>
      </c>
      <c r="G103" s="46">
        <f>VLOOKUP(A103,'TH theo khach hang'!$A$4:$G$309,5,FALSE)</f>
        <v>0</v>
      </c>
      <c r="H103" s="45">
        <f t="shared" si="18"/>
        <v>0</v>
      </c>
      <c r="I103" s="47">
        <f t="shared" si="19"/>
        <v>0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</row>
    <row r="104" spans="1:34" s="34" customFormat="1">
      <c r="A104" s="28" t="s">
        <v>253</v>
      </c>
      <c r="B104" s="26">
        <f>VLOOKUP(A104,'TH theo khach hang'!$A$4:$C$309,2,FALSE)</f>
        <v>0</v>
      </c>
      <c r="C104" s="27" t="str">
        <f>IF(VLOOKUP(A104,'TH theo khach hang'!$A$4:$C$309,3,FALSE)=0, "", "x")</f>
        <v/>
      </c>
      <c r="D104" s="43">
        <f t="shared" si="16"/>
        <v>0</v>
      </c>
      <c r="E104" s="44">
        <f t="shared" si="17"/>
        <v>0</v>
      </c>
      <c r="F104" s="45">
        <f>VLOOKUP(A104,'TH theo khach hang'!$A$4:$G$309,4,FALSE)</f>
        <v>0</v>
      </c>
      <c r="G104" s="46">
        <f>VLOOKUP(A104,'TH theo khach hang'!$A$4:$G$309,5,FALSE)</f>
        <v>0</v>
      </c>
      <c r="H104" s="45">
        <f t="shared" si="18"/>
        <v>0</v>
      </c>
      <c r="I104" s="47">
        <f t="shared" si="19"/>
        <v>0</v>
      </c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33"/>
    </row>
    <row r="105" spans="1:34">
      <c r="A105" s="28" t="s">
        <v>254</v>
      </c>
      <c r="B105" s="26">
        <f>VLOOKUP(A105,'TH theo khach hang'!$A$4:$C$309,2,FALSE)</f>
        <v>0</v>
      </c>
      <c r="C105" s="27" t="str">
        <f>IF(VLOOKUP(A105,'TH theo khach hang'!$A$4:$C$309,3,FALSE)=0, "", "x")</f>
        <v/>
      </c>
      <c r="D105" s="43">
        <f t="shared" si="16"/>
        <v>0</v>
      </c>
      <c r="E105" s="44">
        <f t="shared" si="17"/>
        <v>0</v>
      </c>
      <c r="F105" s="45">
        <f>VLOOKUP(A105,'TH theo khach hang'!$A$4:$G$309,4,FALSE)</f>
        <v>0</v>
      </c>
      <c r="G105" s="46">
        <f>VLOOKUP(A105,'TH theo khach hang'!$A$4:$G$309,5,FALSE)</f>
        <v>0</v>
      </c>
      <c r="H105" s="45">
        <f t="shared" si="18"/>
        <v>0</v>
      </c>
      <c r="I105" s="47">
        <f t="shared" si="19"/>
        <v>0</v>
      </c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</row>
    <row r="106" spans="1:34">
      <c r="A106" s="28" t="s">
        <v>255</v>
      </c>
      <c r="B106" s="26" t="str">
        <f>VLOOKUP(A106,'TH theo khach hang'!$A$4:$C$309,2,FALSE)</f>
        <v>Chuyển doanh thu từ ITO</v>
      </c>
      <c r="C106" s="27" t="str">
        <f>IF(VLOOKUP(A106,'TH theo khach hang'!$A$4:$C$309,3,FALSE)=0, "", "x")</f>
        <v/>
      </c>
      <c r="D106" s="43">
        <f t="shared" si="16"/>
        <v>0</v>
      </c>
      <c r="E106" s="44">
        <f t="shared" si="17"/>
        <v>0</v>
      </c>
      <c r="F106" s="45">
        <f>VLOOKUP(A106,'TH theo khach hang'!$A$4:$G$309,4,FALSE)</f>
        <v>0</v>
      </c>
      <c r="G106" s="46">
        <f>VLOOKUP(A106,'TH theo khach hang'!$A$4:$G$309,5,FALSE)</f>
        <v>0</v>
      </c>
      <c r="H106" s="45">
        <f t="shared" si="18"/>
        <v>0</v>
      </c>
      <c r="I106" s="47">
        <f t="shared" si="19"/>
        <v>0</v>
      </c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</row>
    <row r="107" spans="1:34" hidden="1">
      <c r="A107" s="30" t="s">
        <v>53</v>
      </c>
      <c r="B107" s="30"/>
      <c r="C107" s="31"/>
      <c r="D107" s="31"/>
      <c r="E107" s="31"/>
      <c r="F107" s="31"/>
      <c r="G107" s="31"/>
      <c r="H107" s="31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</row>
    <row r="108" spans="1:34" s="34" customFormat="1" hidden="1">
      <c r="A108" s="35" t="s">
        <v>54</v>
      </c>
      <c r="B108" s="26">
        <f>VLOOKUP(A108,'TH theo khach hang'!$A$4:$C$309,2,FALSE)</f>
        <v>0</v>
      </c>
      <c r="C108" s="27" t="str">
        <f>IF(VLOOKUP(A108,'TH theo khach hang'!$A$4:$C$309,3,FALSE)=0, "", "x")</f>
        <v/>
      </c>
      <c r="D108" s="43">
        <f t="shared" ref="D108:E123" si="20">F108-H108</f>
        <v>0</v>
      </c>
      <c r="E108" s="44">
        <f t="shared" si="20"/>
        <v>0</v>
      </c>
      <c r="F108" s="45">
        <f>VLOOKUP(A108,'TH theo khach hang'!$A$4:$G$309,4,FALSE)</f>
        <v>0</v>
      </c>
      <c r="G108" s="46">
        <f>VLOOKUP(A108,'TH theo khach hang'!$A$4:$G$309,5,FALSE)</f>
        <v>0</v>
      </c>
      <c r="H108" s="45">
        <f t="shared" ref="H108:I123" si="21">J108+L108+N108+P108+R108+T108+V108+X108+Z108+AB108+AD108+AF108</f>
        <v>0</v>
      </c>
      <c r="I108" s="47">
        <f t="shared" si="21"/>
        <v>0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  <c r="T108" s="46">
        <v>0</v>
      </c>
      <c r="U108" s="46">
        <v>0</v>
      </c>
      <c r="V108" s="46">
        <v>0</v>
      </c>
      <c r="W108" s="46">
        <v>0</v>
      </c>
      <c r="X108" s="46">
        <v>0</v>
      </c>
      <c r="Y108" s="46">
        <v>0</v>
      </c>
      <c r="Z108" s="46">
        <v>0</v>
      </c>
      <c r="AA108" s="46">
        <v>0</v>
      </c>
      <c r="AB108" s="46">
        <v>0</v>
      </c>
      <c r="AC108" s="46">
        <v>0</v>
      </c>
      <c r="AD108" s="46">
        <v>0</v>
      </c>
      <c r="AE108" s="46">
        <v>0</v>
      </c>
      <c r="AF108" s="46">
        <v>0</v>
      </c>
      <c r="AG108" s="46">
        <v>0</v>
      </c>
      <c r="AH108" s="33"/>
    </row>
    <row r="109" spans="1:34" s="34" customFormat="1" hidden="1">
      <c r="A109" s="35" t="s">
        <v>55</v>
      </c>
      <c r="B109" s="26">
        <f>VLOOKUP(A109,'TH theo khach hang'!$A$4:$C$309,2,FALSE)</f>
        <v>0</v>
      </c>
      <c r="C109" s="27" t="str">
        <f>IF(VLOOKUP(A109,'TH theo khach hang'!$A$4:$C$309,3,FALSE)=0, "", "x")</f>
        <v/>
      </c>
      <c r="D109" s="43">
        <f t="shared" si="20"/>
        <v>0</v>
      </c>
      <c r="E109" s="44">
        <f t="shared" si="20"/>
        <v>0</v>
      </c>
      <c r="F109" s="45">
        <f>VLOOKUP(A109,'TH theo khach hang'!$A$4:$G$309,4,FALSE)</f>
        <v>0</v>
      </c>
      <c r="G109" s="46">
        <f>VLOOKUP(A109,'TH theo khach hang'!$A$4:$G$309,5,FALSE)</f>
        <v>0</v>
      </c>
      <c r="H109" s="45">
        <f t="shared" si="21"/>
        <v>0</v>
      </c>
      <c r="I109" s="47">
        <f t="shared" si="21"/>
        <v>0</v>
      </c>
      <c r="J109" s="46">
        <v>0</v>
      </c>
      <c r="K109" s="46">
        <v>0</v>
      </c>
      <c r="L109" s="46">
        <v>0</v>
      </c>
      <c r="M109" s="46">
        <v>0</v>
      </c>
      <c r="N109" s="46">
        <v>0</v>
      </c>
      <c r="O109" s="46">
        <v>0</v>
      </c>
      <c r="P109" s="46">
        <v>0</v>
      </c>
      <c r="Q109" s="46">
        <v>0</v>
      </c>
      <c r="R109" s="46">
        <v>0</v>
      </c>
      <c r="S109" s="46">
        <v>0</v>
      </c>
      <c r="T109" s="46">
        <v>0</v>
      </c>
      <c r="U109" s="46">
        <v>0</v>
      </c>
      <c r="V109" s="46">
        <v>0</v>
      </c>
      <c r="W109" s="46">
        <v>0</v>
      </c>
      <c r="X109" s="46">
        <v>0</v>
      </c>
      <c r="Y109" s="46">
        <v>0</v>
      </c>
      <c r="Z109" s="46">
        <v>0</v>
      </c>
      <c r="AA109" s="46">
        <v>0</v>
      </c>
      <c r="AB109" s="46">
        <v>0</v>
      </c>
      <c r="AC109" s="46">
        <v>0</v>
      </c>
      <c r="AD109" s="46">
        <v>0</v>
      </c>
      <c r="AE109" s="46">
        <v>0</v>
      </c>
      <c r="AF109" s="46">
        <v>0</v>
      </c>
      <c r="AG109" s="46">
        <v>0</v>
      </c>
      <c r="AH109" s="33"/>
    </row>
    <row r="110" spans="1:34" s="34" customFormat="1" hidden="1">
      <c r="A110" s="35" t="s">
        <v>56</v>
      </c>
      <c r="B110" s="26">
        <f>VLOOKUP(A110,'TH theo khach hang'!$A$4:$C$309,2,FALSE)</f>
        <v>0</v>
      </c>
      <c r="C110" s="27" t="str">
        <f>IF(VLOOKUP(A110,'TH theo khach hang'!$A$4:$C$309,3,FALSE)=0, "", "x")</f>
        <v/>
      </c>
      <c r="D110" s="43">
        <f t="shared" si="20"/>
        <v>0</v>
      </c>
      <c r="E110" s="44">
        <f t="shared" si="20"/>
        <v>0</v>
      </c>
      <c r="F110" s="45">
        <f>VLOOKUP(A110,'TH theo khach hang'!$A$4:$G$309,4,FALSE)</f>
        <v>0</v>
      </c>
      <c r="G110" s="46">
        <f>VLOOKUP(A110,'TH theo khach hang'!$A$4:$G$309,5,FALSE)</f>
        <v>0</v>
      </c>
      <c r="H110" s="45">
        <f t="shared" si="21"/>
        <v>0</v>
      </c>
      <c r="I110" s="47">
        <f t="shared" si="21"/>
        <v>0</v>
      </c>
      <c r="J110" s="46">
        <v>0</v>
      </c>
      <c r="K110" s="46">
        <v>0</v>
      </c>
      <c r="L110" s="46">
        <v>0</v>
      </c>
      <c r="M110" s="46">
        <v>0</v>
      </c>
      <c r="N110" s="46">
        <v>0</v>
      </c>
      <c r="O110" s="46">
        <v>0</v>
      </c>
      <c r="P110" s="46">
        <v>0</v>
      </c>
      <c r="Q110" s="46">
        <v>0</v>
      </c>
      <c r="R110" s="46">
        <v>0</v>
      </c>
      <c r="S110" s="46">
        <v>0</v>
      </c>
      <c r="T110" s="46">
        <v>0</v>
      </c>
      <c r="U110" s="46">
        <v>0</v>
      </c>
      <c r="V110" s="46">
        <v>0</v>
      </c>
      <c r="W110" s="46">
        <v>0</v>
      </c>
      <c r="X110" s="46">
        <v>0</v>
      </c>
      <c r="Y110" s="46">
        <v>0</v>
      </c>
      <c r="Z110" s="46">
        <v>0</v>
      </c>
      <c r="AA110" s="46">
        <v>0</v>
      </c>
      <c r="AB110" s="46">
        <v>0</v>
      </c>
      <c r="AC110" s="46">
        <v>0</v>
      </c>
      <c r="AD110" s="46">
        <v>0</v>
      </c>
      <c r="AE110" s="46">
        <v>0</v>
      </c>
      <c r="AF110" s="46">
        <v>0</v>
      </c>
      <c r="AG110" s="46">
        <v>0</v>
      </c>
      <c r="AH110" s="33"/>
    </row>
    <row r="111" spans="1:34" s="34" customFormat="1" hidden="1">
      <c r="A111" s="35" t="s">
        <v>57</v>
      </c>
      <c r="B111" s="26">
        <f>VLOOKUP(A111,'TH theo khach hang'!$A$4:$C$309,2,FALSE)</f>
        <v>0</v>
      </c>
      <c r="C111" s="27" t="str">
        <f>IF(VLOOKUP(A111,'TH theo khach hang'!$A$4:$C$309,3,FALSE)=0, "", "x")</f>
        <v/>
      </c>
      <c r="D111" s="43">
        <f t="shared" si="20"/>
        <v>0</v>
      </c>
      <c r="E111" s="44">
        <f t="shared" si="20"/>
        <v>0</v>
      </c>
      <c r="F111" s="45">
        <f>VLOOKUP(A111,'TH theo khach hang'!$A$4:$G$309,4,FALSE)</f>
        <v>0</v>
      </c>
      <c r="G111" s="46">
        <f>VLOOKUP(A111,'TH theo khach hang'!$A$4:$G$309,5,FALSE)</f>
        <v>0</v>
      </c>
      <c r="H111" s="45">
        <f t="shared" si="21"/>
        <v>0</v>
      </c>
      <c r="I111" s="47">
        <f t="shared" si="21"/>
        <v>0</v>
      </c>
      <c r="J111" s="46">
        <v>0</v>
      </c>
      <c r="K111" s="46">
        <v>0</v>
      </c>
      <c r="L111" s="46">
        <v>0</v>
      </c>
      <c r="M111" s="46">
        <v>0</v>
      </c>
      <c r="N111" s="46">
        <v>0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0</v>
      </c>
      <c r="V111" s="46">
        <v>0</v>
      </c>
      <c r="W111" s="46">
        <v>0</v>
      </c>
      <c r="X111" s="46">
        <v>0</v>
      </c>
      <c r="Y111" s="46">
        <v>0</v>
      </c>
      <c r="Z111" s="46">
        <v>0</v>
      </c>
      <c r="AA111" s="46">
        <v>0</v>
      </c>
      <c r="AB111" s="46">
        <v>0</v>
      </c>
      <c r="AC111" s="46">
        <v>0</v>
      </c>
      <c r="AD111" s="46">
        <v>0</v>
      </c>
      <c r="AE111" s="46">
        <v>0</v>
      </c>
      <c r="AF111" s="46">
        <v>0</v>
      </c>
      <c r="AG111" s="46">
        <v>0</v>
      </c>
      <c r="AH111" s="33"/>
    </row>
    <row r="112" spans="1:34" s="34" customFormat="1" hidden="1">
      <c r="A112" s="35" t="s">
        <v>58</v>
      </c>
      <c r="B112" s="26">
        <f>VLOOKUP(A112,'TH theo khach hang'!$A$4:$C$309,2,FALSE)</f>
        <v>0</v>
      </c>
      <c r="C112" s="27" t="str">
        <f>IF(VLOOKUP(A112,'TH theo khach hang'!$A$4:$C$309,3,FALSE)=0, "", "x")</f>
        <v/>
      </c>
      <c r="D112" s="43">
        <f t="shared" si="20"/>
        <v>0</v>
      </c>
      <c r="E112" s="44">
        <f t="shared" si="20"/>
        <v>0</v>
      </c>
      <c r="F112" s="45">
        <f>VLOOKUP(A112,'TH theo khach hang'!$A$4:$G$309,4,FALSE)</f>
        <v>0</v>
      </c>
      <c r="G112" s="46">
        <f>VLOOKUP(A112,'TH theo khach hang'!$A$4:$G$309,5,FALSE)</f>
        <v>0</v>
      </c>
      <c r="H112" s="45">
        <f t="shared" si="21"/>
        <v>0</v>
      </c>
      <c r="I112" s="47">
        <f t="shared" si="21"/>
        <v>0</v>
      </c>
      <c r="J112" s="46">
        <v>0</v>
      </c>
      <c r="K112" s="46">
        <v>0</v>
      </c>
      <c r="L112" s="46">
        <v>0</v>
      </c>
      <c r="M112" s="46">
        <v>0</v>
      </c>
      <c r="N112" s="46">
        <v>0</v>
      </c>
      <c r="O112" s="46">
        <v>0</v>
      </c>
      <c r="P112" s="46">
        <v>0</v>
      </c>
      <c r="Q112" s="46">
        <v>0</v>
      </c>
      <c r="R112" s="46">
        <v>0</v>
      </c>
      <c r="S112" s="46">
        <v>0</v>
      </c>
      <c r="T112" s="46">
        <v>0</v>
      </c>
      <c r="U112" s="46">
        <v>0</v>
      </c>
      <c r="V112" s="46">
        <v>0</v>
      </c>
      <c r="W112" s="46">
        <v>0</v>
      </c>
      <c r="X112" s="46">
        <v>0</v>
      </c>
      <c r="Y112" s="46">
        <v>0</v>
      </c>
      <c r="Z112" s="46">
        <v>0</v>
      </c>
      <c r="AA112" s="46">
        <v>0</v>
      </c>
      <c r="AB112" s="46">
        <v>0</v>
      </c>
      <c r="AC112" s="46">
        <v>0</v>
      </c>
      <c r="AD112" s="46">
        <v>0</v>
      </c>
      <c r="AE112" s="46">
        <v>0</v>
      </c>
      <c r="AF112" s="46">
        <v>0</v>
      </c>
      <c r="AG112" s="46">
        <v>0</v>
      </c>
    </row>
    <row r="113" spans="1:34" s="34" customFormat="1" hidden="1">
      <c r="A113" s="35" t="s">
        <v>59</v>
      </c>
      <c r="B113" s="26">
        <f>VLOOKUP(A113,'TH theo khach hang'!$A$4:$C$309,2,FALSE)</f>
        <v>0</v>
      </c>
      <c r="C113" s="27" t="str">
        <f>IF(VLOOKUP(A113,'TH theo khach hang'!$A$4:$C$309,3,FALSE)=0, "", "x")</f>
        <v/>
      </c>
      <c r="D113" s="43">
        <f t="shared" si="20"/>
        <v>0</v>
      </c>
      <c r="E113" s="44">
        <f t="shared" si="20"/>
        <v>0</v>
      </c>
      <c r="F113" s="45">
        <f>VLOOKUP(A113,'TH theo khach hang'!$A$4:$G$309,4,FALSE)</f>
        <v>0</v>
      </c>
      <c r="G113" s="46">
        <f>VLOOKUP(A113,'TH theo khach hang'!$A$4:$G$309,5,FALSE)</f>
        <v>0</v>
      </c>
      <c r="H113" s="45">
        <f t="shared" si="21"/>
        <v>0</v>
      </c>
      <c r="I113" s="47">
        <f t="shared" si="21"/>
        <v>0</v>
      </c>
      <c r="J113" s="46">
        <v>0</v>
      </c>
      <c r="K113" s="46">
        <v>0</v>
      </c>
      <c r="L113" s="46">
        <v>0</v>
      </c>
      <c r="M113" s="46">
        <v>0</v>
      </c>
      <c r="N113" s="46">
        <v>0</v>
      </c>
      <c r="O113" s="46">
        <v>0</v>
      </c>
      <c r="P113" s="46">
        <v>0</v>
      </c>
      <c r="Q113" s="46">
        <v>0</v>
      </c>
      <c r="R113" s="46">
        <v>0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46">
        <v>0</v>
      </c>
      <c r="Y113" s="46">
        <v>0</v>
      </c>
      <c r="Z113" s="46">
        <v>0</v>
      </c>
      <c r="AA113" s="46">
        <v>0</v>
      </c>
      <c r="AB113" s="46">
        <v>0</v>
      </c>
      <c r="AC113" s="46">
        <v>0</v>
      </c>
      <c r="AD113" s="46">
        <v>0</v>
      </c>
      <c r="AE113" s="46">
        <v>0</v>
      </c>
      <c r="AF113" s="46">
        <v>0</v>
      </c>
      <c r="AG113" s="46">
        <v>0</v>
      </c>
    </row>
    <row r="114" spans="1:34" s="34" customFormat="1" hidden="1">
      <c r="A114" s="35" t="s">
        <v>60</v>
      </c>
      <c r="B114" s="26">
        <f>VLOOKUP(A114,'TH theo khach hang'!$A$4:$C$309,2,FALSE)</f>
        <v>0</v>
      </c>
      <c r="C114" s="27" t="str">
        <f>IF(VLOOKUP(A114,'TH theo khach hang'!$A$4:$C$309,3,FALSE)=0, "", "x")</f>
        <v/>
      </c>
      <c r="D114" s="43">
        <f t="shared" si="20"/>
        <v>0</v>
      </c>
      <c r="E114" s="44">
        <f t="shared" si="20"/>
        <v>0</v>
      </c>
      <c r="F114" s="45">
        <f>VLOOKUP(A114,'TH theo khach hang'!$A$4:$G$309,4,FALSE)</f>
        <v>0</v>
      </c>
      <c r="G114" s="46">
        <f>VLOOKUP(A114,'TH theo khach hang'!$A$4:$G$309,5,FALSE)</f>
        <v>0</v>
      </c>
      <c r="H114" s="45">
        <f t="shared" si="21"/>
        <v>0</v>
      </c>
      <c r="I114" s="47">
        <f t="shared" si="21"/>
        <v>0</v>
      </c>
      <c r="J114" s="46">
        <v>0</v>
      </c>
      <c r="K114" s="46">
        <v>0</v>
      </c>
      <c r="L114" s="46">
        <v>0</v>
      </c>
      <c r="M114" s="46">
        <v>0</v>
      </c>
      <c r="N114" s="46">
        <v>0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6">
        <v>0</v>
      </c>
      <c r="U114" s="46">
        <v>0</v>
      </c>
      <c r="V114" s="46">
        <v>0</v>
      </c>
      <c r="W114" s="46">
        <v>0</v>
      </c>
      <c r="X114" s="46">
        <v>0</v>
      </c>
      <c r="Y114" s="46">
        <v>0</v>
      </c>
      <c r="Z114" s="46">
        <v>0</v>
      </c>
      <c r="AA114" s="46">
        <v>0</v>
      </c>
      <c r="AB114" s="46">
        <v>0</v>
      </c>
      <c r="AC114" s="46">
        <v>0</v>
      </c>
      <c r="AD114" s="46">
        <v>0</v>
      </c>
      <c r="AE114" s="46">
        <v>0</v>
      </c>
      <c r="AF114" s="46">
        <v>0</v>
      </c>
      <c r="AG114" s="46">
        <v>0</v>
      </c>
      <c r="AH114" s="33"/>
    </row>
    <row r="115" spans="1:34" s="34" customFormat="1" hidden="1">
      <c r="A115" s="35" t="s">
        <v>61</v>
      </c>
      <c r="B115" s="26">
        <f>VLOOKUP(A115,'TH theo khach hang'!$A$4:$C$309,2,FALSE)</f>
        <v>0</v>
      </c>
      <c r="C115" s="27" t="str">
        <f>IF(VLOOKUP(A115,'TH theo khach hang'!$A$4:$C$309,3,FALSE)=0, "", "x")</f>
        <v/>
      </c>
      <c r="D115" s="43">
        <f t="shared" si="20"/>
        <v>0</v>
      </c>
      <c r="E115" s="44">
        <f t="shared" si="20"/>
        <v>0</v>
      </c>
      <c r="F115" s="45">
        <f>VLOOKUP(A115,'TH theo khach hang'!$A$4:$G$309,4,FALSE)</f>
        <v>0</v>
      </c>
      <c r="G115" s="46">
        <f>VLOOKUP(A115,'TH theo khach hang'!$A$4:$G$309,5,FALSE)</f>
        <v>0</v>
      </c>
      <c r="H115" s="45">
        <f t="shared" si="21"/>
        <v>0</v>
      </c>
      <c r="I115" s="47">
        <f t="shared" si="21"/>
        <v>0</v>
      </c>
      <c r="J115" s="46">
        <v>0</v>
      </c>
      <c r="K115" s="46">
        <v>0</v>
      </c>
      <c r="L115" s="46">
        <v>0</v>
      </c>
      <c r="M115" s="46">
        <v>0</v>
      </c>
      <c r="N115" s="46">
        <v>0</v>
      </c>
      <c r="O115" s="46">
        <v>0</v>
      </c>
      <c r="P115" s="46">
        <v>0</v>
      </c>
      <c r="Q115" s="46">
        <v>0</v>
      </c>
      <c r="R115" s="46">
        <v>0</v>
      </c>
      <c r="S115" s="46">
        <v>0</v>
      </c>
      <c r="T115" s="46">
        <v>0</v>
      </c>
      <c r="U115" s="46">
        <v>0</v>
      </c>
      <c r="V115" s="46">
        <v>0</v>
      </c>
      <c r="W115" s="46">
        <v>0</v>
      </c>
      <c r="X115" s="46">
        <v>0</v>
      </c>
      <c r="Y115" s="46">
        <v>0</v>
      </c>
      <c r="Z115" s="46">
        <v>0</v>
      </c>
      <c r="AA115" s="46">
        <v>0</v>
      </c>
      <c r="AB115" s="46">
        <v>0</v>
      </c>
      <c r="AC115" s="46">
        <v>0</v>
      </c>
      <c r="AD115" s="46">
        <v>0</v>
      </c>
      <c r="AE115" s="46">
        <v>0</v>
      </c>
      <c r="AF115" s="46">
        <v>0</v>
      </c>
      <c r="AG115" s="46">
        <v>0</v>
      </c>
    </row>
    <row r="116" spans="1:34" s="34" customFormat="1" hidden="1">
      <c r="A116" s="35" t="s">
        <v>62</v>
      </c>
      <c r="B116" s="26">
        <f>VLOOKUP(A116,'TH theo khach hang'!$A$4:$C$309,2,FALSE)</f>
        <v>0</v>
      </c>
      <c r="C116" s="27" t="str">
        <f>IF(VLOOKUP(A116,'TH theo khach hang'!$A$4:$C$309,3,FALSE)=0, "", "x")</f>
        <v/>
      </c>
      <c r="D116" s="43">
        <f t="shared" si="20"/>
        <v>0</v>
      </c>
      <c r="E116" s="44">
        <f t="shared" si="20"/>
        <v>0</v>
      </c>
      <c r="F116" s="45">
        <f>VLOOKUP(A116,'TH theo khach hang'!$A$4:$G$309,4,FALSE)</f>
        <v>0</v>
      </c>
      <c r="G116" s="46">
        <f>VLOOKUP(A116,'TH theo khach hang'!$A$4:$G$309,5,FALSE)</f>
        <v>0</v>
      </c>
      <c r="H116" s="45">
        <f t="shared" si="21"/>
        <v>0</v>
      </c>
      <c r="I116" s="47">
        <f t="shared" si="21"/>
        <v>0</v>
      </c>
      <c r="J116" s="46">
        <v>0</v>
      </c>
      <c r="K116" s="46">
        <v>0</v>
      </c>
      <c r="L116" s="46">
        <v>0</v>
      </c>
      <c r="M116" s="46">
        <v>0</v>
      </c>
      <c r="N116" s="46">
        <v>0</v>
      </c>
      <c r="O116" s="46">
        <v>0</v>
      </c>
      <c r="P116" s="46">
        <v>0</v>
      </c>
      <c r="Q116" s="46">
        <v>0</v>
      </c>
      <c r="R116" s="46">
        <v>0</v>
      </c>
      <c r="S116" s="46">
        <v>0</v>
      </c>
      <c r="T116" s="46">
        <v>0</v>
      </c>
      <c r="U116" s="46">
        <v>0</v>
      </c>
      <c r="V116" s="46">
        <v>0</v>
      </c>
      <c r="W116" s="46">
        <v>0</v>
      </c>
      <c r="X116" s="46">
        <v>0</v>
      </c>
      <c r="Y116" s="46">
        <v>0</v>
      </c>
      <c r="Z116" s="46">
        <v>0</v>
      </c>
      <c r="AA116" s="46">
        <v>0</v>
      </c>
      <c r="AB116" s="46">
        <v>0</v>
      </c>
      <c r="AC116" s="46">
        <v>0</v>
      </c>
      <c r="AD116" s="46">
        <v>0</v>
      </c>
      <c r="AE116" s="46">
        <v>0</v>
      </c>
      <c r="AF116" s="46">
        <v>0</v>
      </c>
      <c r="AG116" s="46">
        <v>0</v>
      </c>
    </row>
    <row r="117" spans="1:34" s="34" customFormat="1" hidden="1">
      <c r="A117" s="35" t="s">
        <v>63</v>
      </c>
      <c r="B117" s="26">
        <f>VLOOKUP(A117,'TH theo khach hang'!$A$4:$C$309,2,FALSE)</f>
        <v>0</v>
      </c>
      <c r="C117" s="27" t="str">
        <f>IF(VLOOKUP(A117,'TH theo khach hang'!$A$4:$C$309,3,FALSE)=0, "", "x")</f>
        <v/>
      </c>
      <c r="D117" s="43">
        <f t="shared" si="20"/>
        <v>0</v>
      </c>
      <c r="E117" s="44">
        <f t="shared" si="20"/>
        <v>0</v>
      </c>
      <c r="F117" s="45">
        <f>VLOOKUP(A117,'TH theo khach hang'!$A$4:$G$309,4,FALSE)</f>
        <v>0</v>
      </c>
      <c r="G117" s="46">
        <f>VLOOKUP(A117,'TH theo khach hang'!$A$4:$G$309,5,FALSE)</f>
        <v>0</v>
      </c>
      <c r="H117" s="45">
        <f t="shared" si="21"/>
        <v>0</v>
      </c>
      <c r="I117" s="47">
        <f t="shared" si="21"/>
        <v>0</v>
      </c>
      <c r="J117" s="46">
        <v>0</v>
      </c>
      <c r="K117" s="46"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6">
        <v>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0</v>
      </c>
      <c r="AF117" s="46">
        <v>0</v>
      </c>
      <c r="AG117" s="46">
        <v>0</v>
      </c>
      <c r="AH117" s="33"/>
    </row>
    <row r="118" spans="1:34" hidden="1">
      <c r="A118" s="35" t="s">
        <v>64</v>
      </c>
      <c r="B118" s="26">
        <f>VLOOKUP(A118,'TH theo khach hang'!$A$4:$C$309,2,FALSE)</f>
        <v>0</v>
      </c>
      <c r="C118" s="27" t="str">
        <f>IF(VLOOKUP(A118,'TH theo khach hang'!$A$4:$C$309,3,FALSE)=0, "", "x")</f>
        <v/>
      </c>
      <c r="D118" s="43">
        <f t="shared" si="20"/>
        <v>0</v>
      </c>
      <c r="E118" s="44">
        <f t="shared" si="20"/>
        <v>0</v>
      </c>
      <c r="F118" s="45">
        <f>VLOOKUP(A118,'TH theo khach hang'!$A$4:$G$309,4,FALSE)</f>
        <v>0</v>
      </c>
      <c r="G118" s="46">
        <f>VLOOKUP(A118,'TH theo khach hang'!$A$4:$G$309,5,FALSE)</f>
        <v>0</v>
      </c>
      <c r="H118" s="45">
        <f t="shared" si="21"/>
        <v>0</v>
      </c>
      <c r="I118" s="47">
        <f t="shared" si="21"/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  <c r="S118" s="46">
        <v>0</v>
      </c>
      <c r="T118" s="46">
        <v>0</v>
      </c>
      <c r="U118" s="46">
        <v>0</v>
      </c>
      <c r="V118" s="46">
        <v>0</v>
      </c>
      <c r="W118" s="46">
        <v>0</v>
      </c>
      <c r="X118" s="46">
        <v>0</v>
      </c>
      <c r="Y118" s="46">
        <v>0</v>
      </c>
      <c r="Z118" s="46">
        <v>0</v>
      </c>
      <c r="AA118" s="46">
        <v>0</v>
      </c>
      <c r="AB118" s="46">
        <v>0</v>
      </c>
      <c r="AC118" s="46">
        <v>0</v>
      </c>
      <c r="AD118" s="46">
        <v>0</v>
      </c>
      <c r="AE118" s="46">
        <v>0</v>
      </c>
      <c r="AF118" s="46">
        <v>0</v>
      </c>
      <c r="AG118" s="46">
        <v>0</v>
      </c>
    </row>
    <row r="119" spans="1:34" hidden="1">
      <c r="A119" s="35" t="s">
        <v>65</v>
      </c>
      <c r="B119" s="26">
        <f>VLOOKUP(A119,'TH theo khach hang'!$A$4:$C$309,2,FALSE)</f>
        <v>0</v>
      </c>
      <c r="C119" s="27" t="str">
        <f>IF(VLOOKUP(A119,'TH theo khach hang'!$A$4:$C$309,3,FALSE)=0, "", "x")</f>
        <v/>
      </c>
      <c r="D119" s="43">
        <f t="shared" si="20"/>
        <v>0</v>
      </c>
      <c r="E119" s="44">
        <f t="shared" si="20"/>
        <v>0</v>
      </c>
      <c r="F119" s="45">
        <f>VLOOKUP(A119,'TH theo khach hang'!$A$4:$G$309,4,FALSE)</f>
        <v>0</v>
      </c>
      <c r="G119" s="46">
        <f>VLOOKUP(A119,'TH theo khach hang'!$A$4:$G$309,5,FALSE)</f>
        <v>0</v>
      </c>
      <c r="H119" s="45">
        <f t="shared" si="21"/>
        <v>0</v>
      </c>
      <c r="I119" s="47">
        <f t="shared" si="21"/>
        <v>0</v>
      </c>
      <c r="J119" s="46">
        <v>0</v>
      </c>
      <c r="K119" s="46">
        <v>0</v>
      </c>
      <c r="L119" s="46">
        <v>0</v>
      </c>
      <c r="M119" s="46">
        <v>0</v>
      </c>
      <c r="N119" s="46">
        <v>0</v>
      </c>
      <c r="O119" s="46">
        <v>0</v>
      </c>
      <c r="P119" s="46">
        <v>0</v>
      </c>
      <c r="Q119" s="46">
        <v>0</v>
      </c>
      <c r="R119" s="46">
        <v>0</v>
      </c>
      <c r="S119" s="46">
        <v>0</v>
      </c>
      <c r="T119" s="46">
        <v>0</v>
      </c>
      <c r="U119" s="46">
        <v>0</v>
      </c>
      <c r="V119" s="46">
        <v>0</v>
      </c>
      <c r="W119" s="46">
        <v>0</v>
      </c>
      <c r="X119" s="46">
        <v>0</v>
      </c>
      <c r="Y119" s="46">
        <v>0</v>
      </c>
      <c r="Z119" s="46">
        <v>0</v>
      </c>
      <c r="AA119" s="46">
        <v>0</v>
      </c>
      <c r="AB119" s="46">
        <v>0</v>
      </c>
      <c r="AC119" s="46">
        <v>0</v>
      </c>
      <c r="AD119" s="46">
        <v>0</v>
      </c>
      <c r="AE119" s="46">
        <v>0</v>
      </c>
      <c r="AF119" s="46">
        <v>0</v>
      </c>
      <c r="AG119" s="46">
        <v>0</v>
      </c>
    </row>
    <row r="120" spans="1:34" hidden="1">
      <c r="A120" s="35" t="s">
        <v>66</v>
      </c>
      <c r="B120" s="26">
        <f>VLOOKUP(A120,'TH theo khach hang'!$A$4:$C$309,2,FALSE)</f>
        <v>0</v>
      </c>
      <c r="C120" s="27" t="str">
        <f>IF(VLOOKUP(A120,'TH theo khach hang'!$A$4:$C$309,3,FALSE)=0, "", "x")</f>
        <v/>
      </c>
      <c r="D120" s="43">
        <f t="shared" si="20"/>
        <v>0</v>
      </c>
      <c r="E120" s="44">
        <f t="shared" si="20"/>
        <v>0</v>
      </c>
      <c r="F120" s="45">
        <f>VLOOKUP(A120,'TH theo khach hang'!$A$4:$G$309,4,FALSE)</f>
        <v>0</v>
      </c>
      <c r="G120" s="46">
        <f>VLOOKUP(A120,'TH theo khach hang'!$A$4:$G$309,5,FALSE)</f>
        <v>0</v>
      </c>
      <c r="H120" s="45">
        <f t="shared" si="21"/>
        <v>0</v>
      </c>
      <c r="I120" s="47">
        <f t="shared" si="21"/>
        <v>0</v>
      </c>
      <c r="J120" s="46">
        <v>0</v>
      </c>
      <c r="K120" s="46">
        <v>0</v>
      </c>
      <c r="L120" s="46">
        <v>0</v>
      </c>
      <c r="M120" s="46">
        <v>0</v>
      </c>
      <c r="N120" s="46">
        <v>0</v>
      </c>
      <c r="O120" s="46">
        <v>0</v>
      </c>
      <c r="P120" s="46">
        <v>0</v>
      </c>
      <c r="Q120" s="46">
        <v>0</v>
      </c>
      <c r="R120" s="46">
        <v>0</v>
      </c>
      <c r="S120" s="46">
        <v>0</v>
      </c>
      <c r="T120" s="46">
        <v>0</v>
      </c>
      <c r="U120" s="46">
        <v>0</v>
      </c>
      <c r="V120" s="46">
        <v>0</v>
      </c>
      <c r="W120" s="46">
        <v>0</v>
      </c>
      <c r="X120" s="46">
        <v>0</v>
      </c>
      <c r="Y120" s="46">
        <v>0</v>
      </c>
      <c r="Z120" s="46">
        <v>0</v>
      </c>
      <c r="AA120" s="46">
        <v>0</v>
      </c>
      <c r="AB120" s="46">
        <v>0</v>
      </c>
      <c r="AC120" s="46">
        <v>0</v>
      </c>
      <c r="AD120" s="46">
        <v>0</v>
      </c>
      <c r="AE120" s="46">
        <v>0</v>
      </c>
      <c r="AF120" s="46">
        <v>0</v>
      </c>
      <c r="AG120" s="46">
        <v>0</v>
      </c>
    </row>
    <row r="121" spans="1:34" hidden="1">
      <c r="A121" s="35" t="s">
        <v>67</v>
      </c>
      <c r="B121" s="26">
        <f>VLOOKUP(A121,'TH theo khach hang'!$A$4:$C$309,2,FALSE)</f>
        <v>0</v>
      </c>
      <c r="C121" s="27" t="str">
        <f>IF(VLOOKUP(A121,'TH theo khach hang'!$A$4:$C$309,3,FALSE)=0, "", "x")</f>
        <v/>
      </c>
      <c r="D121" s="43">
        <f t="shared" si="20"/>
        <v>0</v>
      </c>
      <c r="E121" s="44">
        <f t="shared" si="20"/>
        <v>0</v>
      </c>
      <c r="F121" s="45">
        <f>VLOOKUP(A121,'TH theo khach hang'!$A$4:$G$309,4,FALSE)</f>
        <v>0</v>
      </c>
      <c r="G121" s="46">
        <f>VLOOKUP(A121,'TH theo khach hang'!$A$4:$G$309,5,FALSE)</f>
        <v>0</v>
      </c>
      <c r="H121" s="45">
        <f t="shared" si="21"/>
        <v>0</v>
      </c>
      <c r="I121" s="47">
        <f t="shared" si="21"/>
        <v>0</v>
      </c>
      <c r="J121" s="46">
        <v>0</v>
      </c>
      <c r="K121" s="46">
        <v>0</v>
      </c>
      <c r="L121" s="46">
        <v>0</v>
      </c>
      <c r="M121" s="46">
        <v>0</v>
      </c>
      <c r="N121" s="46">
        <v>0</v>
      </c>
      <c r="O121" s="46">
        <v>0</v>
      </c>
      <c r="P121" s="46">
        <v>0</v>
      </c>
      <c r="Q121" s="46">
        <v>0</v>
      </c>
      <c r="R121" s="46">
        <v>0</v>
      </c>
      <c r="S121" s="46">
        <v>0</v>
      </c>
      <c r="T121" s="46">
        <v>0</v>
      </c>
      <c r="U121" s="46">
        <v>0</v>
      </c>
      <c r="V121" s="46">
        <v>0</v>
      </c>
      <c r="W121" s="46">
        <v>0</v>
      </c>
      <c r="X121" s="46">
        <v>0</v>
      </c>
      <c r="Y121" s="46">
        <v>0</v>
      </c>
      <c r="Z121" s="46">
        <v>0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</row>
    <row r="122" spans="1:34" hidden="1">
      <c r="A122" s="35" t="s">
        <v>68</v>
      </c>
      <c r="B122" s="26">
        <f>VLOOKUP(A122,'TH theo khach hang'!$A$4:$C$309,2,FALSE)</f>
        <v>0</v>
      </c>
      <c r="C122" s="27" t="str">
        <f>IF(VLOOKUP(A122,'TH theo khach hang'!$A$4:$C$309,3,FALSE)=0, "", "x")</f>
        <v/>
      </c>
      <c r="D122" s="43">
        <f t="shared" si="20"/>
        <v>0</v>
      </c>
      <c r="E122" s="44">
        <f t="shared" si="20"/>
        <v>0</v>
      </c>
      <c r="F122" s="45">
        <f>VLOOKUP(A122,'TH theo khach hang'!$A$4:$G$309,4,FALSE)</f>
        <v>0</v>
      </c>
      <c r="G122" s="46">
        <f>VLOOKUP(A122,'TH theo khach hang'!$A$4:$G$309,5,FALSE)</f>
        <v>0</v>
      </c>
      <c r="H122" s="45">
        <f t="shared" si="21"/>
        <v>0</v>
      </c>
      <c r="I122" s="47">
        <f t="shared" si="21"/>
        <v>0</v>
      </c>
      <c r="J122" s="46">
        <v>0</v>
      </c>
      <c r="K122" s="46">
        <v>0</v>
      </c>
      <c r="L122" s="46">
        <v>0</v>
      </c>
      <c r="M122" s="46">
        <v>0</v>
      </c>
      <c r="N122" s="46">
        <v>0</v>
      </c>
      <c r="O122" s="46">
        <v>0</v>
      </c>
      <c r="P122" s="46">
        <v>0</v>
      </c>
      <c r="Q122" s="46">
        <v>0</v>
      </c>
      <c r="R122" s="46">
        <v>0</v>
      </c>
      <c r="S122" s="46">
        <v>0</v>
      </c>
      <c r="T122" s="46">
        <v>0</v>
      </c>
      <c r="U122" s="46">
        <v>0</v>
      </c>
      <c r="V122" s="46">
        <v>0</v>
      </c>
      <c r="W122" s="46">
        <v>0</v>
      </c>
      <c r="X122" s="46">
        <v>0</v>
      </c>
      <c r="Y122" s="46">
        <v>0</v>
      </c>
      <c r="Z122" s="46">
        <v>0</v>
      </c>
      <c r="AA122" s="46">
        <v>0</v>
      </c>
      <c r="AB122" s="46">
        <v>0</v>
      </c>
      <c r="AC122" s="46">
        <v>0</v>
      </c>
      <c r="AD122" s="46">
        <v>0</v>
      </c>
      <c r="AE122" s="46">
        <v>0</v>
      </c>
      <c r="AF122" s="46">
        <v>0</v>
      </c>
      <c r="AG122" s="46">
        <v>0</v>
      </c>
    </row>
    <row r="123" spans="1:34" s="34" customFormat="1" hidden="1">
      <c r="A123" s="35" t="s">
        <v>88</v>
      </c>
      <c r="B123" s="26">
        <f>VLOOKUP(A123,'TH theo khach hang'!$A$4:$C$309,2,FALSE)</f>
        <v>0</v>
      </c>
      <c r="C123" s="27" t="str">
        <f>IF(VLOOKUP(A123,'TH theo khach hang'!$A$4:$C$309,3,FALSE)=0, "", "x")</f>
        <v/>
      </c>
      <c r="D123" s="43">
        <f t="shared" si="20"/>
        <v>0</v>
      </c>
      <c r="E123" s="44">
        <f t="shared" si="20"/>
        <v>0</v>
      </c>
      <c r="F123" s="45">
        <f>VLOOKUP(A123,'TH theo khach hang'!$A$4:$G$309,4,FALSE)</f>
        <v>0</v>
      </c>
      <c r="G123" s="46">
        <f>VLOOKUP(A123,'TH theo khach hang'!$A$4:$G$309,5,FALSE)</f>
        <v>0</v>
      </c>
      <c r="H123" s="45">
        <f t="shared" si="21"/>
        <v>0</v>
      </c>
      <c r="I123" s="47">
        <f t="shared" si="21"/>
        <v>0</v>
      </c>
      <c r="J123" s="46">
        <v>0</v>
      </c>
      <c r="K123" s="46">
        <v>0</v>
      </c>
      <c r="L123" s="46">
        <v>0</v>
      </c>
      <c r="M123" s="46">
        <v>0</v>
      </c>
      <c r="N123" s="46">
        <v>0</v>
      </c>
      <c r="O123" s="46">
        <v>0</v>
      </c>
      <c r="P123" s="46">
        <v>0</v>
      </c>
      <c r="Q123" s="46">
        <v>0</v>
      </c>
      <c r="R123" s="46">
        <v>0</v>
      </c>
      <c r="S123" s="46">
        <v>0</v>
      </c>
      <c r="T123" s="46">
        <v>0</v>
      </c>
      <c r="U123" s="46">
        <v>0</v>
      </c>
      <c r="V123" s="46">
        <v>0</v>
      </c>
      <c r="W123" s="46">
        <v>0</v>
      </c>
      <c r="X123" s="46">
        <v>0</v>
      </c>
      <c r="Y123" s="46">
        <v>0</v>
      </c>
      <c r="Z123" s="46">
        <v>0</v>
      </c>
      <c r="AA123" s="46">
        <v>0</v>
      </c>
      <c r="AB123" s="46">
        <v>0</v>
      </c>
      <c r="AC123" s="46">
        <v>0</v>
      </c>
      <c r="AD123" s="46">
        <v>0</v>
      </c>
      <c r="AE123" s="46">
        <v>0</v>
      </c>
      <c r="AF123" s="46">
        <v>0</v>
      </c>
      <c r="AG123" s="46">
        <v>0</v>
      </c>
      <c r="AH123" s="33"/>
    </row>
    <row r="124" spans="1:34" s="34" customFormat="1" hidden="1">
      <c r="A124" s="35" t="s">
        <v>89</v>
      </c>
      <c r="B124" s="26">
        <f>VLOOKUP(A124,'TH theo khach hang'!$A$4:$C$309,2,FALSE)</f>
        <v>0</v>
      </c>
      <c r="C124" s="27" t="str">
        <f>IF(VLOOKUP(A124,'TH theo khach hang'!$A$4:$C$309,3,FALSE)=0, "", "x")</f>
        <v/>
      </c>
      <c r="D124" s="43">
        <f t="shared" ref="D124:E139" si="22">F124-H124</f>
        <v>0</v>
      </c>
      <c r="E124" s="44">
        <f t="shared" si="22"/>
        <v>0</v>
      </c>
      <c r="F124" s="45">
        <f>VLOOKUP(A124,'TH theo khach hang'!$A$4:$G$309,4,FALSE)</f>
        <v>0</v>
      </c>
      <c r="G124" s="46">
        <f>VLOOKUP(A124,'TH theo khach hang'!$A$4:$G$309,5,FALSE)</f>
        <v>0</v>
      </c>
      <c r="H124" s="45">
        <f t="shared" ref="H124:I139" si="23">J124+L124+N124+P124+R124+T124+V124+X124+Z124+AB124+AD124+AF124</f>
        <v>0</v>
      </c>
      <c r="I124" s="47">
        <f t="shared" si="23"/>
        <v>0</v>
      </c>
      <c r="J124" s="46">
        <v>0</v>
      </c>
      <c r="K124" s="46">
        <v>0</v>
      </c>
      <c r="L124" s="46">
        <v>0</v>
      </c>
      <c r="M124" s="46">
        <v>0</v>
      </c>
      <c r="N124" s="46">
        <v>0</v>
      </c>
      <c r="O124" s="46">
        <v>0</v>
      </c>
      <c r="P124" s="46">
        <v>0</v>
      </c>
      <c r="Q124" s="46">
        <v>0</v>
      </c>
      <c r="R124" s="46">
        <v>0</v>
      </c>
      <c r="S124" s="46">
        <v>0</v>
      </c>
      <c r="T124" s="46">
        <v>0</v>
      </c>
      <c r="U124" s="46">
        <v>0</v>
      </c>
      <c r="V124" s="46">
        <v>0</v>
      </c>
      <c r="W124" s="46">
        <v>0</v>
      </c>
      <c r="X124" s="46">
        <v>0</v>
      </c>
      <c r="Y124" s="46">
        <v>0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6">
        <v>0</v>
      </c>
      <c r="AF124" s="46">
        <v>0</v>
      </c>
      <c r="AG124" s="46">
        <v>0</v>
      </c>
    </row>
    <row r="125" spans="1:34" s="34" customFormat="1" hidden="1">
      <c r="A125" s="35" t="s">
        <v>90</v>
      </c>
      <c r="B125" s="26">
        <f>VLOOKUP(A125,'TH theo khach hang'!$A$4:$C$309,2,FALSE)</f>
        <v>0</v>
      </c>
      <c r="C125" s="27" t="str">
        <f>IF(VLOOKUP(A125,'TH theo khach hang'!$A$4:$C$309,3,FALSE)=0, "", "x")</f>
        <v/>
      </c>
      <c r="D125" s="43">
        <f t="shared" si="22"/>
        <v>0</v>
      </c>
      <c r="E125" s="44">
        <f t="shared" si="22"/>
        <v>0</v>
      </c>
      <c r="F125" s="45">
        <f>VLOOKUP(A125,'TH theo khach hang'!$A$4:$G$309,4,FALSE)</f>
        <v>0</v>
      </c>
      <c r="G125" s="46">
        <f>VLOOKUP(A125,'TH theo khach hang'!$A$4:$G$309,5,FALSE)</f>
        <v>0</v>
      </c>
      <c r="H125" s="45">
        <f t="shared" si="23"/>
        <v>0</v>
      </c>
      <c r="I125" s="47">
        <f t="shared" si="23"/>
        <v>0</v>
      </c>
      <c r="J125" s="46">
        <v>0</v>
      </c>
      <c r="K125" s="46"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6">
        <v>0</v>
      </c>
      <c r="Y125" s="46">
        <v>0</v>
      </c>
      <c r="Z125" s="46">
        <v>0</v>
      </c>
      <c r="AA125" s="46">
        <v>0</v>
      </c>
      <c r="AB125" s="46">
        <v>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</row>
    <row r="126" spans="1:34" s="34" customFormat="1" hidden="1">
      <c r="A126" s="35" t="s">
        <v>91</v>
      </c>
      <c r="B126" s="26">
        <f>VLOOKUP(A126,'TH theo khach hang'!$A$4:$C$309,2,FALSE)</f>
        <v>0</v>
      </c>
      <c r="C126" s="27" t="str">
        <f>IF(VLOOKUP(A126,'TH theo khach hang'!$A$4:$C$309,3,FALSE)=0, "", "x")</f>
        <v/>
      </c>
      <c r="D126" s="43">
        <f t="shared" si="22"/>
        <v>0</v>
      </c>
      <c r="E126" s="44">
        <f t="shared" si="22"/>
        <v>0</v>
      </c>
      <c r="F126" s="45">
        <f>VLOOKUP(A126,'TH theo khach hang'!$A$4:$G$309,4,FALSE)</f>
        <v>0</v>
      </c>
      <c r="G126" s="46">
        <f>VLOOKUP(A126,'TH theo khach hang'!$A$4:$G$309,5,FALSE)</f>
        <v>0</v>
      </c>
      <c r="H126" s="45">
        <f t="shared" si="23"/>
        <v>0</v>
      </c>
      <c r="I126" s="47">
        <f t="shared" si="23"/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46">
        <v>0</v>
      </c>
      <c r="Y126" s="46">
        <v>0</v>
      </c>
      <c r="Z126" s="46">
        <v>0</v>
      </c>
      <c r="AA126" s="46">
        <v>0</v>
      </c>
      <c r="AB126" s="46">
        <v>0</v>
      </c>
      <c r="AC126" s="46">
        <v>0</v>
      </c>
      <c r="AD126" s="46">
        <v>0</v>
      </c>
      <c r="AE126" s="46">
        <v>0</v>
      </c>
      <c r="AF126" s="46">
        <v>0</v>
      </c>
      <c r="AG126" s="46">
        <v>0</v>
      </c>
      <c r="AH126" s="33"/>
    </row>
    <row r="127" spans="1:34" s="34" customFormat="1" hidden="1">
      <c r="A127" s="35" t="s">
        <v>92</v>
      </c>
      <c r="B127" s="26">
        <f>VLOOKUP(A127,'TH theo khach hang'!$A$4:$C$309,2,FALSE)</f>
        <v>0</v>
      </c>
      <c r="C127" s="27" t="str">
        <f>IF(VLOOKUP(A127,'TH theo khach hang'!$A$4:$C$309,3,FALSE)=0, "", "x")</f>
        <v/>
      </c>
      <c r="D127" s="43">
        <f t="shared" si="22"/>
        <v>0</v>
      </c>
      <c r="E127" s="44">
        <f t="shared" si="22"/>
        <v>0</v>
      </c>
      <c r="F127" s="45">
        <f>VLOOKUP(A127,'TH theo khach hang'!$A$4:$G$309,4,FALSE)</f>
        <v>0</v>
      </c>
      <c r="G127" s="46">
        <f>VLOOKUP(A127,'TH theo khach hang'!$A$4:$G$309,5,FALSE)</f>
        <v>0</v>
      </c>
      <c r="H127" s="45">
        <f t="shared" si="23"/>
        <v>0</v>
      </c>
      <c r="I127" s="47">
        <f t="shared" si="23"/>
        <v>0</v>
      </c>
      <c r="J127" s="46">
        <v>0</v>
      </c>
      <c r="K127" s="46"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6"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</row>
    <row r="128" spans="1:34" s="34" customFormat="1" hidden="1">
      <c r="A128" s="35" t="s">
        <v>93</v>
      </c>
      <c r="B128" s="26">
        <f>VLOOKUP(A128,'TH theo khach hang'!$A$4:$C$309,2,FALSE)</f>
        <v>0</v>
      </c>
      <c r="C128" s="27" t="str">
        <f>IF(VLOOKUP(A128,'TH theo khach hang'!$A$4:$C$309,3,FALSE)=0, "", "x")</f>
        <v/>
      </c>
      <c r="D128" s="43">
        <f t="shared" si="22"/>
        <v>0</v>
      </c>
      <c r="E128" s="44">
        <f t="shared" si="22"/>
        <v>0</v>
      </c>
      <c r="F128" s="45">
        <f>VLOOKUP(A128,'TH theo khach hang'!$A$4:$G$309,4,FALSE)</f>
        <v>0</v>
      </c>
      <c r="G128" s="46">
        <f>VLOOKUP(A128,'TH theo khach hang'!$A$4:$G$309,5,FALSE)</f>
        <v>0</v>
      </c>
      <c r="H128" s="45">
        <f t="shared" si="23"/>
        <v>0</v>
      </c>
      <c r="I128" s="47">
        <f t="shared" si="23"/>
        <v>0</v>
      </c>
      <c r="J128" s="46">
        <v>0</v>
      </c>
      <c r="K128" s="46">
        <v>0</v>
      </c>
      <c r="L128" s="46">
        <v>0</v>
      </c>
      <c r="M128" s="46">
        <v>0</v>
      </c>
      <c r="N128" s="46">
        <v>0</v>
      </c>
      <c r="O128" s="46">
        <v>0</v>
      </c>
      <c r="P128" s="46">
        <v>0</v>
      </c>
      <c r="Q128" s="46">
        <v>0</v>
      </c>
      <c r="R128" s="46">
        <v>0</v>
      </c>
      <c r="S128" s="46">
        <v>0</v>
      </c>
      <c r="T128" s="46">
        <v>0</v>
      </c>
      <c r="U128" s="46">
        <v>0</v>
      </c>
      <c r="V128" s="46">
        <v>0</v>
      </c>
      <c r="W128" s="46">
        <v>0</v>
      </c>
      <c r="X128" s="46">
        <v>0</v>
      </c>
      <c r="Y128" s="46">
        <v>0</v>
      </c>
      <c r="Z128" s="46">
        <v>0</v>
      </c>
      <c r="AA128" s="46">
        <v>0</v>
      </c>
      <c r="AB128" s="46">
        <v>0</v>
      </c>
      <c r="AC128" s="46">
        <v>0</v>
      </c>
      <c r="AD128" s="46">
        <v>0</v>
      </c>
      <c r="AE128" s="46">
        <v>0</v>
      </c>
      <c r="AF128" s="46">
        <v>0</v>
      </c>
      <c r="AG128" s="46">
        <v>0</v>
      </c>
    </row>
    <row r="129" spans="1:34" s="34" customFormat="1" hidden="1">
      <c r="A129" s="35" t="s">
        <v>94</v>
      </c>
      <c r="B129" s="26">
        <f>VLOOKUP(A129,'TH theo khach hang'!$A$4:$C$309,2,FALSE)</f>
        <v>0</v>
      </c>
      <c r="C129" s="27" t="str">
        <f>IF(VLOOKUP(A129,'TH theo khach hang'!$A$4:$C$309,3,FALSE)=0, "", "x")</f>
        <v/>
      </c>
      <c r="D129" s="43">
        <f t="shared" si="22"/>
        <v>0</v>
      </c>
      <c r="E129" s="44">
        <f t="shared" si="22"/>
        <v>0</v>
      </c>
      <c r="F129" s="45">
        <f>VLOOKUP(A129,'TH theo khach hang'!$A$4:$G$309,4,FALSE)</f>
        <v>0</v>
      </c>
      <c r="G129" s="46">
        <f>VLOOKUP(A129,'TH theo khach hang'!$A$4:$G$309,5,FALSE)</f>
        <v>0</v>
      </c>
      <c r="H129" s="45">
        <f t="shared" si="23"/>
        <v>0</v>
      </c>
      <c r="I129" s="47">
        <f t="shared" si="23"/>
        <v>0</v>
      </c>
      <c r="J129" s="46">
        <v>0</v>
      </c>
      <c r="K129" s="46"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6">
        <v>0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33"/>
    </row>
    <row r="130" spans="1:34" hidden="1">
      <c r="A130" s="35" t="s">
        <v>95</v>
      </c>
      <c r="B130" s="26">
        <f>VLOOKUP(A130,'TH theo khach hang'!$A$4:$C$309,2,FALSE)</f>
        <v>0</v>
      </c>
      <c r="C130" s="27" t="str">
        <f>IF(VLOOKUP(A130,'TH theo khach hang'!$A$4:$C$309,3,FALSE)=0, "", "x")</f>
        <v/>
      </c>
      <c r="D130" s="43">
        <f t="shared" si="22"/>
        <v>0</v>
      </c>
      <c r="E130" s="44">
        <f t="shared" si="22"/>
        <v>0</v>
      </c>
      <c r="F130" s="45">
        <f>VLOOKUP(A130,'TH theo khach hang'!$A$4:$G$309,4,FALSE)</f>
        <v>0</v>
      </c>
      <c r="G130" s="46">
        <f>VLOOKUP(A130,'TH theo khach hang'!$A$4:$G$309,5,FALSE)</f>
        <v>0</v>
      </c>
      <c r="H130" s="45">
        <f t="shared" si="23"/>
        <v>0</v>
      </c>
      <c r="I130" s="47">
        <f t="shared" si="23"/>
        <v>0</v>
      </c>
      <c r="J130" s="46">
        <v>0</v>
      </c>
      <c r="K130" s="46">
        <v>0</v>
      </c>
      <c r="L130" s="46">
        <v>0</v>
      </c>
      <c r="M130" s="46">
        <v>0</v>
      </c>
      <c r="N130" s="46">
        <v>0</v>
      </c>
      <c r="O130" s="46">
        <v>0</v>
      </c>
      <c r="P130" s="46">
        <v>0</v>
      </c>
      <c r="Q130" s="46">
        <v>0</v>
      </c>
      <c r="R130" s="46">
        <v>0</v>
      </c>
      <c r="S130" s="46">
        <v>0</v>
      </c>
      <c r="T130" s="46">
        <v>0</v>
      </c>
      <c r="U130" s="46">
        <v>0</v>
      </c>
      <c r="V130" s="46">
        <v>0</v>
      </c>
      <c r="W130" s="46">
        <v>0</v>
      </c>
      <c r="X130" s="46">
        <v>0</v>
      </c>
      <c r="Y130" s="46">
        <v>0</v>
      </c>
      <c r="Z130" s="46">
        <v>0</v>
      </c>
      <c r="AA130" s="46">
        <v>0</v>
      </c>
      <c r="AB130" s="46">
        <v>0</v>
      </c>
      <c r="AC130" s="46">
        <v>0</v>
      </c>
      <c r="AD130" s="46">
        <v>0</v>
      </c>
      <c r="AE130" s="46">
        <v>0</v>
      </c>
      <c r="AF130" s="46">
        <v>0</v>
      </c>
      <c r="AG130" s="46">
        <v>0</v>
      </c>
    </row>
    <row r="131" spans="1:34" hidden="1">
      <c r="A131" s="35" t="s">
        <v>96</v>
      </c>
      <c r="B131" s="26">
        <f>VLOOKUP(A131,'TH theo khach hang'!$A$4:$C$309,2,FALSE)</f>
        <v>0</v>
      </c>
      <c r="C131" s="27" t="str">
        <f>IF(VLOOKUP(A131,'TH theo khach hang'!$A$4:$C$309,3,FALSE)=0, "", "x")</f>
        <v/>
      </c>
      <c r="D131" s="43">
        <f t="shared" si="22"/>
        <v>0</v>
      </c>
      <c r="E131" s="44">
        <f t="shared" si="22"/>
        <v>0</v>
      </c>
      <c r="F131" s="45">
        <f>VLOOKUP(A131,'TH theo khach hang'!$A$4:$G$309,4,FALSE)</f>
        <v>0</v>
      </c>
      <c r="G131" s="46">
        <f>VLOOKUP(A131,'TH theo khach hang'!$A$4:$G$309,5,FALSE)</f>
        <v>0</v>
      </c>
      <c r="H131" s="45">
        <f t="shared" si="23"/>
        <v>0</v>
      </c>
      <c r="I131" s="47">
        <f t="shared" si="23"/>
        <v>0</v>
      </c>
      <c r="J131" s="46">
        <v>0</v>
      </c>
      <c r="K131" s="46">
        <v>0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  <c r="Q131" s="46">
        <v>0</v>
      </c>
      <c r="R131" s="46">
        <v>0</v>
      </c>
      <c r="S131" s="46">
        <v>0</v>
      </c>
      <c r="T131" s="46">
        <v>0</v>
      </c>
      <c r="U131" s="46">
        <v>0</v>
      </c>
      <c r="V131" s="46">
        <v>0</v>
      </c>
      <c r="W131" s="46">
        <v>0</v>
      </c>
      <c r="X131" s="46"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</row>
    <row r="132" spans="1:34" hidden="1">
      <c r="A132" s="35" t="s">
        <v>97</v>
      </c>
      <c r="B132" s="26">
        <f>VLOOKUP(A132,'TH theo khach hang'!$A$4:$C$309,2,FALSE)</f>
        <v>0</v>
      </c>
      <c r="C132" s="27" t="str">
        <f>IF(VLOOKUP(A132,'TH theo khach hang'!$A$4:$C$309,3,FALSE)=0, "", "x")</f>
        <v/>
      </c>
      <c r="D132" s="43">
        <f t="shared" si="22"/>
        <v>0</v>
      </c>
      <c r="E132" s="44">
        <f t="shared" si="22"/>
        <v>0</v>
      </c>
      <c r="F132" s="45">
        <f>VLOOKUP(A132,'TH theo khach hang'!$A$4:$G$309,4,FALSE)</f>
        <v>0</v>
      </c>
      <c r="G132" s="46">
        <f>VLOOKUP(A132,'TH theo khach hang'!$A$4:$G$309,5,FALSE)</f>
        <v>0</v>
      </c>
      <c r="H132" s="45">
        <f t="shared" si="23"/>
        <v>0</v>
      </c>
      <c r="I132" s="47">
        <f t="shared" si="23"/>
        <v>0</v>
      </c>
      <c r="J132" s="46">
        <v>0</v>
      </c>
      <c r="K132" s="46">
        <v>0</v>
      </c>
      <c r="L132" s="46">
        <v>0</v>
      </c>
      <c r="M132" s="46">
        <v>0</v>
      </c>
      <c r="N132" s="46">
        <v>0</v>
      </c>
      <c r="O132" s="46">
        <v>0</v>
      </c>
      <c r="P132" s="46">
        <v>0</v>
      </c>
      <c r="Q132" s="46">
        <v>0</v>
      </c>
      <c r="R132" s="46">
        <v>0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AD132" s="46">
        <v>0</v>
      </c>
      <c r="AE132" s="46">
        <v>0</v>
      </c>
      <c r="AF132" s="46">
        <v>0</v>
      </c>
      <c r="AG132" s="46">
        <v>0</v>
      </c>
    </row>
    <row r="133" spans="1:34" hidden="1">
      <c r="A133" s="35" t="s">
        <v>98</v>
      </c>
      <c r="B133" s="26">
        <f>VLOOKUP(A133,'TH theo khach hang'!$A$4:$C$309,2,FALSE)</f>
        <v>0</v>
      </c>
      <c r="C133" s="27" t="str">
        <f>IF(VLOOKUP(A133,'TH theo khach hang'!$A$4:$C$309,3,FALSE)=0, "", "x")</f>
        <v/>
      </c>
      <c r="D133" s="43">
        <f t="shared" si="22"/>
        <v>0</v>
      </c>
      <c r="E133" s="44">
        <f t="shared" si="22"/>
        <v>0</v>
      </c>
      <c r="F133" s="45">
        <f>VLOOKUP(A133,'TH theo khach hang'!$A$4:$G$309,4,FALSE)</f>
        <v>0</v>
      </c>
      <c r="G133" s="46">
        <f>VLOOKUP(A133,'TH theo khach hang'!$A$4:$G$309,5,FALSE)</f>
        <v>0</v>
      </c>
      <c r="H133" s="45">
        <f t="shared" si="23"/>
        <v>0</v>
      </c>
      <c r="I133" s="47">
        <f t="shared" si="23"/>
        <v>0</v>
      </c>
      <c r="J133" s="46">
        <v>0</v>
      </c>
      <c r="K133" s="46">
        <v>0</v>
      </c>
      <c r="L133" s="46">
        <v>0</v>
      </c>
      <c r="M133" s="46">
        <v>0</v>
      </c>
      <c r="N133" s="46">
        <v>0</v>
      </c>
      <c r="O133" s="46">
        <v>0</v>
      </c>
      <c r="P133" s="46">
        <v>0</v>
      </c>
      <c r="Q133" s="46">
        <v>0</v>
      </c>
      <c r="R133" s="46">
        <v>0</v>
      </c>
      <c r="S133" s="46">
        <v>0</v>
      </c>
      <c r="T133" s="46">
        <v>0</v>
      </c>
      <c r="U133" s="46">
        <v>0</v>
      </c>
      <c r="V133" s="46">
        <v>0</v>
      </c>
      <c r="W133" s="46">
        <v>0</v>
      </c>
      <c r="X133" s="46"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</row>
    <row r="134" spans="1:34" hidden="1">
      <c r="A134" s="35" t="s">
        <v>99</v>
      </c>
      <c r="B134" s="26">
        <f>VLOOKUP(A134,'TH theo khach hang'!$A$4:$C$309,2,FALSE)</f>
        <v>0</v>
      </c>
      <c r="C134" s="27" t="str">
        <f>IF(VLOOKUP(A134,'TH theo khach hang'!$A$4:$C$309,3,FALSE)=0, "", "x")</f>
        <v/>
      </c>
      <c r="D134" s="43">
        <f t="shared" si="22"/>
        <v>0</v>
      </c>
      <c r="E134" s="44">
        <f t="shared" si="22"/>
        <v>0</v>
      </c>
      <c r="F134" s="45">
        <f>VLOOKUP(A134,'TH theo khach hang'!$A$4:$G$309,4,FALSE)</f>
        <v>0</v>
      </c>
      <c r="G134" s="46">
        <f>VLOOKUP(A134,'TH theo khach hang'!$A$4:$G$309,5,FALSE)</f>
        <v>0</v>
      </c>
      <c r="H134" s="45">
        <f t="shared" si="23"/>
        <v>0</v>
      </c>
      <c r="I134" s="47">
        <f t="shared" si="23"/>
        <v>0</v>
      </c>
      <c r="J134" s="46">
        <v>0</v>
      </c>
      <c r="K134" s="46">
        <v>0</v>
      </c>
      <c r="L134" s="46">
        <v>0</v>
      </c>
      <c r="M134" s="46">
        <v>0</v>
      </c>
      <c r="N134" s="46">
        <v>0</v>
      </c>
      <c r="O134" s="46">
        <v>0</v>
      </c>
      <c r="P134" s="46">
        <v>0</v>
      </c>
      <c r="Q134" s="46">
        <v>0</v>
      </c>
      <c r="R134" s="46">
        <v>0</v>
      </c>
      <c r="S134" s="46">
        <v>0</v>
      </c>
      <c r="T134" s="46">
        <v>0</v>
      </c>
      <c r="U134" s="46">
        <v>0</v>
      </c>
      <c r="V134" s="46">
        <v>0</v>
      </c>
      <c r="W134" s="46">
        <v>0</v>
      </c>
      <c r="X134" s="46">
        <v>0</v>
      </c>
      <c r="Y134" s="46">
        <v>0</v>
      </c>
      <c r="Z134" s="46">
        <v>0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6">
        <v>0</v>
      </c>
      <c r="AG134" s="46">
        <v>0</v>
      </c>
    </row>
    <row r="135" spans="1:34" s="34" customFormat="1" hidden="1">
      <c r="A135" s="35" t="s">
        <v>100</v>
      </c>
      <c r="B135" s="26">
        <f>VLOOKUP(A135,'TH theo khach hang'!$A$4:$C$309,2,FALSE)</f>
        <v>0</v>
      </c>
      <c r="C135" s="27" t="str">
        <f>IF(VLOOKUP(A135,'TH theo khach hang'!$A$4:$C$309,3,FALSE)=0, "", "x")</f>
        <v/>
      </c>
      <c r="D135" s="43">
        <f t="shared" si="22"/>
        <v>0</v>
      </c>
      <c r="E135" s="44">
        <f t="shared" si="22"/>
        <v>0</v>
      </c>
      <c r="F135" s="45">
        <f>VLOOKUP(A135,'TH theo khach hang'!$A$4:$G$309,4,FALSE)</f>
        <v>0</v>
      </c>
      <c r="G135" s="46">
        <f>VLOOKUP(A135,'TH theo khach hang'!$A$4:$G$309,5,FALSE)</f>
        <v>0</v>
      </c>
      <c r="H135" s="45">
        <f t="shared" si="23"/>
        <v>0</v>
      </c>
      <c r="I135" s="47">
        <f t="shared" si="23"/>
        <v>0</v>
      </c>
      <c r="J135" s="46">
        <v>0</v>
      </c>
      <c r="K135" s="46"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46"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33"/>
    </row>
    <row r="136" spans="1:34" s="34" customFormat="1" hidden="1">
      <c r="A136" s="35" t="s">
        <v>101</v>
      </c>
      <c r="B136" s="26">
        <f>VLOOKUP(A136,'TH theo khach hang'!$A$4:$C$309,2,FALSE)</f>
        <v>0</v>
      </c>
      <c r="C136" s="27" t="str">
        <f>IF(VLOOKUP(A136,'TH theo khach hang'!$A$4:$C$309,3,FALSE)=0, "", "x")</f>
        <v/>
      </c>
      <c r="D136" s="43">
        <f t="shared" si="22"/>
        <v>0</v>
      </c>
      <c r="E136" s="44">
        <f t="shared" si="22"/>
        <v>0</v>
      </c>
      <c r="F136" s="45">
        <f>VLOOKUP(A136,'TH theo khach hang'!$A$4:$G$309,4,FALSE)</f>
        <v>0</v>
      </c>
      <c r="G136" s="46">
        <f>VLOOKUP(A136,'TH theo khach hang'!$A$4:$G$309,5,FALSE)</f>
        <v>0</v>
      </c>
      <c r="H136" s="45">
        <f t="shared" si="23"/>
        <v>0</v>
      </c>
      <c r="I136" s="47">
        <f t="shared" si="23"/>
        <v>0</v>
      </c>
      <c r="J136" s="46">
        <v>0</v>
      </c>
      <c r="K136" s="46">
        <v>0</v>
      </c>
      <c r="L136" s="46">
        <v>0</v>
      </c>
      <c r="M136" s="46">
        <v>0</v>
      </c>
      <c r="N136" s="46">
        <v>0</v>
      </c>
      <c r="O136" s="46">
        <v>0</v>
      </c>
      <c r="P136" s="46">
        <v>0</v>
      </c>
      <c r="Q136" s="46">
        <v>0</v>
      </c>
      <c r="R136" s="46">
        <v>0</v>
      </c>
      <c r="S136" s="46">
        <v>0</v>
      </c>
      <c r="T136" s="46">
        <v>0</v>
      </c>
      <c r="U136" s="46">
        <v>0</v>
      </c>
      <c r="V136" s="46">
        <v>0</v>
      </c>
      <c r="W136" s="46">
        <v>0</v>
      </c>
      <c r="X136" s="46">
        <v>0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0</v>
      </c>
      <c r="AE136" s="46">
        <v>0</v>
      </c>
      <c r="AF136" s="46">
        <v>0</v>
      </c>
      <c r="AG136" s="46">
        <v>0</v>
      </c>
    </row>
    <row r="137" spans="1:34" s="34" customFormat="1" hidden="1">
      <c r="A137" s="35" t="s">
        <v>102</v>
      </c>
      <c r="B137" s="26">
        <f>VLOOKUP(A137,'TH theo khach hang'!$A$4:$C$309,2,FALSE)</f>
        <v>0</v>
      </c>
      <c r="C137" s="27" t="str">
        <f>IF(VLOOKUP(A137,'TH theo khach hang'!$A$4:$C$309,3,FALSE)=0, "", "x")</f>
        <v/>
      </c>
      <c r="D137" s="43">
        <f t="shared" si="22"/>
        <v>0</v>
      </c>
      <c r="E137" s="44">
        <f t="shared" si="22"/>
        <v>0</v>
      </c>
      <c r="F137" s="45">
        <f>VLOOKUP(A137,'TH theo khach hang'!$A$4:$G$309,4,FALSE)</f>
        <v>0</v>
      </c>
      <c r="G137" s="46">
        <f>VLOOKUP(A137,'TH theo khach hang'!$A$4:$G$309,5,FALSE)</f>
        <v>0</v>
      </c>
      <c r="H137" s="45">
        <f t="shared" si="23"/>
        <v>0</v>
      </c>
      <c r="I137" s="47">
        <f t="shared" si="23"/>
        <v>0</v>
      </c>
      <c r="J137" s="46">
        <v>0</v>
      </c>
      <c r="K137" s="46">
        <v>0</v>
      </c>
      <c r="L137" s="46">
        <v>0</v>
      </c>
      <c r="M137" s="46">
        <v>0</v>
      </c>
      <c r="N137" s="46">
        <v>0</v>
      </c>
      <c r="O137" s="46">
        <v>0</v>
      </c>
      <c r="P137" s="46">
        <v>0</v>
      </c>
      <c r="Q137" s="46">
        <v>0</v>
      </c>
      <c r="R137" s="46">
        <v>0</v>
      </c>
      <c r="S137" s="46">
        <v>0</v>
      </c>
      <c r="T137" s="46">
        <v>0</v>
      </c>
      <c r="U137" s="46">
        <v>0</v>
      </c>
      <c r="V137" s="46">
        <v>0</v>
      </c>
      <c r="W137" s="46">
        <v>0</v>
      </c>
      <c r="X137" s="46">
        <v>0</v>
      </c>
      <c r="Y137" s="46">
        <v>0</v>
      </c>
      <c r="Z137" s="46">
        <v>0</v>
      </c>
      <c r="AA137" s="46">
        <v>0</v>
      </c>
      <c r="AB137" s="46">
        <v>0</v>
      </c>
      <c r="AC137" s="46">
        <v>0</v>
      </c>
      <c r="AD137" s="46">
        <v>0</v>
      </c>
      <c r="AE137" s="46">
        <v>0</v>
      </c>
      <c r="AF137" s="46">
        <v>0</v>
      </c>
      <c r="AG137" s="46">
        <v>0</v>
      </c>
    </row>
    <row r="138" spans="1:34" s="34" customFormat="1" hidden="1">
      <c r="A138" s="35" t="s">
        <v>113</v>
      </c>
      <c r="B138" s="26">
        <f>VLOOKUP(A138,'TH theo khach hang'!$A$4:$C$309,2,FALSE)</f>
        <v>0</v>
      </c>
      <c r="C138" s="27" t="str">
        <f>IF(VLOOKUP(A138,'TH theo khach hang'!$A$4:$C$309,3,FALSE)=0, "", "x")</f>
        <v/>
      </c>
      <c r="D138" s="43">
        <f t="shared" si="22"/>
        <v>0</v>
      </c>
      <c r="E138" s="44">
        <f t="shared" si="22"/>
        <v>0</v>
      </c>
      <c r="F138" s="45">
        <f>VLOOKUP(A138,'TH theo khach hang'!$A$4:$G$309,4,FALSE)</f>
        <v>0</v>
      </c>
      <c r="G138" s="46">
        <f>VLOOKUP(A138,'TH theo khach hang'!$A$4:$G$309,5,FALSE)</f>
        <v>0</v>
      </c>
      <c r="H138" s="45">
        <f t="shared" si="23"/>
        <v>0</v>
      </c>
      <c r="I138" s="47">
        <f t="shared" si="23"/>
        <v>0</v>
      </c>
      <c r="J138" s="46">
        <v>0</v>
      </c>
      <c r="K138" s="46">
        <v>0</v>
      </c>
      <c r="L138" s="46">
        <v>0</v>
      </c>
      <c r="M138" s="46">
        <v>0</v>
      </c>
      <c r="N138" s="46">
        <v>0</v>
      </c>
      <c r="O138" s="46">
        <v>0</v>
      </c>
      <c r="P138" s="46">
        <v>0</v>
      </c>
      <c r="Q138" s="46">
        <v>0</v>
      </c>
      <c r="R138" s="46">
        <v>0</v>
      </c>
      <c r="S138" s="46">
        <v>0</v>
      </c>
      <c r="T138" s="46">
        <v>0</v>
      </c>
      <c r="U138" s="46">
        <v>0</v>
      </c>
      <c r="V138" s="46">
        <v>0</v>
      </c>
      <c r="W138" s="46">
        <v>0</v>
      </c>
      <c r="X138" s="46">
        <v>0</v>
      </c>
      <c r="Y138" s="46">
        <v>0</v>
      </c>
      <c r="Z138" s="46">
        <v>0</v>
      </c>
      <c r="AA138" s="46">
        <v>0</v>
      </c>
      <c r="AB138" s="46">
        <v>0</v>
      </c>
      <c r="AC138" s="46">
        <v>0</v>
      </c>
      <c r="AD138" s="46">
        <v>0</v>
      </c>
      <c r="AE138" s="46">
        <v>0</v>
      </c>
      <c r="AF138" s="46">
        <v>0</v>
      </c>
      <c r="AG138" s="46">
        <v>0</v>
      </c>
      <c r="AH138" s="33"/>
    </row>
    <row r="139" spans="1:34" s="34" customFormat="1" hidden="1">
      <c r="A139" s="35" t="s">
        <v>114</v>
      </c>
      <c r="B139" s="26">
        <f>VLOOKUP(A139,'TH theo khach hang'!$A$4:$C$309,2,FALSE)</f>
        <v>0</v>
      </c>
      <c r="C139" s="27" t="str">
        <f>IF(VLOOKUP(A139,'TH theo khach hang'!$A$4:$C$309,3,FALSE)=0, "", "x")</f>
        <v/>
      </c>
      <c r="D139" s="43">
        <f t="shared" si="22"/>
        <v>0</v>
      </c>
      <c r="E139" s="44">
        <f t="shared" si="22"/>
        <v>0</v>
      </c>
      <c r="F139" s="45">
        <f>VLOOKUP(A139,'TH theo khach hang'!$A$4:$G$309,4,FALSE)</f>
        <v>0</v>
      </c>
      <c r="G139" s="46">
        <f>VLOOKUP(A139,'TH theo khach hang'!$A$4:$G$309,5,FALSE)</f>
        <v>0</v>
      </c>
      <c r="H139" s="45">
        <f t="shared" si="23"/>
        <v>0</v>
      </c>
      <c r="I139" s="47">
        <f t="shared" si="23"/>
        <v>0</v>
      </c>
      <c r="J139" s="46">
        <v>0</v>
      </c>
      <c r="K139" s="46">
        <v>0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  <c r="Q139" s="46">
        <v>0</v>
      </c>
      <c r="R139" s="46">
        <v>0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46">
        <v>0</v>
      </c>
      <c r="Y139" s="46">
        <v>0</v>
      </c>
      <c r="Z139" s="46">
        <v>0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6">
        <v>0</v>
      </c>
      <c r="AG139" s="46">
        <v>0</v>
      </c>
    </row>
    <row r="140" spans="1:34" s="34" customFormat="1" hidden="1">
      <c r="A140" s="35" t="s">
        <v>115</v>
      </c>
      <c r="B140" s="26">
        <f>VLOOKUP(A140,'TH theo khach hang'!$A$4:$C$309,2,FALSE)</f>
        <v>0</v>
      </c>
      <c r="C140" s="27" t="str">
        <f>IF(VLOOKUP(A140,'TH theo khach hang'!$A$4:$C$309,3,FALSE)=0, "", "x")</f>
        <v/>
      </c>
      <c r="D140" s="43">
        <f t="shared" ref="D140:E147" si="24">F140-H140</f>
        <v>0</v>
      </c>
      <c r="E140" s="44">
        <f t="shared" si="24"/>
        <v>0</v>
      </c>
      <c r="F140" s="45">
        <f>VLOOKUP(A140,'TH theo khach hang'!$A$4:$G$309,4,FALSE)</f>
        <v>0</v>
      </c>
      <c r="G140" s="46">
        <f>VLOOKUP(A140,'TH theo khach hang'!$A$4:$G$309,5,FALSE)</f>
        <v>0</v>
      </c>
      <c r="H140" s="45">
        <f t="shared" ref="H140:I147" si="25">J140+L140+N140+P140+R140+T140+V140+X140+Z140+AB140+AD140+AF140</f>
        <v>0</v>
      </c>
      <c r="I140" s="47">
        <f t="shared" si="25"/>
        <v>0</v>
      </c>
      <c r="J140" s="46">
        <v>0</v>
      </c>
      <c r="K140" s="46">
        <v>0</v>
      </c>
      <c r="L140" s="46">
        <v>0</v>
      </c>
      <c r="M140" s="46">
        <v>0</v>
      </c>
      <c r="N140" s="46">
        <v>0</v>
      </c>
      <c r="O140" s="46">
        <v>0</v>
      </c>
      <c r="P140" s="46">
        <v>0</v>
      </c>
      <c r="Q140" s="46">
        <v>0</v>
      </c>
      <c r="R140" s="46">
        <v>0</v>
      </c>
      <c r="S140" s="46">
        <v>0</v>
      </c>
      <c r="T140" s="46">
        <v>0</v>
      </c>
      <c r="U140" s="46">
        <v>0</v>
      </c>
      <c r="V140" s="46">
        <v>0</v>
      </c>
      <c r="W140" s="46">
        <v>0</v>
      </c>
      <c r="X140" s="46">
        <v>0</v>
      </c>
      <c r="Y140" s="46">
        <v>0</v>
      </c>
      <c r="Z140" s="46">
        <v>0</v>
      </c>
      <c r="AA140" s="46">
        <v>0</v>
      </c>
      <c r="AB140" s="46">
        <v>0</v>
      </c>
      <c r="AC140" s="46">
        <v>0</v>
      </c>
      <c r="AD140" s="46">
        <v>0</v>
      </c>
      <c r="AE140" s="46">
        <v>0</v>
      </c>
      <c r="AF140" s="46">
        <v>0</v>
      </c>
      <c r="AG140" s="46">
        <v>0</v>
      </c>
    </row>
    <row r="141" spans="1:34" s="34" customFormat="1" hidden="1">
      <c r="A141" s="35" t="s">
        <v>116</v>
      </c>
      <c r="B141" s="26">
        <f>VLOOKUP(A141,'TH theo khach hang'!$A$4:$C$309,2,FALSE)</f>
        <v>0</v>
      </c>
      <c r="C141" s="27" t="str">
        <f>IF(VLOOKUP(A141,'TH theo khach hang'!$A$4:$C$309,3,FALSE)=0, "", "x")</f>
        <v/>
      </c>
      <c r="D141" s="43">
        <f t="shared" si="24"/>
        <v>0</v>
      </c>
      <c r="E141" s="44">
        <f t="shared" si="24"/>
        <v>0</v>
      </c>
      <c r="F141" s="45">
        <f>VLOOKUP(A141,'TH theo khach hang'!$A$4:$G$309,4,FALSE)</f>
        <v>0</v>
      </c>
      <c r="G141" s="46">
        <f>VLOOKUP(A141,'TH theo khach hang'!$A$4:$G$309,5,FALSE)</f>
        <v>0</v>
      </c>
      <c r="H141" s="45">
        <f t="shared" si="25"/>
        <v>0</v>
      </c>
      <c r="I141" s="47">
        <f t="shared" si="25"/>
        <v>0</v>
      </c>
      <c r="J141" s="46">
        <v>0</v>
      </c>
      <c r="K141" s="46">
        <v>0</v>
      </c>
      <c r="L141" s="46">
        <v>0</v>
      </c>
      <c r="M141" s="46">
        <v>0</v>
      </c>
      <c r="N141" s="46">
        <v>0</v>
      </c>
      <c r="O141" s="46">
        <v>0</v>
      </c>
      <c r="P141" s="46">
        <v>0</v>
      </c>
      <c r="Q141" s="46">
        <v>0</v>
      </c>
      <c r="R141" s="46">
        <v>0</v>
      </c>
      <c r="S141" s="46">
        <v>0</v>
      </c>
      <c r="T141" s="46">
        <v>0</v>
      </c>
      <c r="U141" s="46">
        <v>0</v>
      </c>
      <c r="V141" s="46">
        <v>0</v>
      </c>
      <c r="W141" s="46">
        <v>0</v>
      </c>
      <c r="X141" s="46">
        <v>0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0</v>
      </c>
      <c r="AE141" s="46">
        <v>0</v>
      </c>
      <c r="AF141" s="46">
        <v>0</v>
      </c>
      <c r="AG141" s="46">
        <v>0</v>
      </c>
      <c r="AH141" s="33"/>
    </row>
    <row r="142" spans="1:34" hidden="1">
      <c r="A142" s="35" t="s">
        <v>117</v>
      </c>
      <c r="B142" s="26">
        <f>VLOOKUP(A142,'TH theo khach hang'!$A$4:$C$309,2,FALSE)</f>
        <v>0</v>
      </c>
      <c r="C142" s="27" t="str">
        <f>IF(VLOOKUP(A142,'TH theo khach hang'!$A$4:$C$309,3,FALSE)=0, "", "x")</f>
        <v/>
      </c>
      <c r="D142" s="43">
        <f t="shared" si="24"/>
        <v>0</v>
      </c>
      <c r="E142" s="44">
        <f t="shared" si="24"/>
        <v>0</v>
      </c>
      <c r="F142" s="45">
        <f>VLOOKUP(A142,'TH theo khach hang'!$A$4:$G$309,4,FALSE)</f>
        <v>0</v>
      </c>
      <c r="G142" s="46">
        <f>VLOOKUP(A142,'TH theo khach hang'!$A$4:$G$309,5,FALSE)</f>
        <v>0</v>
      </c>
      <c r="H142" s="45">
        <f t="shared" si="25"/>
        <v>0</v>
      </c>
      <c r="I142" s="47">
        <f t="shared" si="25"/>
        <v>0</v>
      </c>
      <c r="J142" s="46">
        <v>0</v>
      </c>
      <c r="K142" s="46">
        <v>0</v>
      </c>
      <c r="L142" s="46">
        <v>0</v>
      </c>
      <c r="M142" s="46">
        <v>0</v>
      </c>
      <c r="N142" s="46">
        <v>0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  <c r="T142" s="46">
        <v>0</v>
      </c>
      <c r="U142" s="46">
        <v>0</v>
      </c>
      <c r="V142" s="46">
        <v>0</v>
      </c>
      <c r="W142" s="46">
        <v>0</v>
      </c>
      <c r="X142" s="46">
        <v>0</v>
      </c>
      <c r="Y142" s="46">
        <v>0</v>
      </c>
      <c r="Z142" s="46">
        <v>0</v>
      </c>
      <c r="AA142" s="46">
        <v>0</v>
      </c>
      <c r="AB142" s="46">
        <v>0</v>
      </c>
      <c r="AC142" s="46">
        <v>0</v>
      </c>
      <c r="AD142" s="46">
        <v>0</v>
      </c>
      <c r="AE142" s="46">
        <v>0</v>
      </c>
      <c r="AF142" s="46">
        <v>0</v>
      </c>
      <c r="AG142" s="46">
        <v>0</v>
      </c>
    </row>
    <row r="143" spans="1:34" hidden="1">
      <c r="A143" s="35" t="s">
        <v>118</v>
      </c>
      <c r="B143" s="26">
        <f>VLOOKUP(A143,'TH theo khach hang'!$A$4:$C$309,2,FALSE)</f>
        <v>0</v>
      </c>
      <c r="C143" s="27" t="str">
        <f>IF(VLOOKUP(A143,'TH theo khach hang'!$A$4:$C$309,3,FALSE)=0, "", "x")</f>
        <v/>
      </c>
      <c r="D143" s="43">
        <f t="shared" si="24"/>
        <v>0</v>
      </c>
      <c r="E143" s="44">
        <f t="shared" si="24"/>
        <v>0</v>
      </c>
      <c r="F143" s="45">
        <f>VLOOKUP(A143,'TH theo khach hang'!$A$4:$G$309,4,FALSE)</f>
        <v>0</v>
      </c>
      <c r="G143" s="46">
        <f>VLOOKUP(A143,'TH theo khach hang'!$A$4:$G$309,5,FALSE)</f>
        <v>0</v>
      </c>
      <c r="H143" s="45">
        <f t="shared" si="25"/>
        <v>0</v>
      </c>
      <c r="I143" s="47">
        <f t="shared" si="25"/>
        <v>0</v>
      </c>
      <c r="J143" s="46">
        <v>0</v>
      </c>
      <c r="K143" s="46">
        <v>0</v>
      </c>
      <c r="L143" s="46">
        <v>0</v>
      </c>
      <c r="M143" s="46">
        <v>0</v>
      </c>
      <c r="N143" s="46">
        <v>0</v>
      </c>
      <c r="O143" s="46">
        <v>0</v>
      </c>
      <c r="P143" s="46">
        <v>0</v>
      </c>
      <c r="Q143" s="46">
        <v>0</v>
      </c>
      <c r="R143" s="46">
        <v>0</v>
      </c>
      <c r="S143" s="46">
        <v>0</v>
      </c>
      <c r="T143" s="46">
        <v>0</v>
      </c>
      <c r="U143" s="46">
        <v>0</v>
      </c>
      <c r="V143" s="46">
        <v>0</v>
      </c>
      <c r="W143" s="46">
        <v>0</v>
      </c>
      <c r="X143" s="46">
        <v>0</v>
      </c>
      <c r="Y143" s="46">
        <v>0</v>
      </c>
      <c r="Z143" s="46">
        <v>0</v>
      </c>
      <c r="AA143" s="46">
        <v>0</v>
      </c>
      <c r="AB143" s="46">
        <v>0</v>
      </c>
      <c r="AC143" s="46">
        <v>0</v>
      </c>
      <c r="AD143" s="46">
        <v>0</v>
      </c>
      <c r="AE143" s="46">
        <v>0</v>
      </c>
      <c r="AF143" s="46">
        <v>0</v>
      </c>
      <c r="AG143" s="46">
        <v>0</v>
      </c>
    </row>
    <row r="144" spans="1:34" hidden="1">
      <c r="A144" s="35" t="s">
        <v>119</v>
      </c>
      <c r="B144" s="26">
        <f>VLOOKUP(A144,'TH theo khach hang'!$A$4:$C$309,2,FALSE)</f>
        <v>0</v>
      </c>
      <c r="C144" s="27" t="str">
        <f>IF(VLOOKUP(A144,'TH theo khach hang'!$A$4:$C$309,3,FALSE)=0, "", "x")</f>
        <v/>
      </c>
      <c r="D144" s="43">
        <f t="shared" si="24"/>
        <v>0</v>
      </c>
      <c r="E144" s="44">
        <f t="shared" si="24"/>
        <v>0</v>
      </c>
      <c r="F144" s="45">
        <f>VLOOKUP(A144,'TH theo khach hang'!$A$4:$G$309,4,FALSE)</f>
        <v>0</v>
      </c>
      <c r="G144" s="46">
        <f>VLOOKUP(A144,'TH theo khach hang'!$A$4:$G$309,5,FALSE)</f>
        <v>0</v>
      </c>
      <c r="H144" s="45">
        <f t="shared" si="25"/>
        <v>0</v>
      </c>
      <c r="I144" s="47">
        <f t="shared" si="25"/>
        <v>0</v>
      </c>
      <c r="J144" s="46">
        <v>0</v>
      </c>
      <c r="K144" s="46">
        <v>0</v>
      </c>
      <c r="L144" s="46">
        <v>0</v>
      </c>
      <c r="M144" s="46">
        <v>0</v>
      </c>
      <c r="N144" s="46">
        <v>0</v>
      </c>
      <c r="O144" s="46">
        <v>0</v>
      </c>
      <c r="P144" s="46">
        <v>0</v>
      </c>
      <c r="Q144" s="46">
        <v>0</v>
      </c>
      <c r="R144" s="46">
        <v>0</v>
      </c>
      <c r="S144" s="46">
        <v>0</v>
      </c>
      <c r="T144" s="46">
        <v>0</v>
      </c>
      <c r="U144" s="46">
        <v>0</v>
      </c>
      <c r="V144" s="46">
        <v>0</v>
      </c>
      <c r="W144" s="46">
        <v>0</v>
      </c>
      <c r="X144" s="46">
        <v>0</v>
      </c>
      <c r="Y144" s="46">
        <v>0</v>
      </c>
      <c r="Z144" s="46">
        <v>0</v>
      </c>
      <c r="AA144" s="46">
        <v>0</v>
      </c>
      <c r="AB144" s="46">
        <v>0</v>
      </c>
      <c r="AC144" s="46">
        <v>0</v>
      </c>
      <c r="AD144" s="46">
        <v>0</v>
      </c>
      <c r="AE144" s="46">
        <v>0</v>
      </c>
      <c r="AF144" s="46">
        <v>0</v>
      </c>
      <c r="AG144" s="46">
        <v>0</v>
      </c>
    </row>
    <row r="145" spans="1:34" hidden="1">
      <c r="A145" s="35" t="s">
        <v>120</v>
      </c>
      <c r="B145" s="26">
        <f>VLOOKUP(A145,'TH theo khach hang'!$A$4:$C$309,2,FALSE)</f>
        <v>0</v>
      </c>
      <c r="C145" s="27" t="str">
        <f>IF(VLOOKUP(A145,'TH theo khach hang'!$A$4:$C$309,3,FALSE)=0, "", "x")</f>
        <v/>
      </c>
      <c r="D145" s="43">
        <f t="shared" si="24"/>
        <v>0</v>
      </c>
      <c r="E145" s="44">
        <f t="shared" si="24"/>
        <v>0</v>
      </c>
      <c r="F145" s="45">
        <f>VLOOKUP(A145,'TH theo khach hang'!$A$4:$G$309,4,FALSE)</f>
        <v>0</v>
      </c>
      <c r="G145" s="46">
        <f>VLOOKUP(A145,'TH theo khach hang'!$A$4:$G$309,5,FALSE)</f>
        <v>0</v>
      </c>
      <c r="H145" s="45">
        <f t="shared" si="25"/>
        <v>0</v>
      </c>
      <c r="I145" s="47">
        <f t="shared" si="25"/>
        <v>0</v>
      </c>
      <c r="J145" s="46">
        <v>0</v>
      </c>
      <c r="K145" s="46">
        <v>0</v>
      </c>
      <c r="L145" s="46">
        <v>0</v>
      </c>
      <c r="M145" s="46">
        <v>0</v>
      </c>
      <c r="N145" s="46">
        <v>0</v>
      </c>
      <c r="O145" s="46">
        <v>0</v>
      </c>
      <c r="P145" s="46">
        <v>0</v>
      </c>
      <c r="Q145" s="46">
        <v>0</v>
      </c>
      <c r="R145" s="46">
        <v>0</v>
      </c>
      <c r="S145" s="46">
        <v>0</v>
      </c>
      <c r="T145" s="46">
        <v>0</v>
      </c>
      <c r="U145" s="46">
        <v>0</v>
      </c>
      <c r="V145" s="46">
        <v>0</v>
      </c>
      <c r="W145" s="46">
        <v>0</v>
      </c>
      <c r="X145" s="46">
        <v>0</v>
      </c>
      <c r="Y145" s="46">
        <v>0</v>
      </c>
      <c r="Z145" s="46">
        <v>0</v>
      </c>
      <c r="AA145" s="46">
        <v>0</v>
      </c>
      <c r="AB145" s="46">
        <v>0</v>
      </c>
      <c r="AC145" s="46">
        <v>0</v>
      </c>
      <c r="AD145" s="46">
        <v>0</v>
      </c>
      <c r="AE145" s="46">
        <v>0</v>
      </c>
      <c r="AF145" s="46">
        <v>0</v>
      </c>
      <c r="AG145" s="46">
        <v>0</v>
      </c>
    </row>
    <row r="146" spans="1:34" hidden="1">
      <c r="A146" s="35" t="s">
        <v>121</v>
      </c>
      <c r="B146" s="26">
        <f>VLOOKUP(A146,'TH theo khach hang'!$A$4:$C$309,2,FALSE)</f>
        <v>0</v>
      </c>
      <c r="C146" s="27" t="str">
        <f>IF(VLOOKUP(A146,'TH theo khach hang'!$A$4:$C$309,3,FALSE)=0, "", "x")</f>
        <v/>
      </c>
      <c r="D146" s="43">
        <f t="shared" si="24"/>
        <v>0</v>
      </c>
      <c r="E146" s="44">
        <f t="shared" si="24"/>
        <v>0</v>
      </c>
      <c r="F146" s="45">
        <f>VLOOKUP(A146,'TH theo khach hang'!$A$4:$G$309,4,FALSE)</f>
        <v>0</v>
      </c>
      <c r="G146" s="46">
        <f>VLOOKUP(A146,'TH theo khach hang'!$A$4:$G$309,5,FALSE)</f>
        <v>0</v>
      </c>
      <c r="H146" s="45">
        <f t="shared" si="25"/>
        <v>0</v>
      </c>
      <c r="I146" s="47">
        <f t="shared" si="25"/>
        <v>0</v>
      </c>
      <c r="J146" s="46">
        <v>0</v>
      </c>
      <c r="K146" s="46">
        <v>0</v>
      </c>
      <c r="L146" s="46">
        <v>0</v>
      </c>
      <c r="M146" s="46">
        <v>0</v>
      </c>
      <c r="N146" s="46">
        <v>0</v>
      </c>
      <c r="O146" s="46">
        <v>0</v>
      </c>
      <c r="P146" s="46">
        <v>0</v>
      </c>
      <c r="Q146" s="46">
        <v>0</v>
      </c>
      <c r="R146" s="46">
        <v>0</v>
      </c>
      <c r="S146" s="46">
        <v>0</v>
      </c>
      <c r="T146" s="46">
        <v>0</v>
      </c>
      <c r="U146" s="46">
        <v>0</v>
      </c>
      <c r="V146" s="46">
        <v>0</v>
      </c>
      <c r="W146" s="46">
        <v>0</v>
      </c>
      <c r="X146" s="46">
        <v>0</v>
      </c>
      <c r="Y146" s="46">
        <v>0</v>
      </c>
      <c r="Z146" s="46">
        <v>0</v>
      </c>
      <c r="AA146" s="46">
        <v>0</v>
      </c>
      <c r="AB146" s="46">
        <v>0</v>
      </c>
      <c r="AC146" s="46">
        <v>0</v>
      </c>
      <c r="AD146" s="46">
        <v>0</v>
      </c>
      <c r="AE146" s="46">
        <v>0</v>
      </c>
      <c r="AF146" s="46">
        <v>0</v>
      </c>
      <c r="AG146" s="46">
        <v>0</v>
      </c>
    </row>
    <row r="147" spans="1:34" hidden="1">
      <c r="A147" s="35" t="s">
        <v>122</v>
      </c>
      <c r="B147" s="26">
        <f>VLOOKUP(A147,'TH theo khach hang'!$A$4:$C$309,2,FALSE)</f>
        <v>0</v>
      </c>
      <c r="C147" s="27" t="str">
        <f>IF(VLOOKUP(A147,'TH theo khach hang'!$A$4:$C$309,3,FALSE)=0, "", "x")</f>
        <v/>
      </c>
      <c r="D147" s="43">
        <f t="shared" si="24"/>
        <v>0</v>
      </c>
      <c r="E147" s="44">
        <f t="shared" si="24"/>
        <v>0</v>
      </c>
      <c r="F147" s="45">
        <f>VLOOKUP(A147,'TH theo khach hang'!$A$4:$G$309,4,FALSE)</f>
        <v>0</v>
      </c>
      <c r="G147" s="46">
        <f>VLOOKUP(A147,'TH theo khach hang'!$A$4:$G$309,5,FALSE)</f>
        <v>0</v>
      </c>
      <c r="H147" s="45">
        <f t="shared" si="25"/>
        <v>0</v>
      </c>
      <c r="I147" s="47">
        <f t="shared" si="25"/>
        <v>0</v>
      </c>
      <c r="J147" s="46">
        <v>0</v>
      </c>
      <c r="K147" s="46">
        <v>0</v>
      </c>
      <c r="L147" s="46">
        <v>0</v>
      </c>
      <c r="M147" s="46">
        <v>0</v>
      </c>
      <c r="N147" s="46">
        <v>0</v>
      </c>
      <c r="O147" s="46">
        <v>0</v>
      </c>
      <c r="P147" s="46">
        <v>0</v>
      </c>
      <c r="Q147" s="46">
        <v>0</v>
      </c>
      <c r="R147" s="46">
        <v>0</v>
      </c>
      <c r="S147" s="46">
        <v>0</v>
      </c>
      <c r="T147" s="46">
        <v>0</v>
      </c>
      <c r="U147" s="46">
        <v>0</v>
      </c>
      <c r="V147" s="46">
        <v>0</v>
      </c>
      <c r="W147" s="46">
        <v>0</v>
      </c>
      <c r="X147" s="46">
        <v>0</v>
      </c>
      <c r="Y147" s="46">
        <v>0</v>
      </c>
      <c r="Z147" s="46">
        <v>0</v>
      </c>
      <c r="AA147" s="46">
        <v>0</v>
      </c>
      <c r="AB147" s="46">
        <v>0</v>
      </c>
      <c r="AC147" s="46">
        <v>0</v>
      </c>
      <c r="AD147" s="46">
        <v>0</v>
      </c>
      <c r="AE147" s="46">
        <v>0</v>
      </c>
      <c r="AF147" s="46">
        <v>0</v>
      </c>
      <c r="AG147" s="46">
        <v>0</v>
      </c>
    </row>
    <row r="148" spans="1:34" hidden="1">
      <c r="A148" s="35" t="s">
        <v>191</v>
      </c>
      <c r="B148" s="26">
        <f>VLOOKUP(A148,'TH theo khach hang'!$A$4:$C$309,2,FALSE)</f>
        <v>0</v>
      </c>
      <c r="C148" s="27" t="str">
        <f>IF(VLOOKUP(A148,'TH theo khach hang'!$A$4:$C$309,3,FALSE)=0, "", "x")</f>
        <v/>
      </c>
      <c r="D148" s="43">
        <f t="shared" ref="D148:D181" si="26">F148-H148</f>
        <v>0</v>
      </c>
      <c r="E148" s="44">
        <f t="shared" ref="E148:E181" si="27">G148-I148</f>
        <v>0</v>
      </c>
      <c r="F148" s="45">
        <f>VLOOKUP(A148,'TH theo khach hang'!$A$4:$G$309,4,FALSE)</f>
        <v>0</v>
      </c>
      <c r="G148" s="46">
        <f>VLOOKUP(A148,'TH theo khach hang'!$A$4:$G$309,5,FALSE)</f>
        <v>0</v>
      </c>
      <c r="H148" s="45">
        <f t="shared" ref="H148:H181" si="28">J148+L148+N148+P148+R148+T148+V148+X148+Z148+AB148+AD148+AF148</f>
        <v>0</v>
      </c>
      <c r="I148" s="47">
        <f t="shared" ref="I148:I181" si="29">K148+M148+O148+Q148+S148+U148+W148+Y148+AA148+AC148+AE148+AG148</f>
        <v>0</v>
      </c>
      <c r="J148" s="46">
        <v>0</v>
      </c>
      <c r="K148" s="46">
        <v>0</v>
      </c>
      <c r="L148" s="46">
        <v>0</v>
      </c>
      <c r="M148" s="46">
        <v>0</v>
      </c>
      <c r="N148" s="46">
        <v>0</v>
      </c>
      <c r="O148" s="46">
        <v>0</v>
      </c>
      <c r="P148" s="46">
        <v>0</v>
      </c>
      <c r="Q148" s="46">
        <v>0</v>
      </c>
      <c r="R148" s="46">
        <v>0</v>
      </c>
      <c r="S148" s="46">
        <v>0</v>
      </c>
      <c r="T148" s="46">
        <v>0</v>
      </c>
      <c r="U148" s="46">
        <v>0</v>
      </c>
      <c r="V148" s="46">
        <v>0</v>
      </c>
      <c r="W148" s="46">
        <v>0</v>
      </c>
      <c r="X148" s="46">
        <v>0</v>
      </c>
      <c r="Y148" s="46">
        <v>0</v>
      </c>
      <c r="Z148" s="46">
        <v>0</v>
      </c>
      <c r="AA148" s="46">
        <v>0</v>
      </c>
      <c r="AB148" s="46">
        <v>0</v>
      </c>
      <c r="AC148" s="46">
        <v>0</v>
      </c>
      <c r="AD148" s="46">
        <v>0</v>
      </c>
      <c r="AE148" s="46">
        <v>0</v>
      </c>
      <c r="AF148" s="46">
        <v>0</v>
      </c>
      <c r="AG148" s="46">
        <v>0</v>
      </c>
    </row>
    <row r="149" spans="1:34" hidden="1">
      <c r="A149" s="35" t="s">
        <v>192</v>
      </c>
      <c r="B149" s="26">
        <f>VLOOKUP(A149,'TH theo khach hang'!$A$4:$C$309,2,FALSE)</f>
        <v>0</v>
      </c>
      <c r="C149" s="27" t="str">
        <f>IF(VLOOKUP(A149,'TH theo khach hang'!$A$4:$C$309,3,FALSE)=0, "", "x")</f>
        <v/>
      </c>
      <c r="D149" s="43">
        <f t="shared" si="26"/>
        <v>0</v>
      </c>
      <c r="E149" s="44">
        <f t="shared" si="27"/>
        <v>0</v>
      </c>
      <c r="F149" s="45">
        <f>VLOOKUP(A149,'TH theo khach hang'!$A$4:$G$309,4,FALSE)</f>
        <v>0</v>
      </c>
      <c r="G149" s="46">
        <f>VLOOKUP(A149,'TH theo khach hang'!$A$4:$G$309,5,FALSE)</f>
        <v>0</v>
      </c>
      <c r="H149" s="45">
        <f t="shared" si="28"/>
        <v>0</v>
      </c>
      <c r="I149" s="47">
        <f t="shared" si="29"/>
        <v>0</v>
      </c>
      <c r="J149" s="46">
        <v>0</v>
      </c>
      <c r="K149" s="46">
        <v>0</v>
      </c>
      <c r="L149" s="46">
        <v>0</v>
      </c>
      <c r="M149" s="46">
        <v>0</v>
      </c>
      <c r="N149" s="46">
        <v>0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6">
        <v>0</v>
      </c>
      <c r="Y149" s="46">
        <v>0</v>
      </c>
      <c r="Z149" s="46">
        <v>0</v>
      </c>
      <c r="AA149" s="46">
        <v>0</v>
      </c>
      <c r="AB149" s="46">
        <v>0</v>
      </c>
      <c r="AC149" s="46">
        <v>0</v>
      </c>
      <c r="AD149" s="46">
        <v>0</v>
      </c>
      <c r="AE149" s="46">
        <v>0</v>
      </c>
      <c r="AF149" s="46">
        <v>0</v>
      </c>
      <c r="AG149" s="46">
        <v>0</v>
      </c>
    </row>
    <row r="150" spans="1:34" hidden="1">
      <c r="A150" s="35" t="s">
        <v>193</v>
      </c>
      <c r="B150" s="26">
        <f>VLOOKUP(A150,'TH theo khach hang'!$A$4:$C$309,2,FALSE)</f>
        <v>0</v>
      </c>
      <c r="C150" s="27" t="str">
        <f>IF(VLOOKUP(A150,'TH theo khach hang'!$A$4:$C$309,3,FALSE)=0, "", "x")</f>
        <v/>
      </c>
      <c r="D150" s="43">
        <f t="shared" si="26"/>
        <v>0</v>
      </c>
      <c r="E150" s="44">
        <f t="shared" si="27"/>
        <v>0</v>
      </c>
      <c r="F150" s="45">
        <f>VLOOKUP(A150,'TH theo khach hang'!$A$4:$G$309,4,FALSE)</f>
        <v>0</v>
      </c>
      <c r="G150" s="46">
        <f>VLOOKUP(A150,'TH theo khach hang'!$A$4:$G$309,5,FALSE)</f>
        <v>0</v>
      </c>
      <c r="H150" s="45">
        <f t="shared" si="28"/>
        <v>0</v>
      </c>
      <c r="I150" s="47">
        <f t="shared" si="29"/>
        <v>0</v>
      </c>
      <c r="J150" s="46">
        <v>0</v>
      </c>
      <c r="K150" s="46">
        <v>0</v>
      </c>
      <c r="L150" s="46">
        <v>0</v>
      </c>
      <c r="M150" s="46">
        <v>0</v>
      </c>
      <c r="N150" s="46">
        <v>0</v>
      </c>
      <c r="O150" s="46">
        <v>0</v>
      </c>
      <c r="P150" s="46">
        <v>0</v>
      </c>
      <c r="Q150" s="46">
        <v>0</v>
      </c>
      <c r="R150" s="46">
        <v>0</v>
      </c>
      <c r="S150" s="46">
        <v>0</v>
      </c>
      <c r="T150" s="46">
        <v>0</v>
      </c>
      <c r="U150" s="46">
        <v>0</v>
      </c>
      <c r="V150" s="46">
        <v>0</v>
      </c>
      <c r="W150" s="46">
        <v>0</v>
      </c>
      <c r="X150" s="46">
        <v>0</v>
      </c>
      <c r="Y150" s="46">
        <v>0</v>
      </c>
      <c r="Z150" s="46">
        <v>0</v>
      </c>
      <c r="AA150" s="46">
        <v>0</v>
      </c>
      <c r="AB150" s="46">
        <v>0</v>
      </c>
      <c r="AC150" s="46">
        <v>0</v>
      </c>
      <c r="AD150" s="46">
        <v>0</v>
      </c>
      <c r="AE150" s="46">
        <v>0</v>
      </c>
      <c r="AF150" s="46">
        <v>0</v>
      </c>
      <c r="AG150" s="46">
        <v>0</v>
      </c>
    </row>
    <row r="151" spans="1:34" hidden="1">
      <c r="A151" s="35" t="s">
        <v>194</v>
      </c>
      <c r="B151" s="50">
        <f>VLOOKUP(A151,'TH theo khach hang'!$A$4:$C$309,2,FALSE)</f>
        <v>0</v>
      </c>
      <c r="C151" s="27" t="str">
        <f>IF(VLOOKUP(A151,'TH theo khach hang'!$A$4:$C$309,3,FALSE)=0, "", "x")</f>
        <v/>
      </c>
      <c r="D151" s="43">
        <f t="shared" si="26"/>
        <v>0</v>
      </c>
      <c r="E151" s="44">
        <f t="shared" si="27"/>
        <v>0</v>
      </c>
      <c r="F151" s="45">
        <f>VLOOKUP(A151,'TH theo khach hang'!$A$4:$G$309,4,FALSE)</f>
        <v>0</v>
      </c>
      <c r="G151" s="46">
        <f>VLOOKUP(A151,'TH theo khach hang'!$A$4:$G$309,5,FALSE)</f>
        <v>0</v>
      </c>
      <c r="H151" s="45">
        <f t="shared" si="28"/>
        <v>0</v>
      </c>
      <c r="I151" s="47">
        <f t="shared" si="29"/>
        <v>0</v>
      </c>
      <c r="J151" s="46">
        <v>0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0</v>
      </c>
      <c r="U151" s="46">
        <v>0</v>
      </c>
      <c r="V151" s="46">
        <v>0</v>
      </c>
      <c r="W151" s="46">
        <v>0</v>
      </c>
      <c r="X151" s="46">
        <v>0</v>
      </c>
      <c r="Y151" s="46">
        <v>0</v>
      </c>
      <c r="Z151" s="46">
        <v>0</v>
      </c>
      <c r="AA151" s="46">
        <v>0</v>
      </c>
      <c r="AB151" s="46">
        <v>0</v>
      </c>
      <c r="AC151" s="46">
        <v>0</v>
      </c>
      <c r="AD151" s="46">
        <v>0</v>
      </c>
      <c r="AE151" s="46">
        <v>0</v>
      </c>
      <c r="AF151" s="46">
        <v>0</v>
      </c>
      <c r="AG151" s="46">
        <v>0</v>
      </c>
    </row>
    <row r="152" spans="1:34" hidden="1">
      <c r="A152" s="35" t="s">
        <v>195</v>
      </c>
      <c r="B152" s="26">
        <f>VLOOKUP(A152,'TH theo khach hang'!$A$4:$C$309,2,FALSE)</f>
        <v>0</v>
      </c>
      <c r="C152" s="27" t="str">
        <f>IF(VLOOKUP(A152,'TH theo khach hang'!$A$4:$C$309,3,FALSE)=0, "", "x")</f>
        <v/>
      </c>
      <c r="D152" s="43">
        <f t="shared" si="26"/>
        <v>0</v>
      </c>
      <c r="E152" s="44">
        <f t="shared" si="27"/>
        <v>0</v>
      </c>
      <c r="F152" s="45">
        <f>VLOOKUP(A152,'TH theo khach hang'!$A$4:$G$309,4,FALSE)</f>
        <v>0</v>
      </c>
      <c r="G152" s="46">
        <f>VLOOKUP(A152,'TH theo khach hang'!$A$4:$G$309,5,FALSE)</f>
        <v>0</v>
      </c>
      <c r="H152" s="45">
        <f t="shared" si="28"/>
        <v>0</v>
      </c>
      <c r="I152" s="47">
        <f t="shared" si="29"/>
        <v>0</v>
      </c>
      <c r="J152" s="46">
        <v>0</v>
      </c>
      <c r="K152" s="46">
        <v>0</v>
      </c>
      <c r="L152" s="46">
        <v>0</v>
      </c>
      <c r="M152" s="46">
        <v>0</v>
      </c>
      <c r="N152" s="46">
        <v>0</v>
      </c>
      <c r="O152" s="46">
        <v>0</v>
      </c>
      <c r="P152" s="46">
        <v>0</v>
      </c>
      <c r="Q152" s="46">
        <v>0</v>
      </c>
      <c r="R152" s="46">
        <v>0</v>
      </c>
      <c r="S152" s="46">
        <v>0</v>
      </c>
      <c r="T152" s="46">
        <v>0</v>
      </c>
      <c r="U152" s="46">
        <v>0</v>
      </c>
      <c r="V152" s="46">
        <v>0</v>
      </c>
      <c r="W152" s="46">
        <v>0</v>
      </c>
      <c r="X152" s="46">
        <v>0</v>
      </c>
      <c r="Y152" s="46">
        <v>0</v>
      </c>
      <c r="Z152" s="46">
        <v>0</v>
      </c>
      <c r="AA152" s="46">
        <v>0</v>
      </c>
      <c r="AB152" s="46">
        <v>0</v>
      </c>
      <c r="AC152" s="46">
        <v>0</v>
      </c>
      <c r="AD152" s="46">
        <v>0</v>
      </c>
      <c r="AE152" s="46">
        <v>0</v>
      </c>
      <c r="AF152" s="46">
        <v>0</v>
      </c>
      <c r="AG152" s="46">
        <v>0</v>
      </c>
    </row>
    <row r="153" spans="1:34" hidden="1">
      <c r="A153" s="35" t="s">
        <v>256</v>
      </c>
      <c r="B153" s="26">
        <f>VLOOKUP(A153,'TH theo khach hang'!$A$4:$C$309,2,FALSE)</f>
        <v>0</v>
      </c>
      <c r="C153" s="27" t="str">
        <f>IF(VLOOKUP(A153,'TH theo khach hang'!$A$4:$C$309,3,FALSE)=0, "", "x")</f>
        <v/>
      </c>
      <c r="D153" s="43">
        <f t="shared" si="26"/>
        <v>0</v>
      </c>
      <c r="E153" s="44">
        <f t="shared" si="27"/>
        <v>0</v>
      </c>
      <c r="F153" s="45">
        <f>VLOOKUP(A153,'TH theo khach hang'!$A$4:$G$309,4,FALSE)</f>
        <v>0</v>
      </c>
      <c r="G153" s="46">
        <f>VLOOKUP(A153,'TH theo khach hang'!$A$4:$G$309,5,FALSE)</f>
        <v>0</v>
      </c>
      <c r="H153" s="45">
        <f t="shared" si="28"/>
        <v>0</v>
      </c>
      <c r="I153" s="47">
        <f t="shared" si="29"/>
        <v>0</v>
      </c>
      <c r="J153" s="46">
        <v>0</v>
      </c>
      <c r="K153" s="46">
        <v>0</v>
      </c>
      <c r="L153" s="46">
        <v>0</v>
      </c>
      <c r="M153" s="46">
        <v>0</v>
      </c>
      <c r="N153" s="46">
        <v>0</v>
      </c>
      <c r="O153" s="46">
        <v>0</v>
      </c>
      <c r="P153" s="46">
        <v>0</v>
      </c>
      <c r="Q153" s="46">
        <v>0</v>
      </c>
      <c r="R153" s="46">
        <v>0</v>
      </c>
      <c r="S153" s="46">
        <v>0</v>
      </c>
      <c r="T153" s="46">
        <v>0</v>
      </c>
      <c r="U153" s="46">
        <v>0</v>
      </c>
      <c r="V153" s="46">
        <v>0</v>
      </c>
      <c r="W153" s="46">
        <v>0</v>
      </c>
      <c r="X153" s="46">
        <v>0</v>
      </c>
      <c r="Y153" s="46">
        <v>0</v>
      </c>
      <c r="Z153" s="46">
        <v>0</v>
      </c>
      <c r="AA153" s="46">
        <v>0</v>
      </c>
      <c r="AB153" s="46">
        <v>0</v>
      </c>
      <c r="AC153" s="46">
        <v>0</v>
      </c>
      <c r="AD153" s="46">
        <v>0</v>
      </c>
      <c r="AE153" s="46">
        <v>0</v>
      </c>
      <c r="AF153" s="46">
        <v>0</v>
      </c>
      <c r="AG153" s="46">
        <v>0</v>
      </c>
    </row>
    <row r="154" spans="1:34" hidden="1">
      <c r="A154" s="35" t="s">
        <v>257</v>
      </c>
      <c r="B154" s="26">
        <f>VLOOKUP(A154,'TH theo khach hang'!$A$4:$C$309,2,FALSE)</f>
        <v>0</v>
      </c>
      <c r="C154" s="27" t="str">
        <f>IF(VLOOKUP(A154,'TH theo khach hang'!$A$4:$C$309,3,FALSE)=0, "", "x")</f>
        <v/>
      </c>
      <c r="D154" s="43">
        <f t="shared" si="26"/>
        <v>0</v>
      </c>
      <c r="E154" s="44">
        <f t="shared" si="27"/>
        <v>0</v>
      </c>
      <c r="F154" s="45">
        <f>VLOOKUP(A154,'TH theo khach hang'!$A$4:$G$309,4,FALSE)</f>
        <v>0</v>
      </c>
      <c r="G154" s="46">
        <f>VLOOKUP(A154,'TH theo khach hang'!$A$4:$G$309,5,FALSE)</f>
        <v>0</v>
      </c>
      <c r="H154" s="45">
        <f t="shared" si="28"/>
        <v>0</v>
      </c>
      <c r="I154" s="47">
        <f t="shared" si="29"/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0</v>
      </c>
      <c r="O154" s="46">
        <v>0</v>
      </c>
      <c r="P154" s="46">
        <v>0</v>
      </c>
      <c r="Q154" s="46">
        <v>0</v>
      </c>
      <c r="R154" s="46">
        <v>0</v>
      </c>
      <c r="S154" s="46">
        <v>0</v>
      </c>
      <c r="T154" s="46">
        <v>0</v>
      </c>
      <c r="U154" s="46">
        <v>0</v>
      </c>
      <c r="V154" s="46">
        <v>0</v>
      </c>
      <c r="W154" s="46">
        <v>0</v>
      </c>
      <c r="X154" s="46">
        <v>0</v>
      </c>
      <c r="Y154" s="46">
        <v>0</v>
      </c>
      <c r="Z154" s="46">
        <v>0</v>
      </c>
      <c r="AA154" s="46">
        <v>0</v>
      </c>
      <c r="AB154" s="46">
        <v>0</v>
      </c>
      <c r="AC154" s="46">
        <v>0</v>
      </c>
      <c r="AD154" s="46">
        <v>0</v>
      </c>
      <c r="AE154" s="46">
        <v>0</v>
      </c>
      <c r="AF154" s="46">
        <v>0</v>
      </c>
      <c r="AG154" s="46">
        <v>0</v>
      </c>
    </row>
    <row r="155" spans="1:34" hidden="1">
      <c r="A155" s="35" t="s">
        <v>258</v>
      </c>
      <c r="B155" s="26">
        <f>VLOOKUP(A155,'TH theo khach hang'!$A$4:$C$309,2,FALSE)</f>
        <v>0</v>
      </c>
      <c r="C155" s="27" t="str">
        <f>IF(VLOOKUP(A155,'TH theo khach hang'!$A$4:$C$309,3,FALSE)=0, "", "x")</f>
        <v/>
      </c>
      <c r="D155" s="43">
        <f t="shared" si="26"/>
        <v>0</v>
      </c>
      <c r="E155" s="44">
        <f t="shared" si="27"/>
        <v>0</v>
      </c>
      <c r="F155" s="45">
        <f>VLOOKUP(A155,'TH theo khach hang'!$A$4:$G$309,4,FALSE)</f>
        <v>0</v>
      </c>
      <c r="G155" s="46">
        <f>VLOOKUP(A155,'TH theo khach hang'!$A$4:$G$309,5,FALSE)</f>
        <v>0</v>
      </c>
      <c r="H155" s="45">
        <f t="shared" si="28"/>
        <v>0</v>
      </c>
      <c r="I155" s="47">
        <f t="shared" si="29"/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  <c r="O155" s="46">
        <v>0</v>
      </c>
      <c r="P155" s="46">
        <v>0</v>
      </c>
      <c r="Q155" s="46">
        <v>0</v>
      </c>
      <c r="R155" s="46">
        <v>0</v>
      </c>
      <c r="S155" s="46">
        <v>0</v>
      </c>
      <c r="T155" s="46">
        <v>0</v>
      </c>
      <c r="U155" s="46">
        <v>0</v>
      </c>
      <c r="V155" s="46">
        <v>0</v>
      </c>
      <c r="W155" s="46">
        <v>0</v>
      </c>
      <c r="X155" s="46">
        <v>0</v>
      </c>
      <c r="Y155" s="46">
        <v>0</v>
      </c>
      <c r="Z155" s="46">
        <v>0</v>
      </c>
      <c r="AA155" s="46">
        <v>0</v>
      </c>
      <c r="AB155" s="46">
        <v>0</v>
      </c>
      <c r="AC155" s="46">
        <v>0</v>
      </c>
      <c r="AD155" s="46">
        <v>0</v>
      </c>
      <c r="AE155" s="46">
        <v>0</v>
      </c>
      <c r="AF155" s="46">
        <v>0</v>
      </c>
      <c r="AG155" s="46">
        <v>0</v>
      </c>
    </row>
    <row r="156" spans="1:34" hidden="1">
      <c r="A156" s="35" t="s">
        <v>259</v>
      </c>
      <c r="B156" s="26">
        <f>VLOOKUP(A156,'TH theo khach hang'!$A$4:$C$309,2,FALSE)</f>
        <v>0</v>
      </c>
      <c r="C156" s="27" t="str">
        <f>IF(VLOOKUP(A156,'TH theo khach hang'!$A$4:$C$309,3,FALSE)=0, "", "x")</f>
        <v/>
      </c>
      <c r="D156" s="43">
        <f t="shared" si="26"/>
        <v>0</v>
      </c>
      <c r="E156" s="44">
        <f t="shared" si="27"/>
        <v>0</v>
      </c>
      <c r="F156" s="45">
        <f>VLOOKUP(A156,'TH theo khach hang'!$A$4:$G$309,4,FALSE)</f>
        <v>0</v>
      </c>
      <c r="G156" s="46">
        <f>VLOOKUP(A156,'TH theo khach hang'!$A$4:$G$309,5,FALSE)</f>
        <v>0</v>
      </c>
      <c r="H156" s="45">
        <f t="shared" si="28"/>
        <v>0</v>
      </c>
      <c r="I156" s="47">
        <f t="shared" si="29"/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  <c r="O156" s="46">
        <v>0</v>
      </c>
      <c r="P156" s="46">
        <v>0</v>
      </c>
      <c r="Q156" s="46">
        <v>0</v>
      </c>
      <c r="R156" s="46">
        <v>0</v>
      </c>
      <c r="S156" s="46">
        <v>0</v>
      </c>
      <c r="T156" s="46">
        <v>0</v>
      </c>
      <c r="U156" s="46">
        <v>0</v>
      </c>
      <c r="V156" s="46">
        <v>0</v>
      </c>
      <c r="W156" s="46">
        <v>0</v>
      </c>
      <c r="X156" s="46">
        <v>0</v>
      </c>
      <c r="Y156" s="46">
        <v>0</v>
      </c>
      <c r="Z156" s="46">
        <v>0</v>
      </c>
      <c r="AA156" s="46">
        <v>0</v>
      </c>
      <c r="AB156" s="46">
        <v>0</v>
      </c>
      <c r="AC156" s="46">
        <v>0</v>
      </c>
      <c r="AD156" s="46">
        <v>0</v>
      </c>
      <c r="AE156" s="46">
        <v>0</v>
      </c>
      <c r="AF156" s="46">
        <v>0</v>
      </c>
      <c r="AG156" s="46">
        <v>0</v>
      </c>
    </row>
    <row r="157" spans="1:34" s="34" customFormat="1" hidden="1">
      <c r="A157" s="35" t="s">
        <v>260</v>
      </c>
      <c r="B157" s="26">
        <f>VLOOKUP(A157,'TH theo khach hang'!$A$4:$C$309,2,FALSE)</f>
        <v>0</v>
      </c>
      <c r="C157" s="27" t="str">
        <f>IF(VLOOKUP(A157,'TH theo khach hang'!$A$4:$C$309,3,FALSE)=0, "", "x")</f>
        <v/>
      </c>
      <c r="D157" s="43">
        <f t="shared" si="26"/>
        <v>0</v>
      </c>
      <c r="E157" s="44">
        <f t="shared" si="27"/>
        <v>0</v>
      </c>
      <c r="F157" s="45">
        <f>VLOOKUP(A157,'TH theo khach hang'!$A$4:$G$309,4,FALSE)</f>
        <v>0</v>
      </c>
      <c r="G157" s="46">
        <f>VLOOKUP(A157,'TH theo khach hang'!$A$4:$G$309,5,FALSE)</f>
        <v>0</v>
      </c>
      <c r="H157" s="45">
        <f t="shared" si="28"/>
        <v>0</v>
      </c>
      <c r="I157" s="47">
        <f t="shared" si="29"/>
        <v>0</v>
      </c>
      <c r="J157" s="46">
        <v>0</v>
      </c>
      <c r="K157" s="46">
        <v>0</v>
      </c>
      <c r="L157" s="46">
        <v>0</v>
      </c>
      <c r="M157" s="46">
        <v>0</v>
      </c>
      <c r="N157" s="46">
        <v>0</v>
      </c>
      <c r="O157" s="46">
        <v>0</v>
      </c>
      <c r="P157" s="46">
        <v>0</v>
      </c>
      <c r="Q157" s="46">
        <v>0</v>
      </c>
      <c r="R157" s="46">
        <v>0</v>
      </c>
      <c r="S157" s="46">
        <v>0</v>
      </c>
      <c r="T157" s="46">
        <v>0</v>
      </c>
      <c r="U157" s="46">
        <v>0</v>
      </c>
      <c r="V157" s="46">
        <v>0</v>
      </c>
      <c r="W157" s="46">
        <v>0</v>
      </c>
      <c r="X157" s="46">
        <v>0</v>
      </c>
      <c r="Y157" s="46">
        <v>0</v>
      </c>
      <c r="Z157" s="46">
        <v>0</v>
      </c>
      <c r="AA157" s="46">
        <v>0</v>
      </c>
      <c r="AB157" s="46">
        <v>0</v>
      </c>
      <c r="AC157" s="46">
        <v>0</v>
      </c>
      <c r="AD157" s="46">
        <v>0</v>
      </c>
      <c r="AE157" s="46">
        <v>0</v>
      </c>
      <c r="AF157" s="46">
        <v>0</v>
      </c>
      <c r="AG157" s="46">
        <v>0</v>
      </c>
      <c r="AH157" s="33"/>
    </row>
    <row r="158" spans="1:34" s="34" customFormat="1" hidden="1">
      <c r="A158" s="35" t="s">
        <v>261</v>
      </c>
      <c r="B158" s="26">
        <f>VLOOKUP(A158,'TH theo khach hang'!$A$4:$C$309,2,FALSE)</f>
        <v>0</v>
      </c>
      <c r="C158" s="27" t="str">
        <f>IF(VLOOKUP(A158,'TH theo khach hang'!$A$4:$C$309,3,FALSE)=0, "", "x")</f>
        <v/>
      </c>
      <c r="D158" s="43">
        <f t="shared" si="26"/>
        <v>0</v>
      </c>
      <c r="E158" s="44">
        <f t="shared" si="27"/>
        <v>0</v>
      </c>
      <c r="F158" s="45">
        <f>VLOOKUP(A158,'TH theo khach hang'!$A$4:$G$309,4,FALSE)</f>
        <v>0</v>
      </c>
      <c r="G158" s="46">
        <f>VLOOKUP(A158,'TH theo khach hang'!$A$4:$G$309,5,FALSE)</f>
        <v>0</v>
      </c>
      <c r="H158" s="45">
        <f t="shared" si="28"/>
        <v>0</v>
      </c>
      <c r="I158" s="47">
        <f t="shared" si="29"/>
        <v>0</v>
      </c>
      <c r="J158" s="46">
        <v>0</v>
      </c>
      <c r="K158" s="46">
        <v>0</v>
      </c>
      <c r="L158" s="46">
        <v>0</v>
      </c>
      <c r="M158" s="46">
        <v>0</v>
      </c>
      <c r="N158" s="46">
        <v>0</v>
      </c>
      <c r="O158" s="46">
        <v>0</v>
      </c>
      <c r="P158" s="46">
        <v>0</v>
      </c>
      <c r="Q158" s="46">
        <v>0</v>
      </c>
      <c r="R158" s="46">
        <v>0</v>
      </c>
      <c r="S158" s="46">
        <v>0</v>
      </c>
      <c r="T158" s="46">
        <v>0</v>
      </c>
      <c r="U158" s="46">
        <v>0</v>
      </c>
      <c r="V158" s="46">
        <v>0</v>
      </c>
      <c r="W158" s="46">
        <v>0</v>
      </c>
      <c r="X158" s="46">
        <v>0</v>
      </c>
      <c r="Y158" s="46">
        <v>0</v>
      </c>
      <c r="Z158" s="46">
        <v>0</v>
      </c>
      <c r="AA158" s="46">
        <v>0</v>
      </c>
      <c r="AB158" s="46">
        <v>0</v>
      </c>
      <c r="AC158" s="46">
        <v>0</v>
      </c>
      <c r="AD158" s="46">
        <v>0</v>
      </c>
      <c r="AE158" s="46">
        <v>0</v>
      </c>
      <c r="AF158" s="46">
        <v>0</v>
      </c>
      <c r="AG158" s="46">
        <v>0</v>
      </c>
    </row>
    <row r="159" spans="1:34" s="34" customFormat="1" hidden="1">
      <c r="A159" s="35" t="s">
        <v>262</v>
      </c>
      <c r="B159" s="26">
        <f>VLOOKUP(A159,'TH theo khach hang'!$A$4:$C$309,2,FALSE)</f>
        <v>0</v>
      </c>
      <c r="C159" s="27" t="str">
        <f>IF(VLOOKUP(A159,'TH theo khach hang'!$A$4:$C$309,3,FALSE)=0, "", "x")</f>
        <v/>
      </c>
      <c r="D159" s="43">
        <f t="shared" si="26"/>
        <v>0</v>
      </c>
      <c r="E159" s="44">
        <f t="shared" si="27"/>
        <v>0</v>
      </c>
      <c r="F159" s="45">
        <f>VLOOKUP(A159,'TH theo khach hang'!$A$4:$G$309,4,FALSE)</f>
        <v>0</v>
      </c>
      <c r="G159" s="46">
        <f>VLOOKUP(A159,'TH theo khach hang'!$A$4:$G$309,5,FALSE)</f>
        <v>0</v>
      </c>
      <c r="H159" s="45">
        <f t="shared" si="28"/>
        <v>0</v>
      </c>
      <c r="I159" s="47">
        <f t="shared" si="29"/>
        <v>0</v>
      </c>
      <c r="J159" s="46">
        <v>0</v>
      </c>
      <c r="K159" s="46">
        <v>0</v>
      </c>
      <c r="L159" s="46">
        <v>0</v>
      </c>
      <c r="M159" s="46">
        <v>0</v>
      </c>
      <c r="N159" s="46">
        <v>0</v>
      </c>
      <c r="O159" s="46">
        <v>0</v>
      </c>
      <c r="P159" s="46">
        <v>0</v>
      </c>
      <c r="Q159" s="46">
        <v>0</v>
      </c>
      <c r="R159" s="46">
        <v>0</v>
      </c>
      <c r="S159" s="46">
        <v>0</v>
      </c>
      <c r="T159" s="46">
        <v>0</v>
      </c>
      <c r="U159" s="46">
        <v>0</v>
      </c>
      <c r="V159" s="46">
        <v>0</v>
      </c>
      <c r="W159" s="46">
        <v>0</v>
      </c>
      <c r="X159" s="46">
        <v>0</v>
      </c>
      <c r="Y159" s="46">
        <v>0</v>
      </c>
      <c r="Z159" s="46">
        <v>0</v>
      </c>
      <c r="AA159" s="46">
        <v>0</v>
      </c>
      <c r="AB159" s="46">
        <v>0</v>
      </c>
      <c r="AC159" s="46">
        <v>0</v>
      </c>
      <c r="AD159" s="46">
        <v>0</v>
      </c>
      <c r="AE159" s="46">
        <v>0</v>
      </c>
      <c r="AF159" s="46">
        <v>0</v>
      </c>
      <c r="AG159" s="46">
        <v>0</v>
      </c>
    </row>
    <row r="160" spans="1:34" s="34" customFormat="1" hidden="1">
      <c r="A160" s="35" t="s">
        <v>263</v>
      </c>
      <c r="B160" s="26">
        <f>VLOOKUP(A160,'TH theo khach hang'!$A$4:$C$309,2,FALSE)</f>
        <v>0</v>
      </c>
      <c r="C160" s="27" t="str">
        <f>IF(VLOOKUP(A160,'TH theo khach hang'!$A$4:$C$309,3,FALSE)=0, "", "x")</f>
        <v/>
      </c>
      <c r="D160" s="43">
        <f t="shared" si="26"/>
        <v>0</v>
      </c>
      <c r="E160" s="44">
        <f t="shared" si="27"/>
        <v>0</v>
      </c>
      <c r="F160" s="45">
        <f>VLOOKUP(A160,'TH theo khach hang'!$A$4:$G$309,4,FALSE)</f>
        <v>0</v>
      </c>
      <c r="G160" s="46">
        <f>VLOOKUP(A160,'TH theo khach hang'!$A$4:$G$309,5,FALSE)</f>
        <v>0</v>
      </c>
      <c r="H160" s="45">
        <f t="shared" si="28"/>
        <v>0</v>
      </c>
      <c r="I160" s="47">
        <f t="shared" si="29"/>
        <v>0</v>
      </c>
      <c r="J160" s="46">
        <v>0</v>
      </c>
      <c r="K160" s="46">
        <v>0</v>
      </c>
      <c r="L160" s="46">
        <v>0</v>
      </c>
      <c r="M160" s="46">
        <v>0</v>
      </c>
      <c r="N160" s="46">
        <v>0</v>
      </c>
      <c r="O160" s="46">
        <v>0</v>
      </c>
      <c r="P160" s="46">
        <v>0</v>
      </c>
      <c r="Q160" s="46">
        <v>0</v>
      </c>
      <c r="R160" s="46">
        <v>0</v>
      </c>
      <c r="S160" s="46">
        <v>0</v>
      </c>
      <c r="T160" s="46">
        <v>0</v>
      </c>
      <c r="U160" s="46">
        <v>0</v>
      </c>
      <c r="V160" s="46">
        <v>0</v>
      </c>
      <c r="W160" s="46">
        <v>0</v>
      </c>
      <c r="X160" s="46">
        <v>0</v>
      </c>
      <c r="Y160" s="46">
        <v>0</v>
      </c>
      <c r="Z160" s="46">
        <v>0</v>
      </c>
      <c r="AA160" s="46">
        <v>0</v>
      </c>
      <c r="AB160" s="46">
        <v>0</v>
      </c>
      <c r="AC160" s="46">
        <v>0</v>
      </c>
      <c r="AD160" s="46">
        <v>0</v>
      </c>
      <c r="AE160" s="46">
        <v>0</v>
      </c>
      <c r="AF160" s="46">
        <v>0</v>
      </c>
      <c r="AG160" s="46">
        <v>0</v>
      </c>
      <c r="AH160" s="33"/>
    </row>
    <row r="161" spans="1:34" s="34" customFormat="1" hidden="1">
      <c r="A161" s="35" t="s">
        <v>264</v>
      </c>
      <c r="B161" s="26">
        <f>VLOOKUP(A161,'TH theo khach hang'!$A$4:$C$309,2,FALSE)</f>
        <v>0</v>
      </c>
      <c r="C161" s="27" t="str">
        <f>IF(VLOOKUP(A161,'TH theo khach hang'!$A$4:$C$309,3,FALSE)=0, "", "x")</f>
        <v/>
      </c>
      <c r="D161" s="43">
        <f t="shared" si="26"/>
        <v>0</v>
      </c>
      <c r="E161" s="44">
        <f t="shared" si="27"/>
        <v>0</v>
      </c>
      <c r="F161" s="45">
        <f>VLOOKUP(A161,'TH theo khach hang'!$A$4:$G$309,4,FALSE)</f>
        <v>0</v>
      </c>
      <c r="G161" s="46">
        <f>VLOOKUP(A161,'TH theo khach hang'!$A$4:$G$309,5,FALSE)</f>
        <v>0</v>
      </c>
      <c r="H161" s="45">
        <f t="shared" si="28"/>
        <v>0</v>
      </c>
      <c r="I161" s="47">
        <f t="shared" si="29"/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0</v>
      </c>
      <c r="Z161" s="46">
        <v>0</v>
      </c>
      <c r="AA161" s="46">
        <v>0</v>
      </c>
      <c r="AB161" s="46">
        <v>0</v>
      </c>
      <c r="AC161" s="46">
        <v>0</v>
      </c>
      <c r="AD161" s="46">
        <v>0</v>
      </c>
      <c r="AE161" s="46">
        <v>0</v>
      </c>
      <c r="AF161" s="46">
        <v>0</v>
      </c>
      <c r="AG161" s="46">
        <v>0</v>
      </c>
    </row>
    <row r="162" spans="1:34" s="34" customFormat="1" hidden="1">
      <c r="A162" s="35" t="s">
        <v>265</v>
      </c>
      <c r="B162" s="26">
        <f>VLOOKUP(A162,'TH theo khach hang'!$A$4:$C$309,2,FALSE)</f>
        <v>0</v>
      </c>
      <c r="C162" s="27" t="str">
        <f>IF(VLOOKUP(A162,'TH theo khach hang'!$A$4:$C$309,3,FALSE)=0, "", "x")</f>
        <v/>
      </c>
      <c r="D162" s="43">
        <f t="shared" si="26"/>
        <v>0</v>
      </c>
      <c r="E162" s="44">
        <f t="shared" si="27"/>
        <v>0</v>
      </c>
      <c r="F162" s="45">
        <f>VLOOKUP(A162,'TH theo khach hang'!$A$4:$G$309,4,FALSE)</f>
        <v>0</v>
      </c>
      <c r="G162" s="46">
        <f>VLOOKUP(A162,'TH theo khach hang'!$A$4:$G$309,5,FALSE)</f>
        <v>0</v>
      </c>
      <c r="H162" s="45">
        <f t="shared" si="28"/>
        <v>0</v>
      </c>
      <c r="I162" s="47">
        <f t="shared" si="29"/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0</v>
      </c>
      <c r="O162" s="46">
        <v>0</v>
      </c>
      <c r="P162" s="46">
        <v>0</v>
      </c>
      <c r="Q162" s="46">
        <v>0</v>
      </c>
      <c r="R162" s="46">
        <v>0</v>
      </c>
      <c r="S162" s="46">
        <v>0</v>
      </c>
      <c r="T162" s="46">
        <v>0</v>
      </c>
      <c r="U162" s="46">
        <v>0</v>
      </c>
      <c r="V162" s="46">
        <v>0</v>
      </c>
      <c r="W162" s="46">
        <v>0</v>
      </c>
      <c r="X162" s="46">
        <v>0</v>
      </c>
      <c r="Y162" s="46">
        <v>0</v>
      </c>
      <c r="Z162" s="46">
        <v>0</v>
      </c>
      <c r="AA162" s="46">
        <v>0</v>
      </c>
      <c r="AB162" s="46">
        <v>0</v>
      </c>
      <c r="AC162" s="46">
        <v>0</v>
      </c>
      <c r="AD162" s="46">
        <v>0</v>
      </c>
      <c r="AE162" s="46">
        <v>0</v>
      </c>
      <c r="AF162" s="46">
        <v>0</v>
      </c>
      <c r="AG162" s="46">
        <v>0</v>
      </c>
    </row>
    <row r="163" spans="1:34" s="34" customFormat="1" hidden="1">
      <c r="A163" s="35" t="s">
        <v>266</v>
      </c>
      <c r="B163" s="26">
        <f>VLOOKUP(A163,'TH theo khach hang'!$A$4:$C$309,2,FALSE)</f>
        <v>0</v>
      </c>
      <c r="C163" s="27" t="str">
        <f>IF(VLOOKUP(A163,'TH theo khach hang'!$A$4:$C$309,3,FALSE)=0, "", "x")</f>
        <v/>
      </c>
      <c r="D163" s="43">
        <f t="shared" si="26"/>
        <v>0</v>
      </c>
      <c r="E163" s="44">
        <f t="shared" si="27"/>
        <v>0</v>
      </c>
      <c r="F163" s="45">
        <f>VLOOKUP(A163,'TH theo khach hang'!$A$4:$G$309,4,FALSE)</f>
        <v>0</v>
      </c>
      <c r="G163" s="46">
        <f>VLOOKUP(A163,'TH theo khach hang'!$A$4:$G$309,5,FALSE)</f>
        <v>0</v>
      </c>
      <c r="H163" s="45">
        <f t="shared" si="28"/>
        <v>0</v>
      </c>
      <c r="I163" s="47">
        <f t="shared" si="29"/>
        <v>0</v>
      </c>
      <c r="J163" s="46">
        <v>0</v>
      </c>
      <c r="K163" s="46">
        <v>0</v>
      </c>
      <c r="L163" s="46">
        <v>0</v>
      </c>
      <c r="M163" s="46">
        <v>0</v>
      </c>
      <c r="N163" s="46">
        <v>0</v>
      </c>
      <c r="O163" s="46">
        <v>0</v>
      </c>
      <c r="P163" s="46">
        <v>0</v>
      </c>
      <c r="Q163" s="46">
        <v>0</v>
      </c>
      <c r="R163" s="46">
        <v>0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6">
        <v>0</v>
      </c>
      <c r="Y163" s="46">
        <v>0</v>
      </c>
      <c r="Z163" s="46">
        <v>0</v>
      </c>
      <c r="AA163" s="46">
        <v>0</v>
      </c>
      <c r="AB163" s="46">
        <v>0</v>
      </c>
      <c r="AC163" s="46">
        <v>0</v>
      </c>
      <c r="AD163" s="46">
        <v>0</v>
      </c>
      <c r="AE163" s="46">
        <v>0</v>
      </c>
      <c r="AF163" s="46">
        <v>0</v>
      </c>
      <c r="AG163" s="46">
        <v>0</v>
      </c>
      <c r="AH163" s="33"/>
    </row>
    <row r="164" spans="1:34" hidden="1">
      <c r="A164" s="35" t="s">
        <v>267</v>
      </c>
      <c r="B164" s="50">
        <f>VLOOKUP(A164,'TH theo khach hang'!$A$4:$C$309,2,FALSE)</f>
        <v>0</v>
      </c>
      <c r="C164" s="27" t="str">
        <f>IF(VLOOKUP(A164,'TH theo khach hang'!$A$4:$C$309,3,FALSE)=0, "", "x")</f>
        <v/>
      </c>
      <c r="D164" s="43">
        <f t="shared" si="26"/>
        <v>0</v>
      </c>
      <c r="E164" s="44">
        <f t="shared" si="27"/>
        <v>0</v>
      </c>
      <c r="F164" s="45">
        <f>VLOOKUP(A164,'TH theo khach hang'!$A$4:$G$309,4,FALSE)</f>
        <v>0</v>
      </c>
      <c r="G164" s="46">
        <f>VLOOKUP(A164,'TH theo khach hang'!$A$4:$G$309,5,FALSE)</f>
        <v>0</v>
      </c>
      <c r="H164" s="45">
        <f t="shared" si="28"/>
        <v>0</v>
      </c>
      <c r="I164" s="47">
        <f t="shared" si="29"/>
        <v>0</v>
      </c>
      <c r="J164" s="46">
        <v>0</v>
      </c>
      <c r="K164" s="46">
        <v>0</v>
      </c>
      <c r="L164" s="46">
        <v>0</v>
      </c>
      <c r="M164" s="46">
        <v>0</v>
      </c>
      <c r="N164" s="46">
        <v>0</v>
      </c>
      <c r="O164" s="46">
        <v>0</v>
      </c>
      <c r="P164" s="46">
        <v>0</v>
      </c>
      <c r="Q164" s="46">
        <v>0</v>
      </c>
      <c r="R164" s="46">
        <v>0</v>
      </c>
      <c r="S164" s="46">
        <v>0</v>
      </c>
      <c r="T164" s="46">
        <v>0</v>
      </c>
      <c r="U164" s="46">
        <v>0</v>
      </c>
      <c r="V164" s="46">
        <v>0</v>
      </c>
      <c r="W164" s="46">
        <v>0</v>
      </c>
      <c r="X164" s="46">
        <v>0</v>
      </c>
      <c r="Y164" s="46">
        <v>0</v>
      </c>
      <c r="Z164" s="46">
        <v>0</v>
      </c>
      <c r="AA164" s="46">
        <v>0</v>
      </c>
      <c r="AB164" s="46">
        <v>0</v>
      </c>
      <c r="AC164" s="46">
        <v>0</v>
      </c>
      <c r="AD164" s="46">
        <v>0</v>
      </c>
      <c r="AE164" s="46">
        <v>0</v>
      </c>
      <c r="AF164" s="46">
        <v>0</v>
      </c>
      <c r="AG164" s="46">
        <v>0</v>
      </c>
    </row>
    <row r="165" spans="1:34" hidden="1">
      <c r="A165" s="35" t="s">
        <v>268</v>
      </c>
      <c r="B165" s="26">
        <f>VLOOKUP(A165,'TH theo khach hang'!$A$4:$C$309,2,FALSE)</f>
        <v>0</v>
      </c>
      <c r="C165" s="27" t="str">
        <f>IF(VLOOKUP(A165,'TH theo khach hang'!$A$4:$C$309,3,FALSE)=0, "", "x")</f>
        <v/>
      </c>
      <c r="D165" s="43">
        <f t="shared" si="26"/>
        <v>0</v>
      </c>
      <c r="E165" s="44">
        <f t="shared" si="27"/>
        <v>0</v>
      </c>
      <c r="F165" s="45">
        <f>VLOOKUP(A165,'TH theo khach hang'!$A$4:$G$309,4,FALSE)</f>
        <v>0</v>
      </c>
      <c r="G165" s="46">
        <f>VLOOKUP(A165,'TH theo khach hang'!$A$4:$G$309,5,FALSE)</f>
        <v>0</v>
      </c>
      <c r="H165" s="45">
        <f t="shared" si="28"/>
        <v>0</v>
      </c>
      <c r="I165" s="47">
        <f t="shared" si="29"/>
        <v>0</v>
      </c>
      <c r="J165" s="46">
        <v>0</v>
      </c>
      <c r="K165" s="46">
        <v>0</v>
      </c>
      <c r="L165" s="46">
        <v>0</v>
      </c>
      <c r="M165" s="46">
        <v>0</v>
      </c>
      <c r="N165" s="46">
        <v>0</v>
      </c>
      <c r="O165" s="46">
        <v>0</v>
      </c>
      <c r="P165" s="46">
        <v>0</v>
      </c>
      <c r="Q165" s="46">
        <v>0</v>
      </c>
      <c r="R165" s="46">
        <v>0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6">
        <v>0</v>
      </c>
      <c r="Y165" s="46">
        <v>0</v>
      </c>
      <c r="Z165" s="46">
        <v>0</v>
      </c>
      <c r="AA165" s="46">
        <v>0</v>
      </c>
      <c r="AB165" s="46">
        <v>0</v>
      </c>
      <c r="AC165" s="46">
        <v>0</v>
      </c>
      <c r="AD165" s="46">
        <v>0</v>
      </c>
      <c r="AE165" s="46">
        <v>0</v>
      </c>
      <c r="AF165" s="46">
        <v>0</v>
      </c>
      <c r="AG165" s="46">
        <v>0</v>
      </c>
    </row>
    <row r="166" spans="1:34" hidden="1">
      <c r="A166" s="35" t="s">
        <v>269</v>
      </c>
      <c r="B166" s="26">
        <f>VLOOKUP(A166,'TH theo khach hang'!$A$4:$C$309,2,FALSE)</f>
        <v>0</v>
      </c>
      <c r="C166" s="27" t="str">
        <f>IF(VLOOKUP(A166,'TH theo khach hang'!$A$4:$C$309,3,FALSE)=0, "", "x")</f>
        <v/>
      </c>
      <c r="D166" s="43">
        <f t="shared" si="26"/>
        <v>0</v>
      </c>
      <c r="E166" s="44">
        <f t="shared" si="27"/>
        <v>0</v>
      </c>
      <c r="F166" s="45">
        <f>VLOOKUP(A166,'TH theo khach hang'!$A$4:$G$309,4,FALSE)</f>
        <v>0</v>
      </c>
      <c r="G166" s="46">
        <f>VLOOKUP(A166,'TH theo khach hang'!$A$4:$G$309,5,FALSE)</f>
        <v>0</v>
      </c>
      <c r="H166" s="45">
        <f t="shared" si="28"/>
        <v>0</v>
      </c>
      <c r="I166" s="47">
        <f t="shared" si="29"/>
        <v>0</v>
      </c>
      <c r="J166" s="46">
        <v>0</v>
      </c>
      <c r="K166" s="46">
        <v>0</v>
      </c>
      <c r="L166" s="46">
        <v>0</v>
      </c>
      <c r="M166" s="46">
        <v>0</v>
      </c>
      <c r="N166" s="46">
        <v>0</v>
      </c>
      <c r="O166" s="46">
        <v>0</v>
      </c>
      <c r="P166" s="46">
        <v>0</v>
      </c>
      <c r="Q166" s="46">
        <v>0</v>
      </c>
      <c r="R166" s="46">
        <v>0</v>
      </c>
      <c r="S166" s="46">
        <v>0</v>
      </c>
      <c r="T166" s="46">
        <v>0</v>
      </c>
      <c r="U166" s="46">
        <v>0</v>
      </c>
      <c r="V166" s="46">
        <v>0</v>
      </c>
      <c r="W166" s="46">
        <v>0</v>
      </c>
      <c r="X166" s="46">
        <v>0</v>
      </c>
      <c r="Y166" s="46">
        <v>0</v>
      </c>
      <c r="Z166" s="46">
        <v>0</v>
      </c>
      <c r="AA166" s="46">
        <v>0</v>
      </c>
      <c r="AB166" s="46">
        <v>0</v>
      </c>
      <c r="AC166" s="46">
        <v>0</v>
      </c>
      <c r="AD166" s="46">
        <v>0</v>
      </c>
      <c r="AE166" s="46">
        <v>0</v>
      </c>
      <c r="AF166" s="46">
        <v>0</v>
      </c>
      <c r="AG166" s="46">
        <v>0</v>
      </c>
    </row>
    <row r="167" spans="1:34" hidden="1">
      <c r="A167" s="35" t="s">
        <v>270</v>
      </c>
      <c r="B167" s="26">
        <f>VLOOKUP(A167,'TH theo khach hang'!$A$4:$C$309,2,FALSE)</f>
        <v>0</v>
      </c>
      <c r="C167" s="27" t="str">
        <f>IF(VLOOKUP(A167,'TH theo khach hang'!$A$4:$C$309,3,FALSE)=0, "", "x")</f>
        <v/>
      </c>
      <c r="D167" s="43">
        <f t="shared" si="26"/>
        <v>0</v>
      </c>
      <c r="E167" s="44">
        <f t="shared" si="27"/>
        <v>0</v>
      </c>
      <c r="F167" s="45">
        <f>VLOOKUP(A167,'TH theo khach hang'!$A$4:$G$309,4,FALSE)</f>
        <v>0</v>
      </c>
      <c r="G167" s="46">
        <f>VLOOKUP(A167,'TH theo khach hang'!$A$4:$G$309,5,FALSE)</f>
        <v>0</v>
      </c>
      <c r="H167" s="45">
        <f t="shared" si="28"/>
        <v>0</v>
      </c>
      <c r="I167" s="47">
        <f t="shared" si="29"/>
        <v>0</v>
      </c>
      <c r="J167" s="46">
        <v>0</v>
      </c>
      <c r="K167" s="46">
        <v>0</v>
      </c>
      <c r="L167" s="46">
        <v>0</v>
      </c>
      <c r="M167" s="46">
        <v>0</v>
      </c>
      <c r="N167" s="46">
        <v>0</v>
      </c>
      <c r="O167" s="46">
        <v>0</v>
      </c>
      <c r="P167" s="46">
        <v>0</v>
      </c>
      <c r="Q167" s="46">
        <v>0</v>
      </c>
      <c r="R167" s="46">
        <v>0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6">
        <v>0</v>
      </c>
      <c r="Y167" s="46">
        <v>0</v>
      </c>
      <c r="Z167" s="46">
        <v>0</v>
      </c>
      <c r="AA167" s="46">
        <v>0</v>
      </c>
      <c r="AB167" s="46">
        <v>0</v>
      </c>
      <c r="AC167" s="46">
        <v>0</v>
      </c>
      <c r="AD167" s="46">
        <v>0</v>
      </c>
      <c r="AE167" s="46">
        <v>0</v>
      </c>
      <c r="AF167" s="46">
        <v>0</v>
      </c>
      <c r="AG167" s="46">
        <v>0</v>
      </c>
    </row>
    <row r="168" spans="1:34" hidden="1">
      <c r="A168" s="35" t="s">
        <v>271</v>
      </c>
      <c r="B168" s="26">
        <f>VLOOKUP(A168,'TH theo khach hang'!$A$4:$C$309,2,FALSE)</f>
        <v>0</v>
      </c>
      <c r="C168" s="27" t="str">
        <f>IF(VLOOKUP(A168,'TH theo khach hang'!$A$4:$C$309,3,FALSE)=0, "", "x")</f>
        <v/>
      </c>
      <c r="D168" s="43">
        <f t="shared" si="26"/>
        <v>0</v>
      </c>
      <c r="E168" s="44">
        <f t="shared" si="27"/>
        <v>0</v>
      </c>
      <c r="F168" s="45">
        <f>VLOOKUP(A168,'TH theo khach hang'!$A$4:$G$309,4,FALSE)</f>
        <v>0</v>
      </c>
      <c r="G168" s="46">
        <f>VLOOKUP(A168,'TH theo khach hang'!$A$4:$G$309,5,FALSE)</f>
        <v>0</v>
      </c>
      <c r="H168" s="45">
        <f t="shared" si="28"/>
        <v>0</v>
      </c>
      <c r="I168" s="47">
        <f t="shared" si="29"/>
        <v>0</v>
      </c>
      <c r="J168" s="46">
        <v>0</v>
      </c>
      <c r="K168" s="46">
        <v>0</v>
      </c>
      <c r="L168" s="46">
        <v>0</v>
      </c>
      <c r="M168" s="46">
        <v>0</v>
      </c>
      <c r="N168" s="46">
        <v>0</v>
      </c>
      <c r="O168" s="46">
        <v>0</v>
      </c>
      <c r="P168" s="46">
        <v>0</v>
      </c>
      <c r="Q168" s="46">
        <v>0</v>
      </c>
      <c r="R168" s="46">
        <v>0</v>
      </c>
      <c r="S168" s="46">
        <v>0</v>
      </c>
      <c r="T168" s="46">
        <v>0</v>
      </c>
      <c r="U168" s="46">
        <v>0</v>
      </c>
      <c r="V168" s="46">
        <v>0</v>
      </c>
      <c r="W168" s="46">
        <v>0</v>
      </c>
      <c r="X168" s="46">
        <v>0</v>
      </c>
      <c r="Y168" s="46">
        <v>0</v>
      </c>
      <c r="Z168" s="46">
        <v>0</v>
      </c>
      <c r="AA168" s="46">
        <v>0</v>
      </c>
      <c r="AB168" s="46">
        <v>0</v>
      </c>
      <c r="AC168" s="46">
        <v>0</v>
      </c>
      <c r="AD168" s="46">
        <v>0</v>
      </c>
      <c r="AE168" s="46">
        <v>0</v>
      </c>
      <c r="AF168" s="46">
        <v>0</v>
      </c>
      <c r="AG168" s="46">
        <v>0</v>
      </c>
    </row>
    <row r="169" spans="1:34" s="34" customFormat="1" hidden="1">
      <c r="A169" s="35" t="s">
        <v>272</v>
      </c>
      <c r="B169" s="26">
        <f>VLOOKUP(A169,'TH theo khach hang'!$A$4:$C$309,2,FALSE)</f>
        <v>0</v>
      </c>
      <c r="C169" s="27" t="str">
        <f>IF(VLOOKUP(A169,'TH theo khach hang'!$A$4:$C$309,3,FALSE)=0, "", "x")</f>
        <v/>
      </c>
      <c r="D169" s="43">
        <f t="shared" si="26"/>
        <v>0</v>
      </c>
      <c r="E169" s="44">
        <f t="shared" si="27"/>
        <v>0</v>
      </c>
      <c r="F169" s="45">
        <f>VLOOKUP(A169,'TH theo khach hang'!$A$4:$G$309,4,FALSE)</f>
        <v>0</v>
      </c>
      <c r="G169" s="46">
        <f>VLOOKUP(A169,'TH theo khach hang'!$A$4:$G$309,5,FALSE)</f>
        <v>0</v>
      </c>
      <c r="H169" s="45">
        <f t="shared" si="28"/>
        <v>0</v>
      </c>
      <c r="I169" s="47">
        <f t="shared" si="29"/>
        <v>0</v>
      </c>
      <c r="J169" s="46">
        <v>0</v>
      </c>
      <c r="K169" s="46">
        <v>0</v>
      </c>
      <c r="L169" s="46">
        <v>0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  <c r="R169" s="46">
        <v>0</v>
      </c>
      <c r="S169" s="46">
        <v>0</v>
      </c>
      <c r="T169" s="46">
        <v>0</v>
      </c>
      <c r="U169" s="46">
        <v>0</v>
      </c>
      <c r="V169" s="46">
        <v>0</v>
      </c>
      <c r="W169" s="46">
        <v>0</v>
      </c>
      <c r="X169" s="46">
        <v>0</v>
      </c>
      <c r="Y169" s="46">
        <v>0</v>
      </c>
      <c r="Z169" s="46">
        <v>0</v>
      </c>
      <c r="AA169" s="46">
        <v>0</v>
      </c>
      <c r="AB169" s="46">
        <v>0</v>
      </c>
      <c r="AC169" s="46">
        <v>0</v>
      </c>
      <c r="AD169" s="46">
        <v>0</v>
      </c>
      <c r="AE169" s="46">
        <v>0</v>
      </c>
      <c r="AF169" s="46">
        <v>0</v>
      </c>
      <c r="AG169" s="46">
        <v>0</v>
      </c>
      <c r="AH169" s="33"/>
    </row>
    <row r="170" spans="1:34" s="34" customFormat="1" hidden="1">
      <c r="A170" s="35" t="s">
        <v>273</v>
      </c>
      <c r="B170" s="26">
        <f>VLOOKUP(A170,'TH theo khach hang'!$A$4:$C$309,2,FALSE)</f>
        <v>0</v>
      </c>
      <c r="C170" s="27" t="str">
        <f>IF(VLOOKUP(A170,'TH theo khach hang'!$A$4:$C$309,3,FALSE)=0, "", "x")</f>
        <v/>
      </c>
      <c r="D170" s="43">
        <f t="shared" si="26"/>
        <v>0</v>
      </c>
      <c r="E170" s="44">
        <f t="shared" si="27"/>
        <v>0</v>
      </c>
      <c r="F170" s="45">
        <f>VLOOKUP(A170,'TH theo khach hang'!$A$4:$G$309,4,FALSE)</f>
        <v>0</v>
      </c>
      <c r="G170" s="46">
        <f>VLOOKUP(A170,'TH theo khach hang'!$A$4:$G$309,5,FALSE)</f>
        <v>0</v>
      </c>
      <c r="H170" s="45">
        <f t="shared" si="28"/>
        <v>0</v>
      </c>
      <c r="I170" s="47">
        <f t="shared" si="29"/>
        <v>0</v>
      </c>
      <c r="J170" s="46">
        <v>0</v>
      </c>
      <c r="K170" s="46">
        <v>0</v>
      </c>
      <c r="L170" s="46">
        <v>0</v>
      </c>
      <c r="M170" s="46">
        <v>0</v>
      </c>
      <c r="N170" s="46">
        <v>0</v>
      </c>
      <c r="O170" s="46">
        <v>0</v>
      </c>
      <c r="P170" s="46">
        <v>0</v>
      </c>
      <c r="Q170" s="46">
        <v>0</v>
      </c>
      <c r="R170" s="46">
        <v>0</v>
      </c>
      <c r="S170" s="46">
        <v>0</v>
      </c>
      <c r="T170" s="46">
        <v>0</v>
      </c>
      <c r="U170" s="46">
        <v>0</v>
      </c>
      <c r="V170" s="46">
        <v>0</v>
      </c>
      <c r="W170" s="46">
        <v>0</v>
      </c>
      <c r="X170" s="46">
        <v>0</v>
      </c>
      <c r="Y170" s="46">
        <v>0</v>
      </c>
      <c r="Z170" s="46">
        <v>0</v>
      </c>
      <c r="AA170" s="46">
        <v>0</v>
      </c>
      <c r="AB170" s="46">
        <v>0</v>
      </c>
      <c r="AC170" s="46">
        <v>0</v>
      </c>
      <c r="AD170" s="46">
        <v>0</v>
      </c>
      <c r="AE170" s="46">
        <v>0</v>
      </c>
      <c r="AF170" s="46">
        <v>0</v>
      </c>
      <c r="AG170" s="46">
        <v>0</v>
      </c>
    </row>
    <row r="171" spans="1:34" s="34" customFormat="1" hidden="1">
      <c r="A171" s="35" t="s">
        <v>274</v>
      </c>
      <c r="B171" s="26">
        <f>VLOOKUP(A171,'TH theo khach hang'!$A$4:$C$309,2,FALSE)</f>
        <v>0</v>
      </c>
      <c r="C171" s="27" t="str">
        <f>IF(VLOOKUP(A171,'TH theo khach hang'!$A$4:$C$309,3,FALSE)=0, "", "x")</f>
        <v/>
      </c>
      <c r="D171" s="43">
        <f t="shared" si="26"/>
        <v>0</v>
      </c>
      <c r="E171" s="44">
        <f t="shared" si="27"/>
        <v>0</v>
      </c>
      <c r="F171" s="45">
        <f>VLOOKUP(A171,'TH theo khach hang'!$A$4:$G$309,4,FALSE)</f>
        <v>0</v>
      </c>
      <c r="G171" s="46">
        <f>VLOOKUP(A171,'TH theo khach hang'!$A$4:$G$309,5,FALSE)</f>
        <v>0</v>
      </c>
      <c r="H171" s="45">
        <f t="shared" si="28"/>
        <v>0</v>
      </c>
      <c r="I171" s="47">
        <f t="shared" si="29"/>
        <v>0</v>
      </c>
      <c r="J171" s="46">
        <v>0</v>
      </c>
      <c r="K171" s="46">
        <v>0</v>
      </c>
      <c r="L171" s="46">
        <v>0</v>
      </c>
      <c r="M171" s="46">
        <v>0</v>
      </c>
      <c r="N171" s="46">
        <v>0</v>
      </c>
      <c r="O171" s="46">
        <v>0</v>
      </c>
      <c r="P171" s="46">
        <v>0</v>
      </c>
      <c r="Q171" s="46">
        <v>0</v>
      </c>
      <c r="R171" s="46">
        <v>0</v>
      </c>
      <c r="S171" s="46">
        <v>0</v>
      </c>
      <c r="T171" s="46">
        <v>0</v>
      </c>
      <c r="U171" s="46">
        <v>0</v>
      </c>
      <c r="V171" s="46">
        <v>0</v>
      </c>
      <c r="W171" s="46">
        <v>0</v>
      </c>
      <c r="X171" s="46">
        <v>0</v>
      </c>
      <c r="Y171" s="46">
        <v>0</v>
      </c>
      <c r="Z171" s="46">
        <v>0</v>
      </c>
      <c r="AA171" s="46">
        <v>0</v>
      </c>
      <c r="AB171" s="46">
        <v>0</v>
      </c>
      <c r="AC171" s="46">
        <v>0</v>
      </c>
      <c r="AD171" s="46">
        <v>0</v>
      </c>
      <c r="AE171" s="46">
        <v>0</v>
      </c>
      <c r="AF171" s="46">
        <v>0</v>
      </c>
      <c r="AG171" s="46">
        <v>0</v>
      </c>
    </row>
    <row r="172" spans="1:34" s="34" customFormat="1" hidden="1">
      <c r="A172" s="35" t="s">
        <v>275</v>
      </c>
      <c r="B172" s="50">
        <f>VLOOKUP(A172,'TH theo khach hang'!$A$4:$C$309,2,FALSE)</f>
        <v>0</v>
      </c>
      <c r="C172" s="27" t="str">
        <f>IF(VLOOKUP(A172,'TH theo khach hang'!$A$4:$C$309,3,FALSE)=0, "", "x")</f>
        <v/>
      </c>
      <c r="D172" s="43">
        <f t="shared" si="26"/>
        <v>0</v>
      </c>
      <c r="E172" s="44">
        <f t="shared" si="27"/>
        <v>0</v>
      </c>
      <c r="F172" s="45">
        <f>VLOOKUP(A172,'TH theo khach hang'!$A$4:$G$309,4,FALSE)</f>
        <v>0</v>
      </c>
      <c r="G172" s="46">
        <f>VLOOKUP(A172,'TH theo khach hang'!$A$4:$G$309,5,FALSE)</f>
        <v>0</v>
      </c>
      <c r="H172" s="45">
        <f t="shared" si="28"/>
        <v>0</v>
      </c>
      <c r="I172" s="47">
        <f t="shared" si="29"/>
        <v>0</v>
      </c>
      <c r="J172" s="46">
        <v>0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>
        <v>0</v>
      </c>
      <c r="Q172" s="46">
        <v>0</v>
      </c>
      <c r="R172" s="46">
        <v>0</v>
      </c>
      <c r="S172" s="46">
        <v>0</v>
      </c>
      <c r="T172" s="46">
        <v>0</v>
      </c>
      <c r="U172" s="46">
        <v>0</v>
      </c>
      <c r="V172" s="46">
        <v>0</v>
      </c>
      <c r="W172" s="46">
        <v>0</v>
      </c>
      <c r="X172" s="46">
        <v>0</v>
      </c>
      <c r="Y172" s="46">
        <v>0</v>
      </c>
      <c r="Z172" s="46">
        <v>0</v>
      </c>
      <c r="AA172" s="46">
        <v>0</v>
      </c>
      <c r="AB172" s="46">
        <v>0</v>
      </c>
      <c r="AC172" s="46">
        <v>0</v>
      </c>
      <c r="AD172" s="46">
        <v>0</v>
      </c>
      <c r="AE172" s="46">
        <v>0</v>
      </c>
      <c r="AF172" s="46">
        <v>0</v>
      </c>
      <c r="AG172" s="46">
        <v>0</v>
      </c>
      <c r="AH172" s="33"/>
    </row>
    <row r="173" spans="1:34" s="34" customFormat="1" hidden="1">
      <c r="A173" s="35" t="s">
        <v>276</v>
      </c>
      <c r="B173" s="26">
        <f>VLOOKUP(A173,'TH theo khach hang'!$A$4:$C$309,2,FALSE)</f>
        <v>0</v>
      </c>
      <c r="C173" s="27" t="str">
        <f>IF(VLOOKUP(A173,'TH theo khach hang'!$A$4:$C$309,3,FALSE)=0, "", "x")</f>
        <v/>
      </c>
      <c r="D173" s="43">
        <f t="shared" si="26"/>
        <v>0</v>
      </c>
      <c r="E173" s="44">
        <f t="shared" si="27"/>
        <v>0</v>
      </c>
      <c r="F173" s="45">
        <f>VLOOKUP(A173,'TH theo khach hang'!$A$4:$G$309,4,FALSE)</f>
        <v>0</v>
      </c>
      <c r="G173" s="46">
        <f>VLOOKUP(A173,'TH theo khach hang'!$A$4:$G$309,5,FALSE)</f>
        <v>0</v>
      </c>
      <c r="H173" s="45">
        <f t="shared" si="28"/>
        <v>0</v>
      </c>
      <c r="I173" s="47">
        <f t="shared" si="29"/>
        <v>0</v>
      </c>
      <c r="J173" s="46">
        <v>0</v>
      </c>
      <c r="K173" s="46">
        <v>0</v>
      </c>
      <c r="L173" s="46">
        <v>0</v>
      </c>
      <c r="M173" s="46">
        <v>0</v>
      </c>
      <c r="N173" s="46">
        <v>0</v>
      </c>
      <c r="O173" s="46">
        <v>0</v>
      </c>
      <c r="P173" s="46">
        <v>0</v>
      </c>
      <c r="Q173" s="46">
        <v>0</v>
      </c>
      <c r="R173" s="46">
        <v>0</v>
      </c>
      <c r="S173" s="46">
        <v>0</v>
      </c>
      <c r="T173" s="46">
        <v>0</v>
      </c>
      <c r="U173" s="46">
        <v>0</v>
      </c>
      <c r="V173" s="46">
        <v>0</v>
      </c>
      <c r="W173" s="46">
        <v>0</v>
      </c>
      <c r="X173" s="46">
        <v>0</v>
      </c>
      <c r="Y173" s="46">
        <v>0</v>
      </c>
      <c r="Z173" s="46">
        <v>0</v>
      </c>
      <c r="AA173" s="46">
        <v>0</v>
      </c>
      <c r="AB173" s="46">
        <v>0</v>
      </c>
      <c r="AC173" s="46">
        <v>0</v>
      </c>
      <c r="AD173" s="46">
        <v>0</v>
      </c>
      <c r="AE173" s="46">
        <v>0</v>
      </c>
      <c r="AF173" s="46">
        <v>0</v>
      </c>
      <c r="AG173" s="46">
        <v>0</v>
      </c>
    </row>
    <row r="174" spans="1:34" s="34" customFormat="1" hidden="1">
      <c r="A174" s="35" t="s">
        <v>277</v>
      </c>
      <c r="B174" s="26">
        <f>VLOOKUP(A174,'TH theo khach hang'!$A$4:$C$309,2,FALSE)</f>
        <v>0</v>
      </c>
      <c r="C174" s="27" t="str">
        <f>IF(VLOOKUP(A174,'TH theo khach hang'!$A$4:$C$309,3,FALSE)=0, "", "x")</f>
        <v/>
      </c>
      <c r="D174" s="43">
        <f t="shared" si="26"/>
        <v>0</v>
      </c>
      <c r="E174" s="44">
        <f t="shared" si="27"/>
        <v>0</v>
      </c>
      <c r="F174" s="45">
        <f>VLOOKUP(A174,'TH theo khach hang'!$A$4:$G$309,4,FALSE)</f>
        <v>0</v>
      </c>
      <c r="G174" s="46">
        <f>VLOOKUP(A174,'TH theo khach hang'!$A$4:$G$309,5,FALSE)</f>
        <v>0</v>
      </c>
      <c r="H174" s="45">
        <f t="shared" si="28"/>
        <v>0</v>
      </c>
      <c r="I174" s="47">
        <f t="shared" si="29"/>
        <v>0</v>
      </c>
      <c r="J174" s="46">
        <v>0</v>
      </c>
      <c r="K174" s="46">
        <v>0</v>
      </c>
      <c r="L174" s="46">
        <v>0</v>
      </c>
      <c r="M174" s="46">
        <v>0</v>
      </c>
      <c r="N174" s="46">
        <v>0</v>
      </c>
      <c r="O174" s="46">
        <v>0</v>
      </c>
      <c r="P174" s="46">
        <v>0</v>
      </c>
      <c r="Q174" s="46">
        <v>0</v>
      </c>
      <c r="R174" s="46">
        <v>0</v>
      </c>
      <c r="S174" s="46">
        <v>0</v>
      </c>
      <c r="T174" s="46">
        <v>0</v>
      </c>
      <c r="U174" s="46">
        <v>0</v>
      </c>
      <c r="V174" s="46">
        <v>0</v>
      </c>
      <c r="W174" s="46">
        <v>0</v>
      </c>
      <c r="X174" s="46">
        <v>0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  <c r="AD174" s="46">
        <v>0</v>
      </c>
      <c r="AE174" s="46">
        <v>0</v>
      </c>
      <c r="AF174" s="46">
        <v>0</v>
      </c>
      <c r="AG174" s="46">
        <v>0</v>
      </c>
    </row>
    <row r="175" spans="1:34" s="34" customFormat="1" hidden="1">
      <c r="A175" s="35" t="s">
        <v>278</v>
      </c>
      <c r="B175" s="26">
        <f>VLOOKUP(A175,'TH theo khach hang'!$A$4:$C$309,2,FALSE)</f>
        <v>0</v>
      </c>
      <c r="C175" s="27" t="str">
        <f>IF(VLOOKUP(A175,'TH theo khach hang'!$A$4:$C$309,3,FALSE)=0, "", "x")</f>
        <v/>
      </c>
      <c r="D175" s="43">
        <f t="shared" si="26"/>
        <v>0</v>
      </c>
      <c r="E175" s="44">
        <f t="shared" si="27"/>
        <v>0</v>
      </c>
      <c r="F175" s="45">
        <f>VLOOKUP(A175,'TH theo khach hang'!$A$4:$G$309,4,FALSE)</f>
        <v>0</v>
      </c>
      <c r="G175" s="46">
        <f>VLOOKUP(A175,'TH theo khach hang'!$A$4:$G$309,5,FALSE)</f>
        <v>0</v>
      </c>
      <c r="H175" s="45">
        <f t="shared" si="28"/>
        <v>0</v>
      </c>
      <c r="I175" s="47">
        <f t="shared" si="29"/>
        <v>0</v>
      </c>
      <c r="J175" s="46">
        <v>0</v>
      </c>
      <c r="K175" s="46">
        <v>0</v>
      </c>
      <c r="L175" s="46">
        <v>0</v>
      </c>
      <c r="M175" s="46">
        <v>0</v>
      </c>
      <c r="N175" s="46">
        <v>0</v>
      </c>
      <c r="O175" s="46">
        <v>0</v>
      </c>
      <c r="P175" s="46">
        <v>0</v>
      </c>
      <c r="Q175" s="46">
        <v>0</v>
      </c>
      <c r="R175" s="46">
        <v>0</v>
      </c>
      <c r="S175" s="46">
        <v>0</v>
      </c>
      <c r="T175" s="46">
        <v>0</v>
      </c>
      <c r="U175" s="46">
        <v>0</v>
      </c>
      <c r="V175" s="46">
        <v>0</v>
      </c>
      <c r="W175" s="46">
        <v>0</v>
      </c>
      <c r="X175" s="46">
        <v>0</v>
      </c>
      <c r="Y175" s="46">
        <v>0</v>
      </c>
      <c r="Z175" s="46">
        <v>0</v>
      </c>
      <c r="AA175" s="46">
        <v>0</v>
      </c>
      <c r="AB175" s="46">
        <v>0</v>
      </c>
      <c r="AC175" s="46">
        <v>0</v>
      </c>
      <c r="AD175" s="46">
        <v>0</v>
      </c>
      <c r="AE175" s="46">
        <v>0</v>
      </c>
      <c r="AF175" s="46">
        <v>0</v>
      </c>
      <c r="AG175" s="46">
        <v>0</v>
      </c>
      <c r="AH175" s="33"/>
    </row>
    <row r="176" spans="1:34" hidden="1">
      <c r="A176" s="35" t="s">
        <v>279</v>
      </c>
      <c r="B176" s="26">
        <f>VLOOKUP(A176,'TH theo khach hang'!$A$4:$C$309,2,FALSE)</f>
        <v>0</v>
      </c>
      <c r="C176" s="27" t="str">
        <f>IF(VLOOKUP(A176,'TH theo khach hang'!$A$4:$C$309,3,FALSE)=0, "", "x")</f>
        <v/>
      </c>
      <c r="D176" s="43">
        <f t="shared" si="26"/>
        <v>0</v>
      </c>
      <c r="E176" s="44">
        <f t="shared" si="27"/>
        <v>0</v>
      </c>
      <c r="F176" s="45">
        <f>VLOOKUP(A176,'TH theo khach hang'!$A$4:$G$309,4,FALSE)</f>
        <v>0</v>
      </c>
      <c r="G176" s="46">
        <f>VLOOKUP(A176,'TH theo khach hang'!$A$4:$G$309,5,FALSE)</f>
        <v>0</v>
      </c>
      <c r="H176" s="45">
        <f t="shared" si="28"/>
        <v>0</v>
      </c>
      <c r="I176" s="47">
        <f t="shared" si="29"/>
        <v>0</v>
      </c>
      <c r="J176" s="46">
        <v>0</v>
      </c>
      <c r="K176" s="46">
        <v>0</v>
      </c>
      <c r="L176" s="46">
        <v>0</v>
      </c>
      <c r="M176" s="46">
        <v>0</v>
      </c>
      <c r="N176" s="46">
        <v>0</v>
      </c>
      <c r="O176" s="46">
        <v>0</v>
      </c>
      <c r="P176" s="46">
        <v>0</v>
      </c>
      <c r="Q176" s="46">
        <v>0</v>
      </c>
      <c r="R176" s="46">
        <v>0</v>
      </c>
      <c r="S176" s="46">
        <v>0</v>
      </c>
      <c r="T176" s="46">
        <v>0</v>
      </c>
      <c r="U176" s="46">
        <v>0</v>
      </c>
      <c r="V176" s="46">
        <v>0</v>
      </c>
      <c r="W176" s="46">
        <v>0</v>
      </c>
      <c r="X176" s="46">
        <v>0</v>
      </c>
      <c r="Y176" s="46">
        <v>0</v>
      </c>
      <c r="Z176" s="46">
        <v>0</v>
      </c>
      <c r="AA176" s="46">
        <v>0</v>
      </c>
      <c r="AB176" s="46">
        <v>0</v>
      </c>
      <c r="AC176" s="46">
        <v>0</v>
      </c>
      <c r="AD176" s="46">
        <v>0</v>
      </c>
      <c r="AE176" s="46">
        <v>0</v>
      </c>
      <c r="AF176" s="46">
        <v>0</v>
      </c>
      <c r="AG176" s="46">
        <v>0</v>
      </c>
    </row>
    <row r="177" spans="1:34" hidden="1">
      <c r="A177" s="35" t="s">
        <v>280</v>
      </c>
      <c r="B177" s="26">
        <f>VLOOKUP(A177,'TH theo khach hang'!$A$4:$C$309,2,FALSE)</f>
        <v>0</v>
      </c>
      <c r="C177" s="27" t="str">
        <f>IF(VLOOKUP(A177,'TH theo khach hang'!$A$4:$C$309,3,FALSE)=0, "", "x")</f>
        <v/>
      </c>
      <c r="D177" s="43">
        <f t="shared" si="26"/>
        <v>0</v>
      </c>
      <c r="E177" s="44">
        <f t="shared" si="27"/>
        <v>0</v>
      </c>
      <c r="F177" s="45">
        <f>VLOOKUP(A177,'TH theo khach hang'!$A$4:$G$309,4,FALSE)</f>
        <v>0</v>
      </c>
      <c r="G177" s="46">
        <f>VLOOKUP(A177,'TH theo khach hang'!$A$4:$G$309,5,FALSE)</f>
        <v>0</v>
      </c>
      <c r="H177" s="45">
        <f t="shared" si="28"/>
        <v>0</v>
      </c>
      <c r="I177" s="47">
        <f t="shared" si="29"/>
        <v>0</v>
      </c>
      <c r="J177" s="46">
        <v>0</v>
      </c>
      <c r="K177" s="46">
        <v>0</v>
      </c>
      <c r="L177" s="46">
        <v>0</v>
      </c>
      <c r="M177" s="46">
        <v>0</v>
      </c>
      <c r="N177" s="46">
        <v>0</v>
      </c>
      <c r="O177" s="46">
        <v>0</v>
      </c>
      <c r="P177" s="46">
        <v>0</v>
      </c>
      <c r="Q177" s="46">
        <v>0</v>
      </c>
      <c r="R177" s="46">
        <v>0</v>
      </c>
      <c r="S177" s="46">
        <v>0</v>
      </c>
      <c r="T177" s="46">
        <v>0</v>
      </c>
      <c r="U177" s="46">
        <v>0</v>
      </c>
      <c r="V177" s="46">
        <v>0</v>
      </c>
      <c r="W177" s="46">
        <v>0</v>
      </c>
      <c r="X177" s="46">
        <v>0</v>
      </c>
      <c r="Y177" s="46">
        <v>0</v>
      </c>
      <c r="Z177" s="46">
        <v>0</v>
      </c>
      <c r="AA177" s="46">
        <v>0</v>
      </c>
      <c r="AB177" s="46">
        <v>0</v>
      </c>
      <c r="AC177" s="46">
        <v>0</v>
      </c>
      <c r="AD177" s="46">
        <v>0</v>
      </c>
      <c r="AE177" s="46">
        <v>0</v>
      </c>
      <c r="AF177" s="46">
        <v>0</v>
      </c>
      <c r="AG177" s="46">
        <v>0</v>
      </c>
    </row>
    <row r="178" spans="1:34" hidden="1">
      <c r="A178" s="35" t="s">
        <v>281</v>
      </c>
      <c r="B178" s="26">
        <f>VLOOKUP(A178,'TH theo khach hang'!$A$4:$C$309,2,FALSE)</f>
        <v>0</v>
      </c>
      <c r="C178" s="27" t="str">
        <f>IF(VLOOKUP(A178,'TH theo khach hang'!$A$4:$C$309,3,FALSE)=0, "", "x")</f>
        <v/>
      </c>
      <c r="D178" s="43">
        <f t="shared" si="26"/>
        <v>0</v>
      </c>
      <c r="E178" s="44">
        <f t="shared" si="27"/>
        <v>0</v>
      </c>
      <c r="F178" s="45">
        <f>VLOOKUP(A178,'TH theo khach hang'!$A$4:$G$309,4,FALSE)</f>
        <v>0</v>
      </c>
      <c r="G178" s="46">
        <f>VLOOKUP(A178,'TH theo khach hang'!$A$4:$G$309,5,FALSE)</f>
        <v>0</v>
      </c>
      <c r="H178" s="45">
        <f t="shared" si="28"/>
        <v>0</v>
      </c>
      <c r="I178" s="47">
        <f t="shared" si="29"/>
        <v>0</v>
      </c>
      <c r="J178" s="46">
        <v>0</v>
      </c>
      <c r="K178" s="46">
        <v>0</v>
      </c>
      <c r="L178" s="46">
        <v>0</v>
      </c>
      <c r="M178" s="46">
        <v>0</v>
      </c>
      <c r="N178" s="46">
        <v>0</v>
      </c>
      <c r="O178" s="46">
        <v>0</v>
      </c>
      <c r="P178" s="46">
        <v>0</v>
      </c>
      <c r="Q178" s="46">
        <v>0</v>
      </c>
      <c r="R178" s="46">
        <v>0</v>
      </c>
      <c r="S178" s="46">
        <v>0</v>
      </c>
      <c r="T178" s="46">
        <v>0</v>
      </c>
      <c r="U178" s="46">
        <v>0</v>
      </c>
      <c r="V178" s="46">
        <v>0</v>
      </c>
      <c r="W178" s="46">
        <v>0</v>
      </c>
      <c r="X178" s="46">
        <v>0</v>
      </c>
      <c r="Y178" s="46">
        <v>0</v>
      </c>
      <c r="Z178" s="46">
        <v>0</v>
      </c>
      <c r="AA178" s="46">
        <v>0</v>
      </c>
      <c r="AB178" s="46">
        <v>0</v>
      </c>
      <c r="AC178" s="46">
        <v>0</v>
      </c>
      <c r="AD178" s="46">
        <v>0</v>
      </c>
      <c r="AE178" s="46">
        <v>0</v>
      </c>
      <c r="AF178" s="46">
        <v>0</v>
      </c>
      <c r="AG178" s="46">
        <v>0</v>
      </c>
    </row>
    <row r="179" spans="1:34" hidden="1">
      <c r="A179" s="35" t="s">
        <v>282</v>
      </c>
      <c r="B179" s="26">
        <f>VLOOKUP(A179,'TH theo khach hang'!$A$4:$C$309,2,FALSE)</f>
        <v>0</v>
      </c>
      <c r="C179" s="27" t="str">
        <f>IF(VLOOKUP(A179,'TH theo khach hang'!$A$4:$C$309,3,FALSE)=0, "", "x")</f>
        <v/>
      </c>
      <c r="D179" s="43">
        <f t="shared" si="26"/>
        <v>0</v>
      </c>
      <c r="E179" s="44">
        <f t="shared" si="27"/>
        <v>0</v>
      </c>
      <c r="F179" s="45">
        <f>VLOOKUP(A179,'TH theo khach hang'!$A$4:$G$309,4,FALSE)</f>
        <v>0</v>
      </c>
      <c r="G179" s="46">
        <f>VLOOKUP(A179,'TH theo khach hang'!$A$4:$G$309,5,FALSE)</f>
        <v>0</v>
      </c>
      <c r="H179" s="45">
        <f t="shared" si="28"/>
        <v>0</v>
      </c>
      <c r="I179" s="47">
        <f t="shared" si="29"/>
        <v>0</v>
      </c>
      <c r="J179" s="46">
        <v>0</v>
      </c>
      <c r="K179" s="46">
        <v>0</v>
      </c>
      <c r="L179" s="46">
        <v>0</v>
      </c>
      <c r="M179" s="46">
        <v>0</v>
      </c>
      <c r="N179" s="46">
        <v>0</v>
      </c>
      <c r="O179" s="46">
        <v>0</v>
      </c>
      <c r="P179" s="46">
        <v>0</v>
      </c>
      <c r="Q179" s="46">
        <v>0</v>
      </c>
      <c r="R179" s="46">
        <v>0</v>
      </c>
      <c r="S179" s="46">
        <v>0</v>
      </c>
      <c r="T179" s="46">
        <v>0</v>
      </c>
      <c r="U179" s="46">
        <v>0</v>
      </c>
      <c r="V179" s="46">
        <v>0</v>
      </c>
      <c r="W179" s="46">
        <v>0</v>
      </c>
      <c r="X179" s="46">
        <v>0</v>
      </c>
      <c r="Y179" s="46">
        <v>0</v>
      </c>
      <c r="Z179" s="46">
        <v>0</v>
      </c>
      <c r="AA179" s="46">
        <v>0</v>
      </c>
      <c r="AB179" s="46">
        <v>0</v>
      </c>
      <c r="AC179" s="46">
        <v>0</v>
      </c>
      <c r="AD179" s="46">
        <v>0</v>
      </c>
      <c r="AE179" s="46">
        <v>0</v>
      </c>
      <c r="AF179" s="46">
        <v>0</v>
      </c>
      <c r="AG179" s="46">
        <v>0</v>
      </c>
    </row>
    <row r="180" spans="1:34" hidden="1">
      <c r="A180" s="35" t="s">
        <v>283</v>
      </c>
      <c r="B180" s="50">
        <f>VLOOKUP(A180,'TH theo khach hang'!$A$4:$C$309,2,FALSE)</f>
        <v>0</v>
      </c>
      <c r="C180" s="27" t="str">
        <f>IF(VLOOKUP(A180,'TH theo khach hang'!$A$4:$C$309,3,FALSE)=0, "", "x")</f>
        <v/>
      </c>
      <c r="D180" s="43">
        <f t="shared" si="26"/>
        <v>0</v>
      </c>
      <c r="E180" s="44">
        <f t="shared" si="27"/>
        <v>0</v>
      </c>
      <c r="F180" s="45">
        <f>VLOOKUP(A180,'TH theo khach hang'!$A$4:$G$309,4,FALSE)</f>
        <v>0</v>
      </c>
      <c r="G180" s="46">
        <f>VLOOKUP(A180,'TH theo khach hang'!$A$4:$G$309,5,FALSE)</f>
        <v>0</v>
      </c>
      <c r="H180" s="45">
        <f t="shared" si="28"/>
        <v>0</v>
      </c>
      <c r="I180" s="47">
        <f t="shared" si="29"/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0</v>
      </c>
      <c r="O180" s="46">
        <v>0</v>
      </c>
      <c r="P180" s="46">
        <v>0</v>
      </c>
      <c r="Q180" s="46">
        <v>0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>
        <v>0</v>
      </c>
      <c r="Z180" s="46">
        <v>0</v>
      </c>
      <c r="AA180" s="46">
        <v>0</v>
      </c>
      <c r="AB180" s="46">
        <v>0</v>
      </c>
      <c r="AC180" s="46">
        <v>0</v>
      </c>
      <c r="AD180" s="46">
        <v>0</v>
      </c>
      <c r="AE180" s="46">
        <v>0</v>
      </c>
      <c r="AF180" s="46">
        <v>0</v>
      </c>
      <c r="AG180" s="46">
        <v>0</v>
      </c>
    </row>
    <row r="181" spans="1:34" hidden="1">
      <c r="A181" s="35" t="s">
        <v>284</v>
      </c>
      <c r="B181" s="26">
        <f>VLOOKUP(A181,'TH theo khach hang'!$A$4:$C$309,2,FALSE)</f>
        <v>0</v>
      </c>
      <c r="C181" s="27" t="str">
        <f>IF(VLOOKUP(A181,'TH theo khach hang'!$A$4:$C$309,3,FALSE)=0, "", "x")</f>
        <v/>
      </c>
      <c r="D181" s="43">
        <f t="shared" si="26"/>
        <v>0</v>
      </c>
      <c r="E181" s="44">
        <f t="shared" si="27"/>
        <v>0</v>
      </c>
      <c r="F181" s="45">
        <f>VLOOKUP(A181,'TH theo khach hang'!$A$4:$G$309,4,FALSE)</f>
        <v>0</v>
      </c>
      <c r="G181" s="46">
        <f>VLOOKUP(A181,'TH theo khach hang'!$A$4:$G$309,5,FALSE)</f>
        <v>0</v>
      </c>
      <c r="H181" s="45">
        <f t="shared" si="28"/>
        <v>0</v>
      </c>
      <c r="I181" s="47">
        <f t="shared" si="29"/>
        <v>0</v>
      </c>
      <c r="J181" s="46">
        <v>0</v>
      </c>
      <c r="K181" s="46">
        <v>0</v>
      </c>
      <c r="L181" s="46">
        <v>0</v>
      </c>
      <c r="M181" s="46">
        <v>0</v>
      </c>
      <c r="N181" s="46">
        <v>0</v>
      </c>
      <c r="O181" s="46">
        <v>0</v>
      </c>
      <c r="P181" s="46">
        <v>0</v>
      </c>
      <c r="Q181" s="46">
        <v>0</v>
      </c>
      <c r="R181" s="46">
        <v>0</v>
      </c>
      <c r="S181" s="46">
        <v>0</v>
      </c>
      <c r="T181" s="46">
        <v>0</v>
      </c>
      <c r="U181" s="46">
        <v>0</v>
      </c>
      <c r="V181" s="46">
        <v>0</v>
      </c>
      <c r="W181" s="46">
        <v>0</v>
      </c>
      <c r="X181" s="46">
        <v>0</v>
      </c>
      <c r="Y181" s="46">
        <v>0</v>
      </c>
      <c r="Z181" s="46">
        <v>0</v>
      </c>
      <c r="AA181" s="46">
        <v>0</v>
      </c>
      <c r="AB181" s="46">
        <v>0</v>
      </c>
      <c r="AC181" s="46">
        <v>0</v>
      </c>
      <c r="AD181" s="46">
        <v>0</v>
      </c>
      <c r="AE181" s="46">
        <v>0</v>
      </c>
      <c r="AF181" s="46">
        <v>0</v>
      </c>
      <c r="AG181" s="46">
        <v>0</v>
      </c>
    </row>
    <row r="182" spans="1:34" hidden="1">
      <c r="A182" s="35" t="s">
        <v>285</v>
      </c>
      <c r="B182" s="26">
        <f>VLOOKUP(A182,'TH theo khach hang'!$A$4:$C$309,2,FALSE)</f>
        <v>0</v>
      </c>
      <c r="C182" s="27" t="str">
        <f>IF(VLOOKUP(A182,'TH theo khach hang'!$A$4:$C$309,3,FALSE)=0, "", "x")</f>
        <v/>
      </c>
      <c r="D182" s="43">
        <f t="shared" ref="D182:D207" si="30">F182-H182</f>
        <v>0</v>
      </c>
      <c r="E182" s="44">
        <f t="shared" ref="E182:E207" si="31">G182-I182</f>
        <v>0</v>
      </c>
      <c r="F182" s="45">
        <f>VLOOKUP(A182,'TH theo khach hang'!$A$4:$G$309,4,FALSE)</f>
        <v>0</v>
      </c>
      <c r="G182" s="46">
        <f>VLOOKUP(A182,'TH theo khach hang'!$A$4:$G$309,5,FALSE)</f>
        <v>0</v>
      </c>
      <c r="H182" s="45">
        <f t="shared" ref="H182:H207" si="32">J182+L182+N182+P182+R182+T182+V182+X182+Z182+AB182+AD182+AF182</f>
        <v>0</v>
      </c>
      <c r="I182" s="47">
        <f t="shared" ref="I182:I207" si="33">K182+M182+O182+Q182+S182+U182+W182+Y182+AA182+AC182+AE182+AG182</f>
        <v>0</v>
      </c>
      <c r="J182" s="46">
        <v>0</v>
      </c>
      <c r="K182" s="46">
        <v>0</v>
      </c>
      <c r="L182" s="46">
        <v>0</v>
      </c>
      <c r="M182" s="46">
        <v>0</v>
      </c>
      <c r="N182" s="46">
        <v>0</v>
      </c>
      <c r="O182" s="46">
        <v>0</v>
      </c>
      <c r="P182" s="46">
        <v>0</v>
      </c>
      <c r="Q182" s="46">
        <v>0</v>
      </c>
      <c r="R182" s="46">
        <v>0</v>
      </c>
      <c r="S182" s="46">
        <v>0</v>
      </c>
      <c r="T182" s="46">
        <v>0</v>
      </c>
      <c r="U182" s="46">
        <v>0</v>
      </c>
      <c r="V182" s="46">
        <v>0</v>
      </c>
      <c r="W182" s="46">
        <v>0</v>
      </c>
      <c r="X182" s="46">
        <v>0</v>
      </c>
      <c r="Y182" s="46">
        <v>0</v>
      </c>
      <c r="Z182" s="46">
        <v>0</v>
      </c>
      <c r="AA182" s="46">
        <v>0</v>
      </c>
      <c r="AB182" s="46">
        <v>0</v>
      </c>
      <c r="AC182" s="46">
        <v>0</v>
      </c>
      <c r="AD182" s="46">
        <v>0</v>
      </c>
      <c r="AE182" s="46">
        <v>0</v>
      </c>
      <c r="AF182" s="46">
        <v>0</v>
      </c>
      <c r="AG182" s="46">
        <v>0</v>
      </c>
    </row>
    <row r="183" spans="1:34" hidden="1">
      <c r="A183" s="35" t="s">
        <v>286</v>
      </c>
      <c r="B183" s="26">
        <f>VLOOKUP(A183,'TH theo khach hang'!$A$4:$C$309,2,FALSE)</f>
        <v>0</v>
      </c>
      <c r="C183" s="27" t="str">
        <f>IF(VLOOKUP(A183,'TH theo khach hang'!$A$4:$C$309,3,FALSE)=0, "", "x")</f>
        <v/>
      </c>
      <c r="D183" s="43">
        <f t="shared" si="30"/>
        <v>0</v>
      </c>
      <c r="E183" s="44">
        <f t="shared" si="31"/>
        <v>0</v>
      </c>
      <c r="F183" s="45">
        <f>VLOOKUP(A183,'TH theo khach hang'!$A$4:$G$309,4,FALSE)</f>
        <v>0</v>
      </c>
      <c r="G183" s="46">
        <f>VLOOKUP(A183,'TH theo khach hang'!$A$4:$G$309,5,FALSE)</f>
        <v>0</v>
      </c>
      <c r="H183" s="45">
        <f t="shared" si="32"/>
        <v>0</v>
      </c>
      <c r="I183" s="47">
        <f t="shared" si="33"/>
        <v>0</v>
      </c>
      <c r="J183" s="46">
        <v>0</v>
      </c>
      <c r="K183" s="46">
        <v>0</v>
      </c>
      <c r="L183" s="46">
        <v>0</v>
      </c>
      <c r="M183" s="46">
        <v>0</v>
      </c>
      <c r="N183" s="46">
        <v>0</v>
      </c>
      <c r="O183" s="46">
        <v>0</v>
      </c>
      <c r="P183" s="46">
        <v>0</v>
      </c>
      <c r="Q183" s="46">
        <v>0</v>
      </c>
      <c r="R183" s="46">
        <v>0</v>
      </c>
      <c r="S183" s="46">
        <v>0</v>
      </c>
      <c r="T183" s="46">
        <v>0</v>
      </c>
      <c r="U183" s="46">
        <v>0</v>
      </c>
      <c r="V183" s="46">
        <v>0</v>
      </c>
      <c r="W183" s="46">
        <v>0</v>
      </c>
      <c r="X183" s="46">
        <v>0</v>
      </c>
      <c r="Y183" s="46">
        <v>0</v>
      </c>
      <c r="Z183" s="46">
        <v>0</v>
      </c>
      <c r="AA183" s="46">
        <v>0</v>
      </c>
      <c r="AB183" s="46">
        <v>0</v>
      </c>
      <c r="AC183" s="46">
        <v>0</v>
      </c>
      <c r="AD183" s="46">
        <v>0</v>
      </c>
      <c r="AE183" s="46">
        <v>0</v>
      </c>
      <c r="AF183" s="46">
        <v>0</v>
      </c>
      <c r="AG183" s="46">
        <v>0</v>
      </c>
    </row>
    <row r="184" spans="1:34" hidden="1">
      <c r="A184" s="35" t="s">
        <v>287</v>
      </c>
      <c r="B184" s="26">
        <f>VLOOKUP(A184,'TH theo khach hang'!$A$4:$C$309,2,FALSE)</f>
        <v>0</v>
      </c>
      <c r="C184" s="27" t="str">
        <f>IF(VLOOKUP(A184,'TH theo khach hang'!$A$4:$C$309,3,FALSE)=0, "", "x")</f>
        <v/>
      </c>
      <c r="D184" s="43">
        <f t="shared" si="30"/>
        <v>0</v>
      </c>
      <c r="E184" s="44">
        <f t="shared" si="31"/>
        <v>0</v>
      </c>
      <c r="F184" s="45">
        <f>VLOOKUP(A184,'TH theo khach hang'!$A$4:$G$309,4,FALSE)</f>
        <v>0</v>
      </c>
      <c r="G184" s="46">
        <f>VLOOKUP(A184,'TH theo khach hang'!$A$4:$G$309,5,FALSE)</f>
        <v>0</v>
      </c>
      <c r="H184" s="45">
        <f t="shared" si="32"/>
        <v>0</v>
      </c>
      <c r="I184" s="47">
        <f t="shared" si="33"/>
        <v>0</v>
      </c>
      <c r="J184" s="46">
        <v>0</v>
      </c>
      <c r="K184" s="46">
        <v>0</v>
      </c>
      <c r="L184" s="46">
        <v>0</v>
      </c>
      <c r="M184" s="46">
        <v>0</v>
      </c>
      <c r="N184" s="46">
        <v>0</v>
      </c>
      <c r="O184" s="46">
        <v>0</v>
      </c>
      <c r="P184" s="46">
        <v>0</v>
      </c>
      <c r="Q184" s="46">
        <v>0</v>
      </c>
      <c r="R184" s="46">
        <v>0</v>
      </c>
      <c r="S184" s="46">
        <v>0</v>
      </c>
      <c r="T184" s="46">
        <v>0</v>
      </c>
      <c r="U184" s="46">
        <v>0</v>
      </c>
      <c r="V184" s="46">
        <v>0</v>
      </c>
      <c r="W184" s="46">
        <v>0</v>
      </c>
      <c r="X184" s="46">
        <v>0</v>
      </c>
      <c r="Y184" s="46">
        <v>0</v>
      </c>
      <c r="Z184" s="46">
        <v>0</v>
      </c>
      <c r="AA184" s="46">
        <v>0</v>
      </c>
      <c r="AB184" s="46">
        <v>0</v>
      </c>
      <c r="AC184" s="46">
        <v>0</v>
      </c>
      <c r="AD184" s="46">
        <v>0</v>
      </c>
      <c r="AE184" s="46">
        <v>0</v>
      </c>
      <c r="AF184" s="46">
        <v>0</v>
      </c>
      <c r="AG184" s="46">
        <v>0</v>
      </c>
    </row>
    <row r="185" spans="1:34" hidden="1">
      <c r="A185" s="35" t="s">
        <v>288</v>
      </c>
      <c r="B185" s="26">
        <f>VLOOKUP(A185,'TH theo khach hang'!$A$4:$C$309,2,FALSE)</f>
        <v>0</v>
      </c>
      <c r="C185" s="27" t="str">
        <f>IF(VLOOKUP(A185,'TH theo khach hang'!$A$4:$C$309,3,FALSE)=0, "", "x")</f>
        <v/>
      </c>
      <c r="D185" s="43">
        <f t="shared" si="30"/>
        <v>0</v>
      </c>
      <c r="E185" s="44">
        <f t="shared" si="31"/>
        <v>0</v>
      </c>
      <c r="F185" s="45">
        <f>VLOOKUP(A185,'TH theo khach hang'!$A$4:$G$309,4,FALSE)</f>
        <v>0</v>
      </c>
      <c r="G185" s="46">
        <f>VLOOKUP(A185,'TH theo khach hang'!$A$4:$G$309,5,FALSE)</f>
        <v>0</v>
      </c>
      <c r="H185" s="45">
        <f t="shared" si="32"/>
        <v>0</v>
      </c>
      <c r="I185" s="47">
        <f t="shared" si="33"/>
        <v>0</v>
      </c>
      <c r="J185" s="46">
        <v>0</v>
      </c>
      <c r="K185" s="46">
        <v>0</v>
      </c>
      <c r="L185" s="46">
        <v>0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  <c r="R185" s="46">
        <v>0</v>
      </c>
      <c r="S185" s="46">
        <v>0</v>
      </c>
      <c r="T185" s="46">
        <v>0</v>
      </c>
      <c r="U185" s="46">
        <v>0</v>
      </c>
      <c r="V185" s="46">
        <v>0</v>
      </c>
      <c r="W185" s="46">
        <v>0</v>
      </c>
      <c r="X185" s="46">
        <v>0</v>
      </c>
      <c r="Y185" s="46">
        <v>0</v>
      </c>
      <c r="Z185" s="46">
        <v>0</v>
      </c>
      <c r="AA185" s="46">
        <v>0</v>
      </c>
      <c r="AB185" s="46">
        <v>0</v>
      </c>
      <c r="AC185" s="46">
        <v>0</v>
      </c>
      <c r="AD185" s="46">
        <v>0</v>
      </c>
      <c r="AE185" s="46">
        <v>0</v>
      </c>
      <c r="AF185" s="46">
        <v>0</v>
      </c>
      <c r="AG185" s="46">
        <v>0</v>
      </c>
    </row>
    <row r="186" spans="1:34" s="34" customFormat="1" hidden="1">
      <c r="A186" s="35" t="s">
        <v>289</v>
      </c>
      <c r="B186" s="50">
        <f>VLOOKUP(A186,'TH theo khach hang'!$A$4:$C$309,2,FALSE)</f>
        <v>0</v>
      </c>
      <c r="C186" s="27" t="str">
        <f>IF(VLOOKUP(A186,'TH theo khach hang'!$A$4:$C$309,3,FALSE)=0, "", "x")</f>
        <v/>
      </c>
      <c r="D186" s="43">
        <f t="shared" si="30"/>
        <v>0</v>
      </c>
      <c r="E186" s="44">
        <f t="shared" si="31"/>
        <v>0</v>
      </c>
      <c r="F186" s="45">
        <f>VLOOKUP(A186,'TH theo khach hang'!$A$4:$G$309,4,FALSE)</f>
        <v>0</v>
      </c>
      <c r="G186" s="46">
        <f>VLOOKUP(A186,'TH theo khach hang'!$A$4:$G$309,5,FALSE)</f>
        <v>0</v>
      </c>
      <c r="H186" s="45">
        <f t="shared" si="32"/>
        <v>0</v>
      </c>
      <c r="I186" s="47">
        <f t="shared" si="33"/>
        <v>0</v>
      </c>
      <c r="J186" s="46">
        <v>0</v>
      </c>
      <c r="K186" s="46">
        <v>0</v>
      </c>
      <c r="L186" s="46">
        <v>0</v>
      </c>
      <c r="M186" s="46">
        <v>0</v>
      </c>
      <c r="N186" s="46">
        <v>0</v>
      </c>
      <c r="O186" s="46">
        <v>0</v>
      </c>
      <c r="P186" s="46">
        <v>0</v>
      </c>
      <c r="Q186" s="46">
        <v>0</v>
      </c>
      <c r="R186" s="46">
        <v>0</v>
      </c>
      <c r="S186" s="46">
        <v>0</v>
      </c>
      <c r="T186" s="46">
        <v>0</v>
      </c>
      <c r="U186" s="46">
        <v>0</v>
      </c>
      <c r="V186" s="46">
        <v>0</v>
      </c>
      <c r="W186" s="46">
        <v>0</v>
      </c>
      <c r="X186" s="46">
        <v>0</v>
      </c>
      <c r="Y186" s="46">
        <v>0</v>
      </c>
      <c r="Z186" s="125">
        <v>0</v>
      </c>
      <c r="AA186" s="46">
        <v>0</v>
      </c>
      <c r="AB186" s="46">
        <v>0</v>
      </c>
      <c r="AC186" s="46">
        <v>0</v>
      </c>
      <c r="AD186" s="46">
        <v>0</v>
      </c>
      <c r="AE186" s="46">
        <v>0</v>
      </c>
      <c r="AF186" s="46">
        <v>0</v>
      </c>
      <c r="AG186" s="46">
        <v>0</v>
      </c>
    </row>
    <row r="187" spans="1:34" s="34" customFormat="1" hidden="1">
      <c r="A187" s="35" t="s">
        <v>290</v>
      </c>
      <c r="B187" s="26">
        <f>VLOOKUP(A187,'TH theo khach hang'!$A$4:$C$309,2,FALSE)</f>
        <v>0</v>
      </c>
      <c r="C187" s="27" t="str">
        <f>IF(VLOOKUP(A187,'TH theo khach hang'!$A$4:$C$309,3,FALSE)=0, "", "x")</f>
        <v/>
      </c>
      <c r="D187" s="43">
        <f t="shared" si="30"/>
        <v>0</v>
      </c>
      <c r="E187" s="44">
        <f t="shared" si="31"/>
        <v>0</v>
      </c>
      <c r="F187" s="45">
        <f>VLOOKUP(A187,'TH theo khach hang'!$A$4:$G$309,4,FALSE)</f>
        <v>0</v>
      </c>
      <c r="G187" s="46">
        <f>VLOOKUP(A187,'TH theo khach hang'!$A$4:$G$309,5,FALSE)</f>
        <v>0</v>
      </c>
      <c r="H187" s="45">
        <f t="shared" si="32"/>
        <v>0</v>
      </c>
      <c r="I187" s="47">
        <f t="shared" si="33"/>
        <v>0</v>
      </c>
      <c r="J187" s="46">
        <v>0</v>
      </c>
      <c r="K187" s="46"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  <c r="T187" s="46">
        <v>0</v>
      </c>
      <c r="U187" s="46">
        <v>0</v>
      </c>
      <c r="V187" s="46">
        <v>0</v>
      </c>
      <c r="W187" s="46">
        <v>0</v>
      </c>
      <c r="X187" s="46"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6">
        <v>0</v>
      </c>
      <c r="AG187" s="46">
        <v>0</v>
      </c>
    </row>
    <row r="188" spans="1:34" s="34" customFormat="1" hidden="1">
      <c r="A188" s="35" t="s">
        <v>291</v>
      </c>
      <c r="B188" s="26">
        <f>VLOOKUP(A188,'TH theo khach hang'!$A$4:$C$309,2,FALSE)</f>
        <v>0</v>
      </c>
      <c r="C188" s="27" t="str">
        <f>IF(VLOOKUP(A188,'TH theo khach hang'!$A$4:$C$309,3,FALSE)=0, "", "x")</f>
        <v/>
      </c>
      <c r="D188" s="43">
        <f t="shared" si="30"/>
        <v>0</v>
      </c>
      <c r="E188" s="44">
        <f t="shared" si="31"/>
        <v>0</v>
      </c>
      <c r="F188" s="45">
        <f>VLOOKUP(A188,'TH theo khach hang'!$A$4:$G$309,4,FALSE)</f>
        <v>0</v>
      </c>
      <c r="G188" s="46">
        <f>VLOOKUP(A188,'TH theo khach hang'!$A$4:$G$309,5,FALSE)</f>
        <v>0</v>
      </c>
      <c r="H188" s="45">
        <f t="shared" si="32"/>
        <v>0</v>
      </c>
      <c r="I188" s="47">
        <f t="shared" si="33"/>
        <v>0</v>
      </c>
      <c r="J188" s="46">
        <v>0</v>
      </c>
      <c r="K188" s="46">
        <v>0</v>
      </c>
      <c r="L188" s="46">
        <v>0</v>
      </c>
      <c r="M188" s="46">
        <v>0</v>
      </c>
      <c r="N188" s="46">
        <v>0</v>
      </c>
      <c r="O188" s="46">
        <v>0</v>
      </c>
      <c r="P188" s="46">
        <v>0</v>
      </c>
      <c r="Q188" s="46">
        <v>0</v>
      </c>
      <c r="R188" s="46">
        <v>0</v>
      </c>
      <c r="S188" s="46">
        <v>0</v>
      </c>
      <c r="T188" s="46">
        <v>0</v>
      </c>
      <c r="U188" s="46">
        <v>0</v>
      </c>
      <c r="V188" s="46">
        <v>0</v>
      </c>
      <c r="W188" s="46">
        <v>0</v>
      </c>
      <c r="X188" s="46">
        <v>0</v>
      </c>
      <c r="Y188" s="46">
        <v>0</v>
      </c>
      <c r="Z188" s="46">
        <v>0</v>
      </c>
      <c r="AA188" s="46">
        <v>0</v>
      </c>
      <c r="AB188" s="46">
        <v>0</v>
      </c>
      <c r="AC188" s="46">
        <v>0</v>
      </c>
      <c r="AD188" s="46">
        <v>0</v>
      </c>
      <c r="AE188" s="46">
        <v>0</v>
      </c>
      <c r="AF188" s="46">
        <v>0</v>
      </c>
      <c r="AG188" s="46">
        <v>0</v>
      </c>
      <c r="AH188" s="33"/>
    </row>
    <row r="189" spans="1:34" s="34" customFormat="1" hidden="1">
      <c r="A189" s="35" t="s">
        <v>292</v>
      </c>
      <c r="B189" s="26">
        <f>VLOOKUP(A189,'TH theo khach hang'!$A$4:$C$309,2,FALSE)</f>
        <v>0</v>
      </c>
      <c r="C189" s="27" t="str">
        <f>IF(VLOOKUP(A189,'TH theo khach hang'!$A$4:$C$309,3,FALSE)=0, "", "x")</f>
        <v/>
      </c>
      <c r="D189" s="43">
        <f t="shared" si="30"/>
        <v>0</v>
      </c>
      <c r="E189" s="44">
        <f t="shared" si="31"/>
        <v>0</v>
      </c>
      <c r="F189" s="45">
        <f>VLOOKUP(A189,'TH theo khach hang'!$A$4:$G$309,4,FALSE)</f>
        <v>0</v>
      </c>
      <c r="G189" s="46">
        <f>VLOOKUP(A189,'TH theo khach hang'!$A$4:$G$309,5,FALSE)</f>
        <v>0</v>
      </c>
      <c r="H189" s="45">
        <f t="shared" si="32"/>
        <v>0</v>
      </c>
      <c r="I189" s="47">
        <f t="shared" si="33"/>
        <v>0</v>
      </c>
      <c r="J189" s="46">
        <v>0</v>
      </c>
      <c r="K189" s="46">
        <v>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6">
        <v>0</v>
      </c>
      <c r="R189" s="46">
        <v>0</v>
      </c>
      <c r="S189" s="46">
        <v>0</v>
      </c>
      <c r="T189" s="46">
        <v>0</v>
      </c>
      <c r="U189" s="46">
        <v>0</v>
      </c>
      <c r="V189" s="46">
        <v>0</v>
      </c>
      <c r="W189" s="46">
        <v>0</v>
      </c>
      <c r="X189" s="46">
        <v>0</v>
      </c>
      <c r="Y189" s="46">
        <v>0</v>
      </c>
      <c r="Z189" s="46">
        <v>0</v>
      </c>
      <c r="AA189" s="46">
        <v>0</v>
      </c>
      <c r="AB189" s="46">
        <v>0</v>
      </c>
      <c r="AC189" s="46">
        <v>0</v>
      </c>
      <c r="AD189" s="46">
        <v>0</v>
      </c>
      <c r="AE189" s="46">
        <v>0</v>
      </c>
      <c r="AF189" s="46">
        <v>0</v>
      </c>
      <c r="AG189" s="46">
        <v>0</v>
      </c>
    </row>
    <row r="190" spans="1:34" s="34" customFormat="1" hidden="1">
      <c r="A190" s="35" t="s">
        <v>293</v>
      </c>
      <c r="B190" s="26">
        <f>VLOOKUP(A190,'TH theo khach hang'!$A$4:$C$309,2,FALSE)</f>
        <v>0</v>
      </c>
      <c r="C190" s="27" t="str">
        <f>IF(VLOOKUP(A190,'TH theo khach hang'!$A$4:$C$309,3,FALSE)=0, "", "x")</f>
        <v/>
      </c>
      <c r="D190" s="43">
        <f t="shared" si="30"/>
        <v>0</v>
      </c>
      <c r="E190" s="44">
        <f t="shared" si="31"/>
        <v>0</v>
      </c>
      <c r="F190" s="45">
        <f>VLOOKUP(A190,'TH theo khach hang'!$A$4:$G$309,4,FALSE)</f>
        <v>0</v>
      </c>
      <c r="G190" s="46">
        <f>VLOOKUP(A190,'TH theo khach hang'!$A$4:$G$309,5,FALSE)</f>
        <v>0</v>
      </c>
      <c r="H190" s="45">
        <f t="shared" si="32"/>
        <v>0</v>
      </c>
      <c r="I190" s="47">
        <f t="shared" si="33"/>
        <v>0</v>
      </c>
      <c r="J190" s="46">
        <v>0</v>
      </c>
      <c r="K190" s="46"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  <c r="T190" s="46">
        <v>0</v>
      </c>
      <c r="U190" s="46">
        <v>0</v>
      </c>
      <c r="V190" s="46">
        <v>0</v>
      </c>
      <c r="W190" s="46">
        <v>0</v>
      </c>
      <c r="X190" s="46">
        <v>0</v>
      </c>
      <c r="Y190" s="46">
        <v>0</v>
      </c>
      <c r="Z190" s="46">
        <v>0</v>
      </c>
      <c r="AA190" s="46">
        <v>0</v>
      </c>
      <c r="AB190" s="46">
        <v>0</v>
      </c>
      <c r="AC190" s="46">
        <v>0</v>
      </c>
      <c r="AD190" s="46">
        <v>0</v>
      </c>
      <c r="AE190" s="46">
        <v>0</v>
      </c>
      <c r="AF190" s="46">
        <v>0</v>
      </c>
      <c r="AG190" s="46">
        <v>0</v>
      </c>
    </row>
    <row r="191" spans="1:34" s="34" customFormat="1" hidden="1">
      <c r="A191" s="35" t="s">
        <v>294</v>
      </c>
      <c r="B191" s="26">
        <f>VLOOKUP(A191,'TH theo khach hang'!$A$4:$C$309,2,FALSE)</f>
        <v>0</v>
      </c>
      <c r="C191" s="27" t="str">
        <f>IF(VLOOKUP(A191,'TH theo khach hang'!$A$4:$C$309,3,FALSE)=0, "", "x")</f>
        <v/>
      </c>
      <c r="D191" s="43">
        <f t="shared" si="30"/>
        <v>0</v>
      </c>
      <c r="E191" s="44">
        <f t="shared" si="31"/>
        <v>0</v>
      </c>
      <c r="F191" s="45">
        <f>VLOOKUP(A191,'TH theo khach hang'!$A$4:$G$309,4,FALSE)</f>
        <v>0</v>
      </c>
      <c r="G191" s="46">
        <f>VLOOKUP(A191,'TH theo khach hang'!$A$4:$G$309,5,FALSE)</f>
        <v>0</v>
      </c>
      <c r="H191" s="45">
        <f t="shared" si="32"/>
        <v>0</v>
      </c>
      <c r="I191" s="47">
        <f t="shared" si="33"/>
        <v>0</v>
      </c>
      <c r="J191" s="46">
        <v>0</v>
      </c>
      <c r="K191" s="46"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0</v>
      </c>
      <c r="AE191" s="46">
        <v>0</v>
      </c>
      <c r="AF191" s="46">
        <v>0</v>
      </c>
      <c r="AG191" s="46">
        <v>0</v>
      </c>
      <c r="AH191" s="33"/>
    </row>
    <row r="192" spans="1:34" hidden="1">
      <c r="A192" s="35" t="s">
        <v>295</v>
      </c>
      <c r="B192" s="26">
        <f>VLOOKUP(A192,'TH theo khach hang'!$A$4:$C$309,2,FALSE)</f>
        <v>0</v>
      </c>
      <c r="C192" s="27" t="str">
        <f>IF(VLOOKUP(A192,'TH theo khach hang'!$A$4:$C$309,3,FALSE)=0, "", "x")</f>
        <v/>
      </c>
      <c r="D192" s="43">
        <f t="shared" si="30"/>
        <v>0</v>
      </c>
      <c r="E192" s="44">
        <f t="shared" si="31"/>
        <v>0</v>
      </c>
      <c r="F192" s="45">
        <f>VLOOKUP(A192,'TH theo khach hang'!$A$4:$G$309,4,FALSE)</f>
        <v>0</v>
      </c>
      <c r="G192" s="46">
        <f>VLOOKUP(A192,'TH theo khach hang'!$A$4:$G$309,5,FALSE)</f>
        <v>0</v>
      </c>
      <c r="H192" s="45">
        <f t="shared" si="32"/>
        <v>0</v>
      </c>
      <c r="I192" s="47">
        <f t="shared" si="33"/>
        <v>0</v>
      </c>
      <c r="J192" s="46"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6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6">
        <v>0</v>
      </c>
      <c r="AG192" s="46">
        <v>0</v>
      </c>
    </row>
    <row r="193" spans="1:34" hidden="1">
      <c r="A193" s="35" t="s">
        <v>296</v>
      </c>
      <c r="B193" s="26">
        <f>VLOOKUP(A193,'TH theo khach hang'!$A$4:$C$309,2,FALSE)</f>
        <v>0</v>
      </c>
      <c r="C193" s="27" t="str">
        <f>IF(VLOOKUP(A193,'TH theo khach hang'!$A$4:$C$309,3,FALSE)=0, "", "x")</f>
        <v/>
      </c>
      <c r="D193" s="43">
        <f t="shared" si="30"/>
        <v>0</v>
      </c>
      <c r="E193" s="44">
        <f t="shared" si="31"/>
        <v>0</v>
      </c>
      <c r="F193" s="45">
        <f>VLOOKUP(A193,'TH theo khach hang'!$A$4:$G$309,4,FALSE)</f>
        <v>0</v>
      </c>
      <c r="G193" s="46">
        <f>VLOOKUP(A193,'TH theo khach hang'!$A$4:$G$309,5,FALSE)</f>
        <v>0</v>
      </c>
      <c r="H193" s="45">
        <f t="shared" si="32"/>
        <v>0</v>
      </c>
      <c r="I193" s="47">
        <f t="shared" si="33"/>
        <v>0</v>
      </c>
      <c r="J193" s="46">
        <v>0</v>
      </c>
      <c r="K193" s="46"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X193" s="46">
        <v>0</v>
      </c>
      <c r="Y193" s="46">
        <v>0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6">
        <v>0</v>
      </c>
      <c r="AG193" s="46">
        <v>0</v>
      </c>
    </row>
    <row r="194" spans="1:34" hidden="1">
      <c r="A194" s="35" t="s">
        <v>297</v>
      </c>
      <c r="B194" s="26">
        <f>VLOOKUP(A194,'TH theo khach hang'!$A$4:$C$309,2,FALSE)</f>
        <v>0</v>
      </c>
      <c r="C194" s="27" t="str">
        <f>IF(VLOOKUP(A194,'TH theo khach hang'!$A$4:$C$309,3,FALSE)=0, "", "x")</f>
        <v/>
      </c>
      <c r="D194" s="43">
        <f t="shared" si="30"/>
        <v>0</v>
      </c>
      <c r="E194" s="44">
        <f t="shared" si="31"/>
        <v>0</v>
      </c>
      <c r="F194" s="45">
        <f>VLOOKUP(A194,'TH theo khach hang'!$A$4:$G$309,4,FALSE)</f>
        <v>0</v>
      </c>
      <c r="G194" s="46">
        <f>VLOOKUP(A194,'TH theo khach hang'!$A$4:$G$309,5,FALSE)</f>
        <v>0</v>
      </c>
      <c r="H194" s="45">
        <f t="shared" si="32"/>
        <v>0</v>
      </c>
      <c r="I194" s="47">
        <f t="shared" si="33"/>
        <v>0</v>
      </c>
      <c r="J194" s="46">
        <v>0</v>
      </c>
      <c r="K194" s="46">
        <v>0</v>
      </c>
      <c r="L194" s="46">
        <v>0</v>
      </c>
      <c r="M194" s="46">
        <v>0</v>
      </c>
      <c r="N194" s="46">
        <v>0</v>
      </c>
      <c r="O194" s="46">
        <v>0</v>
      </c>
      <c r="P194" s="46">
        <v>0</v>
      </c>
      <c r="Q194" s="46">
        <v>0</v>
      </c>
      <c r="R194" s="46">
        <v>0</v>
      </c>
      <c r="S194" s="46">
        <v>0</v>
      </c>
      <c r="T194" s="46">
        <v>0</v>
      </c>
      <c r="U194" s="46">
        <v>0</v>
      </c>
      <c r="V194" s="46">
        <v>0</v>
      </c>
      <c r="W194" s="46">
        <v>0</v>
      </c>
      <c r="X194" s="46">
        <v>0</v>
      </c>
      <c r="Y194" s="46">
        <v>0</v>
      </c>
      <c r="Z194" s="46">
        <v>0</v>
      </c>
      <c r="AA194" s="46">
        <v>0</v>
      </c>
      <c r="AB194" s="46">
        <v>0</v>
      </c>
      <c r="AC194" s="46">
        <v>0</v>
      </c>
      <c r="AD194" s="46">
        <v>0</v>
      </c>
      <c r="AE194" s="46">
        <v>0</v>
      </c>
      <c r="AF194" s="46">
        <v>0</v>
      </c>
      <c r="AG194" s="46">
        <v>0</v>
      </c>
    </row>
    <row r="195" spans="1:34" hidden="1">
      <c r="A195" s="35" t="s">
        <v>298</v>
      </c>
      <c r="B195" s="26">
        <f>VLOOKUP(A195,'TH theo khach hang'!$A$4:$C$309,2,FALSE)</f>
        <v>0</v>
      </c>
      <c r="C195" s="27" t="str">
        <f>IF(VLOOKUP(A195,'TH theo khach hang'!$A$4:$C$309,3,FALSE)=0, "", "x")</f>
        <v/>
      </c>
      <c r="D195" s="43">
        <f t="shared" si="30"/>
        <v>0</v>
      </c>
      <c r="E195" s="44">
        <f t="shared" si="31"/>
        <v>0</v>
      </c>
      <c r="F195" s="45">
        <f>VLOOKUP(A195,'TH theo khach hang'!$A$4:$G$309,4,FALSE)</f>
        <v>0</v>
      </c>
      <c r="G195" s="46">
        <f>VLOOKUP(A195,'TH theo khach hang'!$A$4:$G$309,5,FALSE)</f>
        <v>0</v>
      </c>
      <c r="H195" s="45">
        <f t="shared" si="32"/>
        <v>0</v>
      </c>
      <c r="I195" s="47">
        <f t="shared" si="33"/>
        <v>0</v>
      </c>
      <c r="J195" s="46">
        <v>0</v>
      </c>
      <c r="K195" s="46"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0</v>
      </c>
      <c r="T195" s="46">
        <v>0</v>
      </c>
      <c r="U195" s="46">
        <v>0</v>
      </c>
      <c r="V195" s="46">
        <v>0</v>
      </c>
      <c r="W195" s="46">
        <v>0</v>
      </c>
      <c r="X195" s="46">
        <v>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0</v>
      </c>
      <c r="AE195" s="46">
        <v>0</v>
      </c>
      <c r="AF195" s="46">
        <v>0</v>
      </c>
      <c r="AG195" s="46">
        <v>0</v>
      </c>
    </row>
    <row r="196" spans="1:34" hidden="1">
      <c r="A196" s="35" t="s">
        <v>299</v>
      </c>
      <c r="B196" s="26">
        <f>VLOOKUP(A196,'TH theo khach hang'!$A$4:$C$309,2,FALSE)</f>
        <v>0</v>
      </c>
      <c r="C196" s="27" t="str">
        <f>IF(VLOOKUP(A196,'TH theo khach hang'!$A$4:$C$309,3,FALSE)=0, "", "x")</f>
        <v/>
      </c>
      <c r="D196" s="43">
        <f t="shared" si="30"/>
        <v>0</v>
      </c>
      <c r="E196" s="44">
        <f t="shared" si="31"/>
        <v>0</v>
      </c>
      <c r="F196" s="45">
        <f>VLOOKUP(A196,'TH theo khach hang'!$A$4:$G$309,4,FALSE)</f>
        <v>0</v>
      </c>
      <c r="G196" s="46">
        <f>VLOOKUP(A196,'TH theo khach hang'!$A$4:$G$309,5,FALSE)</f>
        <v>0</v>
      </c>
      <c r="H196" s="45">
        <f t="shared" si="32"/>
        <v>0</v>
      </c>
      <c r="I196" s="47">
        <f t="shared" si="33"/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  <c r="T196" s="46">
        <v>0</v>
      </c>
      <c r="U196" s="46">
        <v>0</v>
      </c>
      <c r="V196" s="46">
        <v>0</v>
      </c>
      <c r="W196" s="46">
        <v>0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0</v>
      </c>
      <c r="AE196" s="46">
        <v>0</v>
      </c>
      <c r="AF196" s="46">
        <v>0</v>
      </c>
      <c r="AG196" s="46">
        <v>0</v>
      </c>
    </row>
    <row r="197" spans="1:34" s="34" customFormat="1" hidden="1">
      <c r="A197" s="35" t="s">
        <v>300</v>
      </c>
      <c r="B197" s="26">
        <f>VLOOKUP(A197,'TH theo khach hang'!$A$4:$C$309,2,FALSE)</f>
        <v>0</v>
      </c>
      <c r="C197" s="27" t="str">
        <f>IF(VLOOKUP(A197,'TH theo khach hang'!$A$4:$C$309,3,FALSE)=0, "", "x")</f>
        <v/>
      </c>
      <c r="D197" s="43">
        <f t="shared" si="30"/>
        <v>0</v>
      </c>
      <c r="E197" s="44">
        <f t="shared" si="31"/>
        <v>0</v>
      </c>
      <c r="F197" s="45">
        <f>VLOOKUP(A197,'TH theo khach hang'!$A$4:$G$309,4,FALSE)</f>
        <v>0</v>
      </c>
      <c r="G197" s="46">
        <f>VLOOKUP(A197,'TH theo khach hang'!$A$4:$G$309,5,FALSE)</f>
        <v>0</v>
      </c>
      <c r="H197" s="45">
        <f t="shared" si="32"/>
        <v>0</v>
      </c>
      <c r="I197" s="47">
        <f t="shared" si="33"/>
        <v>0</v>
      </c>
      <c r="J197" s="46">
        <v>0</v>
      </c>
      <c r="K197" s="46">
        <v>0</v>
      </c>
      <c r="L197" s="46">
        <v>0</v>
      </c>
      <c r="M197" s="46">
        <v>0</v>
      </c>
      <c r="N197" s="46">
        <v>0</v>
      </c>
      <c r="O197" s="46">
        <v>0</v>
      </c>
      <c r="P197" s="46">
        <v>0</v>
      </c>
      <c r="Q197" s="46">
        <v>0</v>
      </c>
      <c r="R197" s="46">
        <v>0</v>
      </c>
      <c r="S197" s="46">
        <v>0</v>
      </c>
      <c r="T197" s="46">
        <v>0</v>
      </c>
      <c r="U197" s="46">
        <v>0</v>
      </c>
      <c r="V197" s="46">
        <v>0</v>
      </c>
      <c r="W197" s="46">
        <v>0</v>
      </c>
      <c r="X197" s="46"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0</v>
      </c>
      <c r="AE197" s="46">
        <v>0</v>
      </c>
      <c r="AF197" s="46">
        <v>0</v>
      </c>
      <c r="AG197" s="46">
        <v>0</v>
      </c>
      <c r="AH197" s="33"/>
    </row>
    <row r="198" spans="1:34" s="34" customFormat="1" hidden="1">
      <c r="A198" s="35" t="s">
        <v>301</v>
      </c>
      <c r="B198" s="26">
        <f>VLOOKUP(A198,'TH theo khach hang'!$A$4:$C$309,2,FALSE)</f>
        <v>0</v>
      </c>
      <c r="C198" s="27" t="str">
        <f>IF(VLOOKUP(A198,'TH theo khach hang'!$A$4:$C$309,3,FALSE)=0, "", "x")</f>
        <v/>
      </c>
      <c r="D198" s="43">
        <f t="shared" si="30"/>
        <v>0</v>
      </c>
      <c r="E198" s="44">
        <f t="shared" si="31"/>
        <v>0</v>
      </c>
      <c r="F198" s="45">
        <f>VLOOKUP(A198,'TH theo khach hang'!$A$4:$G$309,4,FALSE)</f>
        <v>0</v>
      </c>
      <c r="G198" s="46">
        <f>VLOOKUP(A198,'TH theo khach hang'!$A$4:$G$309,5,FALSE)</f>
        <v>0</v>
      </c>
      <c r="H198" s="45">
        <f t="shared" si="32"/>
        <v>0</v>
      </c>
      <c r="I198" s="47">
        <f t="shared" si="33"/>
        <v>0</v>
      </c>
      <c r="J198" s="46">
        <v>0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>
        <v>0</v>
      </c>
      <c r="Q198" s="46">
        <v>0</v>
      </c>
      <c r="R198" s="46">
        <v>0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  <c r="AD198" s="46">
        <v>0</v>
      </c>
      <c r="AE198" s="46">
        <v>0</v>
      </c>
      <c r="AF198" s="46">
        <v>0</v>
      </c>
      <c r="AG198" s="46">
        <v>0</v>
      </c>
    </row>
    <row r="199" spans="1:34" s="34" customFormat="1" hidden="1">
      <c r="A199" s="35" t="s">
        <v>302</v>
      </c>
      <c r="B199" s="26">
        <f>VLOOKUP(A199,'TH theo khach hang'!$A$4:$C$309,2,FALSE)</f>
        <v>0</v>
      </c>
      <c r="C199" s="27" t="str">
        <f>IF(VLOOKUP(A199,'TH theo khach hang'!$A$4:$C$309,3,FALSE)=0, "", "x")</f>
        <v/>
      </c>
      <c r="D199" s="43">
        <f t="shared" si="30"/>
        <v>0</v>
      </c>
      <c r="E199" s="44">
        <f t="shared" si="31"/>
        <v>0</v>
      </c>
      <c r="F199" s="45">
        <f>VLOOKUP(A199,'TH theo khach hang'!$A$4:$G$309,4,FALSE)</f>
        <v>0</v>
      </c>
      <c r="G199" s="46">
        <f>VLOOKUP(A199,'TH theo khach hang'!$A$4:$G$309,5,FALSE)</f>
        <v>0</v>
      </c>
      <c r="H199" s="45">
        <f t="shared" si="32"/>
        <v>0</v>
      </c>
      <c r="I199" s="47">
        <f t="shared" si="33"/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6">
        <v>0</v>
      </c>
      <c r="Y199" s="46">
        <v>0</v>
      </c>
      <c r="Z199" s="46">
        <v>0</v>
      </c>
      <c r="AA199" s="46">
        <v>0</v>
      </c>
      <c r="AB199" s="46">
        <v>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</row>
    <row r="200" spans="1:34" s="34" customFormat="1" hidden="1">
      <c r="A200" s="35" t="s">
        <v>303</v>
      </c>
      <c r="B200" s="26">
        <f>VLOOKUP(A200,'TH theo khach hang'!$A$4:$C$309,2,FALSE)</f>
        <v>0</v>
      </c>
      <c r="C200" s="27" t="str">
        <f>IF(VLOOKUP(A200,'TH theo khach hang'!$A$4:$C$309,3,FALSE)=0, "", "x")</f>
        <v/>
      </c>
      <c r="D200" s="43">
        <f t="shared" si="30"/>
        <v>0</v>
      </c>
      <c r="E200" s="44">
        <f t="shared" si="31"/>
        <v>0</v>
      </c>
      <c r="F200" s="45">
        <f>VLOOKUP(A200,'TH theo khach hang'!$A$4:$G$309,4,FALSE)</f>
        <v>0</v>
      </c>
      <c r="G200" s="46">
        <f>VLOOKUP(A200,'TH theo khach hang'!$A$4:$G$309,5,FALSE)</f>
        <v>0</v>
      </c>
      <c r="H200" s="45">
        <f t="shared" si="32"/>
        <v>0</v>
      </c>
      <c r="I200" s="47">
        <f t="shared" si="33"/>
        <v>0</v>
      </c>
      <c r="J200" s="46">
        <v>0</v>
      </c>
      <c r="K200" s="46">
        <v>0</v>
      </c>
      <c r="L200" s="46">
        <v>0</v>
      </c>
      <c r="M200" s="46">
        <v>0</v>
      </c>
      <c r="N200" s="46">
        <v>0</v>
      </c>
      <c r="O200" s="46">
        <v>0</v>
      </c>
      <c r="P200" s="46">
        <v>0</v>
      </c>
      <c r="Q200" s="46">
        <v>0</v>
      </c>
      <c r="R200" s="46">
        <v>0</v>
      </c>
      <c r="S200" s="46">
        <v>0</v>
      </c>
      <c r="T200" s="46">
        <v>0</v>
      </c>
      <c r="U200" s="46">
        <v>0</v>
      </c>
      <c r="V200" s="46">
        <v>0</v>
      </c>
      <c r="W200" s="46">
        <v>0</v>
      </c>
      <c r="X200" s="46">
        <v>0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6">
        <v>0</v>
      </c>
      <c r="AE200" s="46">
        <v>0</v>
      </c>
      <c r="AF200" s="46">
        <v>0</v>
      </c>
      <c r="AG200" s="46">
        <v>0</v>
      </c>
      <c r="AH200" s="33"/>
    </row>
    <row r="201" spans="1:34" s="34" customFormat="1" hidden="1">
      <c r="A201" s="35" t="s">
        <v>304</v>
      </c>
      <c r="B201" s="26">
        <f>VLOOKUP(A201,'TH theo khach hang'!$A$4:$C$309,2,FALSE)</f>
        <v>0</v>
      </c>
      <c r="C201" s="27" t="str">
        <f>IF(VLOOKUP(A201,'TH theo khach hang'!$A$4:$C$309,3,FALSE)=0, "", "x")</f>
        <v/>
      </c>
      <c r="D201" s="43">
        <f t="shared" si="30"/>
        <v>0</v>
      </c>
      <c r="E201" s="44">
        <f t="shared" si="31"/>
        <v>0</v>
      </c>
      <c r="F201" s="45">
        <f>VLOOKUP(A201,'TH theo khach hang'!$A$4:$G$309,4,FALSE)</f>
        <v>0</v>
      </c>
      <c r="G201" s="46">
        <f>VLOOKUP(A201,'TH theo khach hang'!$A$4:$G$309,5,FALSE)</f>
        <v>0</v>
      </c>
      <c r="H201" s="45">
        <f t="shared" si="32"/>
        <v>0</v>
      </c>
      <c r="I201" s="47">
        <f t="shared" si="33"/>
        <v>0</v>
      </c>
      <c r="J201" s="46">
        <v>0</v>
      </c>
      <c r="K201" s="46">
        <v>0</v>
      </c>
      <c r="L201" s="46">
        <v>0</v>
      </c>
      <c r="M201" s="46">
        <v>0</v>
      </c>
      <c r="N201" s="46">
        <v>0</v>
      </c>
      <c r="O201" s="46">
        <v>0</v>
      </c>
      <c r="P201" s="46">
        <v>0</v>
      </c>
      <c r="Q201" s="46">
        <v>0</v>
      </c>
      <c r="R201" s="46">
        <v>0</v>
      </c>
      <c r="S201" s="46">
        <v>0</v>
      </c>
      <c r="T201" s="46">
        <v>0</v>
      </c>
      <c r="U201" s="46">
        <v>0</v>
      </c>
      <c r="V201" s="46">
        <v>0</v>
      </c>
      <c r="W201" s="46">
        <v>0</v>
      </c>
      <c r="X201" s="46">
        <v>0</v>
      </c>
      <c r="Y201" s="46">
        <v>0</v>
      </c>
      <c r="Z201" s="46">
        <v>0</v>
      </c>
      <c r="AA201" s="46">
        <v>0</v>
      </c>
      <c r="AB201" s="46">
        <v>0</v>
      </c>
      <c r="AC201" s="46">
        <v>0</v>
      </c>
      <c r="AD201" s="46">
        <v>0</v>
      </c>
      <c r="AE201" s="46">
        <v>0</v>
      </c>
      <c r="AF201" s="46">
        <v>0</v>
      </c>
      <c r="AG201" s="46">
        <v>0</v>
      </c>
    </row>
    <row r="202" spans="1:34" s="34" customFormat="1" hidden="1">
      <c r="A202" s="35" t="s">
        <v>305</v>
      </c>
      <c r="B202" s="26">
        <f>VLOOKUP(A202,'TH theo khach hang'!$A$4:$C$309,2,FALSE)</f>
        <v>0</v>
      </c>
      <c r="C202" s="27" t="str">
        <f>IF(VLOOKUP(A202,'TH theo khach hang'!$A$4:$C$309,3,FALSE)=0, "", "x")</f>
        <v/>
      </c>
      <c r="D202" s="43">
        <f t="shared" si="30"/>
        <v>0</v>
      </c>
      <c r="E202" s="44">
        <f t="shared" si="31"/>
        <v>0</v>
      </c>
      <c r="F202" s="45">
        <f>VLOOKUP(A202,'TH theo khach hang'!$A$4:$G$309,4,FALSE)</f>
        <v>0</v>
      </c>
      <c r="G202" s="46">
        <f>VLOOKUP(A202,'TH theo khach hang'!$A$4:$G$309,5,FALSE)</f>
        <v>0</v>
      </c>
      <c r="H202" s="45">
        <f t="shared" si="32"/>
        <v>0</v>
      </c>
      <c r="I202" s="47">
        <f t="shared" si="33"/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  <c r="O202" s="46">
        <v>0</v>
      </c>
      <c r="P202" s="46">
        <v>0</v>
      </c>
      <c r="Q202" s="46">
        <v>0</v>
      </c>
      <c r="R202" s="46">
        <v>0</v>
      </c>
      <c r="S202" s="46">
        <v>0</v>
      </c>
      <c r="T202" s="46">
        <v>0</v>
      </c>
      <c r="U202" s="46">
        <v>0</v>
      </c>
      <c r="V202" s="46">
        <v>0</v>
      </c>
      <c r="W202" s="46">
        <v>0</v>
      </c>
      <c r="X202" s="46">
        <v>0</v>
      </c>
      <c r="Y202" s="46">
        <v>0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6">
        <v>0</v>
      </c>
      <c r="AG202" s="46">
        <v>0</v>
      </c>
    </row>
    <row r="203" spans="1:34" s="34" customFormat="1" hidden="1">
      <c r="A203" s="35" t="s">
        <v>306</v>
      </c>
      <c r="B203" s="26">
        <f>VLOOKUP(A203,'TH theo khach hang'!$A$4:$C$309,2,FALSE)</f>
        <v>0</v>
      </c>
      <c r="C203" s="27" t="str">
        <f>IF(VLOOKUP(A203,'TH theo khach hang'!$A$4:$C$309,3,FALSE)=0, "", "x")</f>
        <v/>
      </c>
      <c r="D203" s="43">
        <f t="shared" si="30"/>
        <v>0</v>
      </c>
      <c r="E203" s="44">
        <f t="shared" si="31"/>
        <v>0</v>
      </c>
      <c r="F203" s="45">
        <f>VLOOKUP(A203,'TH theo khach hang'!$A$4:$G$309,4,FALSE)</f>
        <v>0</v>
      </c>
      <c r="G203" s="46">
        <f>VLOOKUP(A203,'TH theo khach hang'!$A$4:$G$309,5,FALSE)</f>
        <v>0</v>
      </c>
      <c r="H203" s="45">
        <f t="shared" si="32"/>
        <v>0</v>
      </c>
      <c r="I203" s="47">
        <f t="shared" si="33"/>
        <v>0</v>
      </c>
      <c r="J203" s="46">
        <v>0</v>
      </c>
      <c r="K203" s="46">
        <v>0</v>
      </c>
      <c r="L203" s="46">
        <v>0</v>
      </c>
      <c r="M203" s="46">
        <v>0</v>
      </c>
      <c r="N203" s="46">
        <v>0</v>
      </c>
      <c r="O203" s="46">
        <v>0</v>
      </c>
      <c r="P203" s="46">
        <v>0</v>
      </c>
      <c r="Q203" s="46">
        <v>0</v>
      </c>
      <c r="R203" s="46">
        <v>0</v>
      </c>
      <c r="S203" s="46">
        <v>0</v>
      </c>
      <c r="T203" s="46">
        <v>0</v>
      </c>
      <c r="U203" s="46">
        <v>0</v>
      </c>
      <c r="V203" s="46">
        <v>0</v>
      </c>
      <c r="W203" s="46">
        <v>0</v>
      </c>
      <c r="X203" s="46">
        <v>0</v>
      </c>
      <c r="Y203" s="46">
        <v>0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33"/>
    </row>
    <row r="204" spans="1:34" hidden="1">
      <c r="A204" s="35" t="s">
        <v>307</v>
      </c>
      <c r="B204" s="26">
        <f>VLOOKUP(A204,'TH theo khach hang'!$A$4:$C$309,2,FALSE)</f>
        <v>0</v>
      </c>
      <c r="C204" s="27" t="str">
        <f>IF(VLOOKUP(A204,'TH theo khach hang'!$A$4:$C$309,3,FALSE)=0, "", "x")</f>
        <v/>
      </c>
      <c r="D204" s="43">
        <f t="shared" si="30"/>
        <v>0</v>
      </c>
      <c r="E204" s="44">
        <f t="shared" si="31"/>
        <v>0</v>
      </c>
      <c r="F204" s="45">
        <f>VLOOKUP(A204,'TH theo khach hang'!$A$4:$G$309,4,FALSE)</f>
        <v>0</v>
      </c>
      <c r="G204" s="46">
        <f>VLOOKUP(A204,'TH theo khach hang'!$A$4:$G$309,5,FALSE)</f>
        <v>0</v>
      </c>
      <c r="H204" s="45">
        <f t="shared" si="32"/>
        <v>0</v>
      </c>
      <c r="I204" s="47">
        <f t="shared" si="33"/>
        <v>0</v>
      </c>
      <c r="J204" s="46">
        <v>0</v>
      </c>
      <c r="K204" s="46">
        <v>0</v>
      </c>
      <c r="L204" s="46">
        <v>0</v>
      </c>
      <c r="M204" s="46">
        <v>0</v>
      </c>
      <c r="N204" s="46">
        <v>0</v>
      </c>
      <c r="O204" s="46">
        <v>0</v>
      </c>
      <c r="P204" s="46">
        <v>0</v>
      </c>
      <c r="Q204" s="46">
        <v>0</v>
      </c>
      <c r="R204" s="46">
        <v>0</v>
      </c>
      <c r="S204" s="46">
        <v>0</v>
      </c>
      <c r="T204" s="46">
        <v>0</v>
      </c>
      <c r="U204" s="46">
        <v>0</v>
      </c>
      <c r="V204" s="46">
        <v>0</v>
      </c>
      <c r="W204" s="46">
        <v>0</v>
      </c>
      <c r="X204" s="46">
        <v>0</v>
      </c>
      <c r="Y204" s="46">
        <v>0</v>
      </c>
      <c r="Z204" s="46">
        <v>0</v>
      </c>
      <c r="AA204" s="46">
        <v>0</v>
      </c>
      <c r="AB204" s="46">
        <v>0</v>
      </c>
      <c r="AC204" s="46">
        <v>0</v>
      </c>
      <c r="AD204" s="46">
        <v>0</v>
      </c>
      <c r="AE204" s="46">
        <v>0</v>
      </c>
      <c r="AF204" s="46">
        <v>0</v>
      </c>
      <c r="AG204" s="46">
        <v>0</v>
      </c>
    </row>
    <row r="205" spans="1:34" hidden="1">
      <c r="A205" s="35" t="s">
        <v>308</v>
      </c>
      <c r="B205" s="26">
        <f>VLOOKUP(A205,'TH theo khach hang'!$A$4:$C$309,2,FALSE)</f>
        <v>0</v>
      </c>
      <c r="C205" s="27" t="str">
        <f>IF(VLOOKUP(A205,'TH theo khach hang'!$A$4:$C$309,3,FALSE)=0, "", "x")</f>
        <v/>
      </c>
      <c r="D205" s="43">
        <f t="shared" si="30"/>
        <v>0</v>
      </c>
      <c r="E205" s="44">
        <f t="shared" si="31"/>
        <v>0</v>
      </c>
      <c r="F205" s="45">
        <f>VLOOKUP(A205,'TH theo khach hang'!$A$4:$G$309,4,FALSE)</f>
        <v>0</v>
      </c>
      <c r="G205" s="46">
        <f>VLOOKUP(A205,'TH theo khach hang'!$A$4:$G$309,5,FALSE)</f>
        <v>0</v>
      </c>
      <c r="H205" s="45">
        <f t="shared" si="32"/>
        <v>0</v>
      </c>
      <c r="I205" s="47">
        <f t="shared" si="33"/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6">
        <v>0</v>
      </c>
      <c r="AG205" s="46">
        <v>0</v>
      </c>
    </row>
    <row r="206" spans="1:34" hidden="1">
      <c r="A206" s="35" t="s">
        <v>309</v>
      </c>
      <c r="B206" s="26">
        <f>VLOOKUP(A206,'TH theo khach hang'!$A$4:$C$309,2,FALSE)</f>
        <v>0</v>
      </c>
      <c r="C206" s="27" t="str">
        <f>IF(VLOOKUP(A206,'TH theo khach hang'!$A$4:$C$309,3,FALSE)=0, "", "x")</f>
        <v/>
      </c>
      <c r="D206" s="43">
        <f t="shared" si="30"/>
        <v>0</v>
      </c>
      <c r="E206" s="44">
        <f t="shared" si="31"/>
        <v>0</v>
      </c>
      <c r="F206" s="45">
        <f>VLOOKUP(A206,'TH theo khach hang'!$A$4:$G$309,4,FALSE)</f>
        <v>0</v>
      </c>
      <c r="G206" s="46">
        <f>VLOOKUP(A206,'TH theo khach hang'!$A$4:$G$309,5,FALSE)</f>
        <v>0</v>
      </c>
      <c r="H206" s="45">
        <f t="shared" si="32"/>
        <v>0</v>
      </c>
      <c r="I206" s="47">
        <f t="shared" si="33"/>
        <v>0</v>
      </c>
      <c r="J206" s="46">
        <v>0</v>
      </c>
      <c r="K206" s="46">
        <v>0</v>
      </c>
      <c r="L206" s="46">
        <v>0</v>
      </c>
      <c r="M206" s="46">
        <v>0</v>
      </c>
      <c r="N206" s="46">
        <v>0</v>
      </c>
      <c r="O206" s="46">
        <v>0</v>
      </c>
      <c r="P206" s="46">
        <v>0</v>
      </c>
      <c r="Q206" s="46">
        <v>0</v>
      </c>
      <c r="R206" s="46">
        <v>0</v>
      </c>
      <c r="S206" s="46">
        <v>0</v>
      </c>
      <c r="T206" s="46">
        <v>0</v>
      </c>
      <c r="U206" s="46">
        <v>0</v>
      </c>
      <c r="V206" s="46">
        <v>0</v>
      </c>
      <c r="W206" s="46">
        <v>0</v>
      </c>
      <c r="X206" s="46">
        <v>0</v>
      </c>
      <c r="Y206" s="46">
        <v>0</v>
      </c>
      <c r="Z206" s="46">
        <v>0</v>
      </c>
      <c r="AA206" s="46">
        <v>0</v>
      </c>
      <c r="AB206" s="46">
        <v>0</v>
      </c>
      <c r="AC206" s="46">
        <v>0</v>
      </c>
      <c r="AD206" s="46">
        <v>0</v>
      </c>
      <c r="AE206" s="46">
        <v>0</v>
      </c>
      <c r="AF206" s="46">
        <v>0</v>
      </c>
      <c r="AG206" s="46">
        <v>0</v>
      </c>
    </row>
    <row r="207" spans="1:34" hidden="1">
      <c r="A207" s="35" t="s">
        <v>310</v>
      </c>
      <c r="B207" s="26">
        <f>VLOOKUP(A207,'TH theo khach hang'!$A$4:$C$309,2,FALSE)</f>
        <v>0</v>
      </c>
      <c r="C207" s="27" t="str">
        <f>IF(VLOOKUP(A207,'TH theo khach hang'!$A$4:$C$309,3,FALSE)=0, "", "x")</f>
        <v/>
      </c>
      <c r="D207" s="43">
        <f t="shared" si="30"/>
        <v>0</v>
      </c>
      <c r="E207" s="44">
        <f t="shared" si="31"/>
        <v>0</v>
      </c>
      <c r="F207" s="45">
        <f>VLOOKUP(A207,'TH theo khach hang'!$A$4:$G$309,4,FALSE)</f>
        <v>0</v>
      </c>
      <c r="G207" s="46">
        <f>VLOOKUP(A207,'TH theo khach hang'!$A$4:$G$309,5,FALSE)</f>
        <v>0</v>
      </c>
      <c r="H207" s="45">
        <f t="shared" si="32"/>
        <v>0</v>
      </c>
      <c r="I207" s="47">
        <f t="shared" si="33"/>
        <v>0</v>
      </c>
      <c r="J207" s="46">
        <v>0</v>
      </c>
      <c r="K207" s="46">
        <v>0</v>
      </c>
      <c r="L207" s="46">
        <v>0</v>
      </c>
      <c r="M207" s="46">
        <v>0</v>
      </c>
      <c r="N207" s="46">
        <v>0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6">
        <v>0</v>
      </c>
      <c r="U207" s="46">
        <v>0</v>
      </c>
      <c r="V207" s="46">
        <v>0</v>
      </c>
      <c r="W207" s="46">
        <v>0</v>
      </c>
      <c r="X207" s="46">
        <v>0</v>
      </c>
      <c r="Y207" s="46">
        <v>0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0</v>
      </c>
      <c r="AF207" s="46">
        <v>0</v>
      </c>
      <c r="AG207" s="46">
        <v>0</v>
      </c>
    </row>
    <row r="208" spans="1:34">
      <c r="A208" s="30" t="s">
        <v>328</v>
      </c>
      <c r="B208" s="30"/>
      <c r="C208" s="31"/>
      <c r="D208" s="31"/>
      <c r="E208" s="31"/>
      <c r="F208" s="31"/>
      <c r="G208" s="31"/>
      <c r="H208" s="31"/>
      <c r="I208" s="42"/>
      <c r="J208" s="244">
        <f>SUM(J209:J308)</f>
        <v>0</v>
      </c>
      <c r="K208" s="244">
        <f t="shared" ref="K208:AG208" si="34">SUM(K209:K308)</f>
        <v>0</v>
      </c>
      <c r="L208" s="244">
        <f t="shared" si="34"/>
        <v>0</v>
      </c>
      <c r="M208" s="244">
        <f t="shared" si="34"/>
        <v>0</v>
      </c>
      <c r="N208" s="244">
        <f t="shared" si="34"/>
        <v>0</v>
      </c>
      <c r="O208" s="244">
        <f t="shared" si="34"/>
        <v>0</v>
      </c>
      <c r="P208" s="244">
        <f t="shared" si="34"/>
        <v>0</v>
      </c>
      <c r="Q208" s="244">
        <f t="shared" si="34"/>
        <v>0</v>
      </c>
      <c r="R208" s="244">
        <f t="shared" si="34"/>
        <v>0</v>
      </c>
      <c r="S208" s="244">
        <f t="shared" si="34"/>
        <v>0</v>
      </c>
      <c r="T208" s="244">
        <f t="shared" si="34"/>
        <v>0</v>
      </c>
      <c r="U208" s="244">
        <f t="shared" si="34"/>
        <v>0</v>
      </c>
      <c r="V208" s="244">
        <f t="shared" si="34"/>
        <v>0</v>
      </c>
      <c r="W208" s="244">
        <f t="shared" si="34"/>
        <v>0</v>
      </c>
      <c r="X208" s="244">
        <f t="shared" si="34"/>
        <v>0</v>
      </c>
      <c r="Y208" s="244">
        <f t="shared" si="34"/>
        <v>0</v>
      </c>
      <c r="Z208" s="244">
        <f t="shared" si="34"/>
        <v>0</v>
      </c>
      <c r="AA208" s="244">
        <f t="shared" si="34"/>
        <v>0</v>
      </c>
      <c r="AB208" s="244">
        <f t="shared" si="34"/>
        <v>0</v>
      </c>
      <c r="AC208" s="244">
        <f t="shared" si="34"/>
        <v>0</v>
      </c>
      <c r="AD208" s="244">
        <f t="shared" si="34"/>
        <v>0</v>
      </c>
      <c r="AE208" s="244">
        <f t="shared" si="34"/>
        <v>0</v>
      </c>
      <c r="AF208" s="244">
        <f t="shared" si="34"/>
        <v>0</v>
      </c>
      <c r="AG208" s="244">
        <f t="shared" si="34"/>
        <v>0</v>
      </c>
    </row>
    <row r="209" spans="1:34" s="34" customFormat="1">
      <c r="A209" s="35" t="s">
        <v>331</v>
      </c>
      <c r="B209" s="26">
        <f>VLOOKUP(A209,'TH theo khach hang'!$A$4:$C$309,2,FALSE)</f>
        <v>0</v>
      </c>
      <c r="C209" s="27" t="str">
        <f>IF(VLOOKUP(A209,'TH theo khach hang'!$A$4:$C$309,3,FALSE)=0, "", "x")</f>
        <v/>
      </c>
      <c r="D209" s="43">
        <f t="shared" ref="D209:E224" si="35">F209-H209</f>
        <v>0</v>
      </c>
      <c r="E209" s="44">
        <f t="shared" si="35"/>
        <v>0</v>
      </c>
      <c r="F209" s="45">
        <f>VLOOKUP(A209,'TH theo khach hang'!$A$4:$G$309,4,FALSE)</f>
        <v>0</v>
      </c>
      <c r="G209" s="46">
        <f>VLOOKUP(A209,'TH theo khach hang'!$A$4:$G$309,5,FALSE)</f>
        <v>0</v>
      </c>
      <c r="H209" s="45">
        <f>J209+L209+N209+P209+R209+T209+V209+X209+Z209+AB209+AD209+AF209</f>
        <v>0</v>
      </c>
      <c r="I209" s="47">
        <f t="shared" ref="I209:I224" si="36">K209+M209+O209+Q209+S209+U209+W209+Y209+AA209+AC209+AE209+AG209</f>
        <v>0</v>
      </c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33"/>
    </row>
    <row r="210" spans="1:34" s="34" customFormat="1">
      <c r="A210" s="35" t="s">
        <v>332</v>
      </c>
      <c r="B210" s="26">
        <f>VLOOKUP(A210,'TH theo khach hang'!$A$4:$C$309,2,FALSE)</f>
        <v>0</v>
      </c>
      <c r="C210" s="27" t="str">
        <f>IF(VLOOKUP(A210,'TH theo khach hang'!$A$4:$C$309,3,FALSE)=0, "", "x")</f>
        <v/>
      </c>
      <c r="D210" s="43">
        <f t="shared" si="35"/>
        <v>0</v>
      </c>
      <c r="E210" s="44">
        <f t="shared" si="35"/>
        <v>0</v>
      </c>
      <c r="F210" s="45">
        <f>VLOOKUP(A210,'TH theo khach hang'!$A$4:$G$309,4,FALSE)</f>
        <v>0</v>
      </c>
      <c r="G210" s="46">
        <f>VLOOKUP(A210,'TH theo khach hang'!$A$4:$G$309,5,FALSE)</f>
        <v>0</v>
      </c>
      <c r="H210" s="45">
        <f t="shared" ref="H210:H273" si="37">J210+L210+N210+P210+R210+T210+V210+X210+Z210+AB210+AD210+AF210</f>
        <v>0</v>
      </c>
      <c r="I210" s="47">
        <f t="shared" si="36"/>
        <v>0</v>
      </c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33"/>
    </row>
    <row r="211" spans="1:34" s="34" customFormat="1">
      <c r="A211" s="35" t="s">
        <v>333</v>
      </c>
      <c r="B211" s="26">
        <f>VLOOKUP(A211,'TH theo khach hang'!$A$4:$C$309,2,FALSE)</f>
        <v>0</v>
      </c>
      <c r="C211" s="27" t="str">
        <f>IF(VLOOKUP(A211,'TH theo khach hang'!$A$4:$C$309,3,FALSE)=0, "", "x")</f>
        <v/>
      </c>
      <c r="D211" s="43">
        <f t="shared" si="35"/>
        <v>0</v>
      </c>
      <c r="E211" s="44">
        <f t="shared" si="35"/>
        <v>0</v>
      </c>
      <c r="F211" s="45">
        <f>VLOOKUP(A211,'TH theo khach hang'!$A$4:$G$309,4,FALSE)</f>
        <v>0</v>
      </c>
      <c r="G211" s="46">
        <f>VLOOKUP(A211,'TH theo khach hang'!$A$4:$G$309,5,FALSE)</f>
        <v>0</v>
      </c>
      <c r="H211" s="45">
        <f t="shared" si="37"/>
        <v>0</v>
      </c>
      <c r="I211" s="47">
        <f>K211+M211+O211+Q211+S211+U211+W211+Y211+AA211+AC211+AE211+AG211</f>
        <v>0</v>
      </c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33"/>
    </row>
    <row r="212" spans="1:34" s="34" customFormat="1" ht="18.75" customHeight="1">
      <c r="A212" s="35" t="s">
        <v>334</v>
      </c>
      <c r="B212" s="26">
        <f>VLOOKUP(A212,'TH theo khach hang'!$A$4:$C$309,2,FALSE)</f>
        <v>0</v>
      </c>
      <c r="C212" s="27" t="str">
        <f>IF(VLOOKUP(A212,'TH theo khach hang'!$A$4:$C$309,3,FALSE)=0, "", "x")</f>
        <v/>
      </c>
      <c r="D212" s="43">
        <f t="shared" si="35"/>
        <v>0</v>
      </c>
      <c r="E212" s="44">
        <f t="shared" si="35"/>
        <v>0</v>
      </c>
      <c r="F212" s="45">
        <f>VLOOKUP(A212,'TH theo khach hang'!$A$4:$G$309,4,FALSE)</f>
        <v>0</v>
      </c>
      <c r="G212" s="46">
        <f>VLOOKUP(A212,'TH theo khach hang'!$A$4:$G$309,5,FALSE)</f>
        <v>0</v>
      </c>
      <c r="H212" s="45">
        <f t="shared" si="37"/>
        <v>0</v>
      </c>
      <c r="I212" s="47">
        <f t="shared" si="36"/>
        <v>0</v>
      </c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33"/>
    </row>
    <row r="213" spans="1:34" s="34" customFormat="1" ht="17.25" customHeight="1">
      <c r="A213" s="35" t="s">
        <v>335</v>
      </c>
      <c r="B213" s="26">
        <f>VLOOKUP(A213,'TH theo khach hang'!$A$4:$C$309,2,FALSE)</f>
        <v>0</v>
      </c>
      <c r="C213" s="27" t="str">
        <f>IF(VLOOKUP(A213,'TH theo khach hang'!$A$4:$C$309,3,FALSE)=0, "", "x")</f>
        <v/>
      </c>
      <c r="D213" s="43">
        <f t="shared" si="35"/>
        <v>0</v>
      </c>
      <c r="E213" s="44">
        <f t="shared" si="35"/>
        <v>0</v>
      </c>
      <c r="F213" s="45">
        <f>VLOOKUP(A213,'TH theo khach hang'!$A$4:$G$309,4,FALSE)</f>
        <v>0</v>
      </c>
      <c r="G213" s="46">
        <f>VLOOKUP(A213,'TH theo khach hang'!$A$4:$G$309,5,FALSE)</f>
        <v>0</v>
      </c>
      <c r="H213" s="45">
        <f t="shared" si="37"/>
        <v>0</v>
      </c>
      <c r="I213" s="47">
        <f t="shared" si="36"/>
        <v>0</v>
      </c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</row>
    <row r="214" spans="1:34" s="34" customFormat="1">
      <c r="A214" s="35" t="s">
        <v>336</v>
      </c>
      <c r="B214" s="26">
        <f>VLOOKUP(A214,'TH theo khach hang'!$A$4:$C$309,2,FALSE)</f>
        <v>0</v>
      </c>
      <c r="C214" s="27" t="str">
        <f>IF(VLOOKUP(A214,'TH theo khach hang'!$A$4:$C$309,3,FALSE)=0, "", "x")</f>
        <v/>
      </c>
      <c r="D214" s="43">
        <f t="shared" si="35"/>
        <v>0</v>
      </c>
      <c r="E214" s="44">
        <f t="shared" si="35"/>
        <v>0</v>
      </c>
      <c r="F214" s="45">
        <f>VLOOKUP(A214,'TH theo khach hang'!$A$4:$G$309,4,FALSE)</f>
        <v>0</v>
      </c>
      <c r="G214" s="46">
        <f>VLOOKUP(A214,'TH theo khach hang'!$A$4:$G$309,5,FALSE)</f>
        <v>0</v>
      </c>
      <c r="H214" s="45">
        <f t="shared" si="37"/>
        <v>0</v>
      </c>
      <c r="I214" s="47">
        <f t="shared" si="36"/>
        <v>0</v>
      </c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</row>
    <row r="215" spans="1:34" s="34" customFormat="1">
      <c r="A215" s="35" t="s">
        <v>337</v>
      </c>
      <c r="B215" s="26">
        <f>VLOOKUP(A215,'TH theo khach hang'!$A$4:$C$309,2,FALSE)</f>
        <v>0</v>
      </c>
      <c r="C215" s="27" t="str">
        <f>IF(VLOOKUP(A215,'TH theo khach hang'!$A$4:$C$309,3,FALSE)=0, "", "x")</f>
        <v/>
      </c>
      <c r="D215" s="43">
        <f t="shared" si="35"/>
        <v>0</v>
      </c>
      <c r="E215" s="44">
        <f t="shared" si="35"/>
        <v>0</v>
      </c>
      <c r="F215" s="45">
        <f>VLOOKUP(A215,'TH theo khach hang'!$A$4:$G$309,4,FALSE)</f>
        <v>0</v>
      </c>
      <c r="G215" s="46">
        <f>VLOOKUP(A215,'TH theo khach hang'!$A$4:$G$309,5,FALSE)</f>
        <v>0</v>
      </c>
      <c r="H215" s="45">
        <f t="shared" si="37"/>
        <v>0</v>
      </c>
      <c r="I215" s="47">
        <f t="shared" si="36"/>
        <v>0</v>
      </c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33"/>
    </row>
    <row r="216" spans="1:34" s="34" customFormat="1">
      <c r="A216" s="35" t="s">
        <v>338</v>
      </c>
      <c r="B216" s="26">
        <f>VLOOKUP(A216,'TH theo khach hang'!$A$4:$C$309,2,FALSE)</f>
        <v>0</v>
      </c>
      <c r="C216" s="27" t="str">
        <f>IF(VLOOKUP(A216,'TH theo khach hang'!$A$4:$C$309,3,FALSE)=0, "", "x")</f>
        <v/>
      </c>
      <c r="D216" s="43">
        <f t="shared" si="35"/>
        <v>0</v>
      </c>
      <c r="E216" s="44">
        <f t="shared" si="35"/>
        <v>0</v>
      </c>
      <c r="F216" s="45">
        <f>VLOOKUP(A216,'TH theo khach hang'!$A$4:$G$309,4,FALSE)</f>
        <v>0</v>
      </c>
      <c r="G216" s="46">
        <f>VLOOKUP(A216,'TH theo khach hang'!$A$4:$G$309,5,FALSE)</f>
        <v>0</v>
      </c>
      <c r="H216" s="45">
        <f t="shared" si="37"/>
        <v>0</v>
      </c>
      <c r="I216" s="47">
        <f t="shared" si="36"/>
        <v>0</v>
      </c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</row>
    <row r="217" spans="1:34" s="34" customFormat="1">
      <c r="A217" s="35" t="s">
        <v>339</v>
      </c>
      <c r="B217" s="26">
        <f>VLOOKUP(A217,'TH theo khach hang'!$A$4:$C$309,2,FALSE)</f>
        <v>0</v>
      </c>
      <c r="C217" s="27" t="str">
        <f>IF(VLOOKUP(A217,'TH theo khach hang'!$A$4:$C$309,3,FALSE)=0, "", "x")</f>
        <v/>
      </c>
      <c r="D217" s="43">
        <f t="shared" si="35"/>
        <v>0</v>
      </c>
      <c r="E217" s="44">
        <f t="shared" si="35"/>
        <v>0</v>
      </c>
      <c r="F217" s="45">
        <f>VLOOKUP(A217,'TH theo khach hang'!$A$4:$G$309,4,FALSE)</f>
        <v>0</v>
      </c>
      <c r="G217" s="46">
        <f>VLOOKUP(A217,'TH theo khach hang'!$A$4:$G$309,5,FALSE)</f>
        <v>0</v>
      </c>
      <c r="H217" s="45">
        <f t="shared" si="37"/>
        <v>0</v>
      </c>
      <c r="I217" s="47">
        <f t="shared" si="36"/>
        <v>0</v>
      </c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</row>
    <row r="218" spans="1:34" s="34" customFormat="1" ht="16.5" customHeight="1">
      <c r="A218" s="35" t="s">
        <v>340</v>
      </c>
      <c r="B218" s="26">
        <f>VLOOKUP(A218,'TH theo khach hang'!$A$4:$C$309,2,FALSE)</f>
        <v>0</v>
      </c>
      <c r="C218" s="27" t="str">
        <f>IF(VLOOKUP(A218,'TH theo khach hang'!$A$4:$C$309,3,FALSE)=0, "", "x")</f>
        <v/>
      </c>
      <c r="D218" s="43">
        <f t="shared" si="35"/>
        <v>0</v>
      </c>
      <c r="E218" s="44">
        <f t="shared" si="35"/>
        <v>0</v>
      </c>
      <c r="F218" s="45">
        <f>VLOOKUP(A218,'TH theo khach hang'!$A$4:$G$309,4,FALSE)</f>
        <v>0</v>
      </c>
      <c r="G218" s="46">
        <f>VLOOKUP(A218,'TH theo khach hang'!$A$4:$G$309,5,FALSE)</f>
        <v>0</v>
      </c>
      <c r="H218" s="45">
        <f t="shared" si="37"/>
        <v>0</v>
      </c>
      <c r="I218" s="47">
        <f t="shared" si="36"/>
        <v>0</v>
      </c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33"/>
    </row>
    <row r="219" spans="1:34">
      <c r="A219" s="35" t="s">
        <v>341</v>
      </c>
      <c r="B219" s="26">
        <f>VLOOKUP(A219,'TH theo khach hang'!$A$4:$C$309,2,FALSE)</f>
        <v>0</v>
      </c>
      <c r="C219" s="27" t="str">
        <f>IF(VLOOKUP(A219,'TH theo khach hang'!$A$4:$C$309,3,FALSE)=0, "", "x")</f>
        <v/>
      </c>
      <c r="D219" s="43">
        <f t="shared" si="35"/>
        <v>0</v>
      </c>
      <c r="E219" s="44">
        <f t="shared" si="35"/>
        <v>0</v>
      </c>
      <c r="F219" s="45">
        <f>VLOOKUP(A219,'TH theo khach hang'!$A$4:$G$309,4,FALSE)</f>
        <v>0</v>
      </c>
      <c r="G219" s="46">
        <f>VLOOKUP(A219,'TH theo khach hang'!$A$4:$G$309,5,FALSE)</f>
        <v>0</v>
      </c>
      <c r="H219" s="45">
        <f t="shared" si="37"/>
        <v>0</v>
      </c>
      <c r="I219" s="47">
        <f t="shared" si="36"/>
        <v>0</v>
      </c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</row>
    <row r="220" spans="1:34" ht="18.75" customHeight="1">
      <c r="A220" s="35" t="s">
        <v>342</v>
      </c>
      <c r="B220" s="26">
        <f>VLOOKUP(A220,'TH theo khach hang'!$A$4:$C$309,2,FALSE)</f>
        <v>0</v>
      </c>
      <c r="C220" s="27" t="str">
        <f>IF(VLOOKUP(A220,'TH theo khach hang'!$A$4:$C$309,3,FALSE)=0, "", "x")</f>
        <v/>
      </c>
      <c r="D220" s="43">
        <f t="shared" si="35"/>
        <v>0</v>
      </c>
      <c r="E220" s="44">
        <f t="shared" si="35"/>
        <v>0</v>
      </c>
      <c r="F220" s="45">
        <f>VLOOKUP(A220,'TH theo khach hang'!$A$4:$G$309,4,FALSE)</f>
        <v>0</v>
      </c>
      <c r="G220" s="46">
        <f>VLOOKUP(A220,'TH theo khach hang'!$A$4:$G$309,5,FALSE)</f>
        <v>0</v>
      </c>
      <c r="H220" s="45">
        <f t="shared" si="37"/>
        <v>0</v>
      </c>
      <c r="I220" s="47">
        <f t="shared" si="36"/>
        <v>0</v>
      </c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</row>
    <row r="221" spans="1:34" ht="18" customHeight="1">
      <c r="A221" s="35" t="s">
        <v>343</v>
      </c>
      <c r="B221" s="26">
        <f>VLOOKUP(A221,'TH theo khach hang'!$A$4:$C$309,2,FALSE)</f>
        <v>0</v>
      </c>
      <c r="C221" s="27" t="str">
        <f>IF(VLOOKUP(A221,'TH theo khach hang'!$A$4:$C$309,3,FALSE)=0, "", "x")</f>
        <v/>
      </c>
      <c r="D221" s="43">
        <f t="shared" si="35"/>
        <v>0</v>
      </c>
      <c r="E221" s="44">
        <f t="shared" si="35"/>
        <v>0</v>
      </c>
      <c r="F221" s="45">
        <f>VLOOKUP(A221,'TH theo khach hang'!$A$4:$G$309,4,FALSE)</f>
        <v>0</v>
      </c>
      <c r="G221" s="46">
        <f>VLOOKUP(A221,'TH theo khach hang'!$A$4:$G$309,5,FALSE)</f>
        <v>0</v>
      </c>
      <c r="H221" s="45">
        <f t="shared" si="37"/>
        <v>0</v>
      </c>
      <c r="I221" s="47">
        <f t="shared" si="36"/>
        <v>0</v>
      </c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398"/>
      <c r="AF221" s="46"/>
      <c r="AG221" s="46"/>
    </row>
    <row r="222" spans="1:34" ht="17.25" customHeight="1">
      <c r="A222" s="35" t="s">
        <v>344</v>
      </c>
      <c r="B222" s="26">
        <f>VLOOKUP(A222,'TH theo khach hang'!$A$4:$C$309,2,FALSE)</f>
        <v>0</v>
      </c>
      <c r="C222" s="27" t="str">
        <f>IF(VLOOKUP(A222,'TH theo khach hang'!$A$4:$C$309,3,FALSE)=0, "", "x")</f>
        <v/>
      </c>
      <c r="D222" s="43">
        <f t="shared" si="35"/>
        <v>0</v>
      </c>
      <c r="E222" s="44">
        <f t="shared" si="35"/>
        <v>0</v>
      </c>
      <c r="F222" s="45">
        <f>VLOOKUP(A222,'TH theo khach hang'!$A$4:$G$309,4,FALSE)</f>
        <v>0</v>
      </c>
      <c r="G222" s="46">
        <f>VLOOKUP(A222,'TH theo khach hang'!$A$4:$G$309,5,FALSE)</f>
        <v>0</v>
      </c>
      <c r="H222" s="45">
        <f t="shared" si="37"/>
        <v>0</v>
      </c>
      <c r="I222" s="47">
        <f t="shared" si="36"/>
        <v>0</v>
      </c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</row>
    <row r="223" spans="1:34">
      <c r="A223" s="35" t="s">
        <v>345</v>
      </c>
      <c r="B223" s="26">
        <f>VLOOKUP(A223,'TH theo khach hang'!$A$4:$C$309,2,FALSE)</f>
        <v>0</v>
      </c>
      <c r="C223" s="27" t="str">
        <f>IF(VLOOKUP(A223,'TH theo khach hang'!$A$4:$C$309,3,FALSE)=0, "", "x")</f>
        <v/>
      </c>
      <c r="D223" s="43">
        <f t="shared" si="35"/>
        <v>0</v>
      </c>
      <c r="E223" s="44">
        <f t="shared" si="35"/>
        <v>0</v>
      </c>
      <c r="F223" s="45">
        <f>VLOOKUP(A223,'TH theo khach hang'!$A$4:$G$309,4,FALSE)</f>
        <v>0</v>
      </c>
      <c r="G223" s="46">
        <f>VLOOKUP(A223,'TH theo khach hang'!$A$4:$G$309,5,FALSE)</f>
        <v>0</v>
      </c>
      <c r="H223" s="45">
        <f t="shared" si="37"/>
        <v>0</v>
      </c>
      <c r="I223" s="47">
        <f t="shared" si="36"/>
        <v>0</v>
      </c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125"/>
      <c r="AA223" s="46"/>
      <c r="AB223" s="46"/>
      <c r="AC223" s="397"/>
      <c r="AD223" s="46"/>
      <c r="AE223" s="46"/>
      <c r="AF223" s="46"/>
      <c r="AG223" s="46"/>
    </row>
    <row r="224" spans="1:34" s="34" customFormat="1" ht="18.75" customHeight="1">
      <c r="A224" s="35" t="s">
        <v>346</v>
      </c>
      <c r="B224" s="26">
        <f>VLOOKUP(A224,'TH theo khach hang'!$A$4:$C$309,2,FALSE)</f>
        <v>0</v>
      </c>
      <c r="C224" s="27" t="str">
        <f>IF(VLOOKUP(A224,'TH theo khach hang'!$A$4:$C$309,3,FALSE)=0, "", "x")</f>
        <v/>
      </c>
      <c r="D224" s="43">
        <f t="shared" si="35"/>
        <v>0</v>
      </c>
      <c r="E224" s="44">
        <f t="shared" si="35"/>
        <v>0</v>
      </c>
      <c r="F224" s="45">
        <f>VLOOKUP(A224,'TH theo khach hang'!$A$4:$G$309,4,FALSE)</f>
        <v>0</v>
      </c>
      <c r="G224" s="46">
        <f>VLOOKUP(A224,'TH theo khach hang'!$A$4:$G$309,5,FALSE)</f>
        <v>0</v>
      </c>
      <c r="H224" s="45">
        <f t="shared" si="37"/>
        <v>0</v>
      </c>
      <c r="I224" s="47">
        <f t="shared" si="36"/>
        <v>0</v>
      </c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33"/>
    </row>
    <row r="225" spans="1:34" s="34" customFormat="1" ht="18" customHeight="1">
      <c r="A225" s="35" t="s">
        <v>347</v>
      </c>
      <c r="B225" s="26">
        <f>VLOOKUP(A225,'TH theo khach hang'!$A$4:$C$309,2,FALSE)</f>
        <v>0</v>
      </c>
      <c r="C225" s="27" t="str">
        <f>IF(VLOOKUP(A225,'TH theo khach hang'!$A$4:$C$309,3,FALSE)=0, "", "x")</f>
        <v/>
      </c>
      <c r="D225" s="43">
        <f t="shared" ref="D225:E240" si="38">F225-H225</f>
        <v>0</v>
      </c>
      <c r="E225" s="44">
        <f t="shared" si="38"/>
        <v>0</v>
      </c>
      <c r="F225" s="45">
        <f>VLOOKUP(A225,'TH theo khach hang'!$A$4:$G$309,4,FALSE)</f>
        <v>0</v>
      </c>
      <c r="G225" s="46">
        <f>VLOOKUP(A225,'TH theo khach hang'!$A$4:$G$309,5,FALSE)</f>
        <v>0</v>
      </c>
      <c r="H225" s="45">
        <f t="shared" si="37"/>
        <v>0</v>
      </c>
      <c r="I225" s="47">
        <f t="shared" ref="I225:I240" si="39">K225+M225+O225+Q225+S225+U225+W225+Y225+AA225+AC225+AE225+AG225</f>
        <v>0</v>
      </c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</row>
    <row r="226" spans="1:34" s="34" customFormat="1" ht="16.5" customHeight="1">
      <c r="A226" s="35" t="s">
        <v>348</v>
      </c>
      <c r="B226" s="26">
        <f>VLOOKUP(A226,'TH theo khach hang'!$A$4:$C$309,2,FALSE)</f>
        <v>0</v>
      </c>
      <c r="C226" s="27" t="str">
        <f>IF(VLOOKUP(A226,'TH theo khach hang'!$A$4:$C$309,3,FALSE)=0, "", "x")</f>
        <v/>
      </c>
      <c r="D226" s="43">
        <f t="shared" si="38"/>
        <v>0</v>
      </c>
      <c r="E226" s="44">
        <f t="shared" si="38"/>
        <v>0</v>
      </c>
      <c r="F226" s="45">
        <f>VLOOKUP(A226,'TH theo khach hang'!$A$4:$G$309,4,FALSE)</f>
        <v>0</v>
      </c>
      <c r="G226" s="46">
        <f>VLOOKUP(A226,'TH theo khach hang'!$A$4:$G$309,5,FALSE)</f>
        <v>0</v>
      </c>
      <c r="H226" s="45">
        <f t="shared" si="37"/>
        <v>0</v>
      </c>
      <c r="I226" s="47">
        <f t="shared" si="39"/>
        <v>0</v>
      </c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</row>
    <row r="227" spans="1:34" s="34" customFormat="1">
      <c r="A227" s="35" t="s">
        <v>349</v>
      </c>
      <c r="B227" s="26">
        <f>VLOOKUP(A227,'TH theo khach hang'!$A$4:$C$309,2,FALSE)</f>
        <v>0</v>
      </c>
      <c r="C227" s="27" t="str">
        <f>IF(VLOOKUP(A227,'TH theo khach hang'!$A$4:$C$309,3,FALSE)=0, "", "x")</f>
        <v/>
      </c>
      <c r="D227" s="43">
        <f t="shared" si="38"/>
        <v>0</v>
      </c>
      <c r="E227" s="44">
        <f t="shared" si="38"/>
        <v>0</v>
      </c>
      <c r="F227" s="45">
        <f>VLOOKUP(A227,'TH theo khach hang'!$A$4:$G$309,4,FALSE)</f>
        <v>0</v>
      </c>
      <c r="G227" s="46">
        <f>VLOOKUP(A227,'TH theo khach hang'!$A$4:$G$309,5,FALSE)</f>
        <v>0</v>
      </c>
      <c r="H227" s="45">
        <f t="shared" si="37"/>
        <v>0</v>
      </c>
      <c r="I227" s="47">
        <f t="shared" si="39"/>
        <v>0</v>
      </c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33"/>
    </row>
    <row r="228" spans="1:34" s="34" customFormat="1">
      <c r="A228" s="35" t="s">
        <v>350</v>
      </c>
      <c r="B228" s="26">
        <f>VLOOKUP(A228,'TH theo khach hang'!$A$4:$C$309,2,FALSE)</f>
        <v>0</v>
      </c>
      <c r="C228" s="27" t="str">
        <f>IF(VLOOKUP(A228,'TH theo khach hang'!$A$4:$C$309,3,FALSE)=0, "", "x")</f>
        <v/>
      </c>
      <c r="D228" s="43">
        <f t="shared" si="38"/>
        <v>0</v>
      </c>
      <c r="E228" s="44">
        <f t="shared" si="38"/>
        <v>0</v>
      </c>
      <c r="F228" s="45">
        <f>VLOOKUP(A228,'TH theo khach hang'!$A$4:$G$309,4,FALSE)</f>
        <v>0</v>
      </c>
      <c r="G228" s="46">
        <f>VLOOKUP(A228,'TH theo khach hang'!$A$4:$G$309,5,FALSE)</f>
        <v>0</v>
      </c>
      <c r="H228" s="45">
        <f t="shared" si="37"/>
        <v>0</v>
      </c>
      <c r="I228" s="47">
        <f t="shared" si="39"/>
        <v>0</v>
      </c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</row>
    <row r="229" spans="1:34" s="34" customFormat="1">
      <c r="A229" s="35" t="s">
        <v>351</v>
      </c>
      <c r="B229" s="26">
        <f>VLOOKUP(A229,'TH theo khach hang'!$A$4:$C$309,2,FALSE)</f>
        <v>0</v>
      </c>
      <c r="C229" s="27" t="str">
        <f>IF(VLOOKUP(A229,'TH theo khach hang'!$A$4:$C$309,3,FALSE)=0, "", "x")</f>
        <v/>
      </c>
      <c r="D229" s="43">
        <f t="shared" si="38"/>
        <v>0</v>
      </c>
      <c r="E229" s="44">
        <f t="shared" si="38"/>
        <v>0</v>
      </c>
      <c r="F229" s="45">
        <f>VLOOKUP(A229,'TH theo khach hang'!$A$4:$G$309,4,FALSE)</f>
        <v>0</v>
      </c>
      <c r="G229" s="46">
        <f>VLOOKUP(A229,'TH theo khach hang'!$A$4:$G$309,5,FALSE)</f>
        <v>0</v>
      </c>
      <c r="H229" s="45">
        <f t="shared" si="37"/>
        <v>0</v>
      </c>
      <c r="I229" s="47">
        <f t="shared" si="39"/>
        <v>0</v>
      </c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</row>
    <row r="230" spans="1:34" s="34" customFormat="1">
      <c r="A230" s="35" t="s">
        <v>352</v>
      </c>
      <c r="B230" s="26">
        <f>VLOOKUP(A230,'TH theo khach hang'!$A$4:$C$309,2,FALSE)</f>
        <v>0</v>
      </c>
      <c r="C230" s="27" t="str">
        <f>IF(VLOOKUP(A230,'TH theo khach hang'!$A$4:$C$309,3,FALSE)=0, "", "x")</f>
        <v/>
      </c>
      <c r="D230" s="43">
        <f t="shared" si="38"/>
        <v>0</v>
      </c>
      <c r="E230" s="44">
        <f t="shared" si="38"/>
        <v>0</v>
      </c>
      <c r="F230" s="45">
        <f>VLOOKUP(A230,'TH theo khach hang'!$A$4:$G$309,4,FALSE)</f>
        <v>0</v>
      </c>
      <c r="G230" s="46">
        <f>VLOOKUP(A230,'TH theo khach hang'!$A$4:$G$309,5,FALSE)</f>
        <v>0</v>
      </c>
      <c r="H230" s="45">
        <f t="shared" si="37"/>
        <v>0</v>
      </c>
      <c r="I230" s="47">
        <f t="shared" si="39"/>
        <v>0</v>
      </c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33"/>
    </row>
    <row r="231" spans="1:34">
      <c r="A231" s="35" t="s">
        <v>353</v>
      </c>
      <c r="B231" s="26">
        <f>VLOOKUP(A231,'TH theo khach hang'!$A$4:$C$309,2,FALSE)</f>
        <v>0</v>
      </c>
      <c r="C231" s="27" t="str">
        <f>IF(VLOOKUP(A231,'TH theo khach hang'!$A$4:$C$309,3,FALSE)=0, "", "x")</f>
        <v/>
      </c>
      <c r="D231" s="43">
        <f t="shared" si="38"/>
        <v>0</v>
      </c>
      <c r="E231" s="44">
        <f t="shared" si="38"/>
        <v>0</v>
      </c>
      <c r="F231" s="45">
        <f>VLOOKUP(A231,'TH theo khach hang'!$A$4:$G$309,4,FALSE)</f>
        <v>0</v>
      </c>
      <c r="G231" s="46">
        <f>VLOOKUP(A231,'TH theo khach hang'!$A$4:$G$309,5,FALSE)</f>
        <v>0</v>
      </c>
      <c r="H231" s="45">
        <f t="shared" si="37"/>
        <v>0</v>
      </c>
      <c r="I231" s="47">
        <f t="shared" si="39"/>
        <v>0</v>
      </c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</row>
    <row r="232" spans="1:34">
      <c r="A232" s="35" t="s">
        <v>354</v>
      </c>
      <c r="B232" s="26">
        <f>VLOOKUP(A232,'TH theo khach hang'!$A$4:$C$309,2,FALSE)</f>
        <v>0</v>
      </c>
      <c r="C232" s="27" t="str">
        <f>IF(VLOOKUP(A232,'TH theo khach hang'!$A$4:$C$309,3,FALSE)=0, "", "x")</f>
        <v/>
      </c>
      <c r="D232" s="43">
        <f t="shared" si="38"/>
        <v>0</v>
      </c>
      <c r="E232" s="44">
        <f t="shared" si="38"/>
        <v>0</v>
      </c>
      <c r="F232" s="45">
        <f>VLOOKUP(A232,'TH theo khach hang'!$A$4:$G$309,4,FALSE)</f>
        <v>0</v>
      </c>
      <c r="G232" s="46">
        <f>VLOOKUP(A232,'TH theo khach hang'!$A$4:$G$309,5,FALSE)</f>
        <v>0</v>
      </c>
      <c r="H232" s="45">
        <f t="shared" si="37"/>
        <v>0</v>
      </c>
      <c r="I232" s="47">
        <f t="shared" si="39"/>
        <v>0</v>
      </c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</row>
    <row r="233" spans="1:34">
      <c r="A233" s="35" t="s">
        <v>355</v>
      </c>
      <c r="B233" s="26">
        <f>VLOOKUP(A233,'TH theo khach hang'!$A$4:$C$309,2,FALSE)</f>
        <v>0</v>
      </c>
      <c r="C233" s="27" t="str">
        <f>IF(VLOOKUP(A233,'TH theo khach hang'!$A$4:$C$309,3,FALSE)=0, "", "x")</f>
        <v/>
      </c>
      <c r="D233" s="43">
        <f t="shared" si="38"/>
        <v>0</v>
      </c>
      <c r="E233" s="44">
        <f t="shared" si="38"/>
        <v>0</v>
      </c>
      <c r="F233" s="45">
        <f>VLOOKUP(A233,'TH theo khach hang'!$A$4:$G$309,4,FALSE)</f>
        <v>0</v>
      </c>
      <c r="G233" s="46">
        <f>VLOOKUP(A233,'TH theo khach hang'!$A$4:$G$309,5,FALSE)</f>
        <v>0</v>
      </c>
      <c r="H233" s="45">
        <f t="shared" si="37"/>
        <v>0</v>
      </c>
      <c r="I233" s="47">
        <f t="shared" si="39"/>
        <v>0</v>
      </c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</row>
    <row r="234" spans="1:34">
      <c r="A234" s="35" t="s">
        <v>356</v>
      </c>
      <c r="B234" s="26">
        <f>VLOOKUP(A234,'TH theo khach hang'!$A$4:$C$309,2,FALSE)</f>
        <v>0</v>
      </c>
      <c r="C234" s="27" t="str">
        <f>IF(VLOOKUP(A234,'TH theo khach hang'!$A$4:$C$309,3,FALSE)=0, "", "x")</f>
        <v/>
      </c>
      <c r="D234" s="43">
        <f t="shared" si="38"/>
        <v>0</v>
      </c>
      <c r="E234" s="44">
        <f t="shared" si="38"/>
        <v>0</v>
      </c>
      <c r="F234" s="45">
        <f>VLOOKUP(A234,'TH theo khach hang'!$A$4:$G$309,4,FALSE)</f>
        <v>0</v>
      </c>
      <c r="G234" s="46">
        <f>VLOOKUP(A234,'TH theo khach hang'!$A$4:$G$309,5,FALSE)</f>
        <v>0</v>
      </c>
      <c r="H234" s="45">
        <f t="shared" si="37"/>
        <v>0</v>
      </c>
      <c r="I234" s="47">
        <f t="shared" si="39"/>
        <v>0</v>
      </c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</row>
    <row r="235" spans="1:34">
      <c r="A235" s="35" t="s">
        <v>357</v>
      </c>
      <c r="B235" s="26">
        <f>VLOOKUP(A235,'TH theo khach hang'!$A$4:$C$309,2,FALSE)</f>
        <v>0</v>
      </c>
      <c r="C235" s="27" t="str">
        <f>IF(VLOOKUP(A235,'TH theo khach hang'!$A$4:$C$309,3,FALSE)=0, "", "x")</f>
        <v/>
      </c>
      <c r="D235" s="43">
        <f t="shared" si="38"/>
        <v>0</v>
      </c>
      <c r="E235" s="44">
        <f t="shared" si="38"/>
        <v>0</v>
      </c>
      <c r="F235" s="45">
        <f>VLOOKUP(A235,'TH theo khach hang'!$A$4:$G$309,4,FALSE)</f>
        <v>0</v>
      </c>
      <c r="G235" s="46">
        <f>VLOOKUP(A235,'TH theo khach hang'!$A$4:$G$309,5,FALSE)</f>
        <v>0</v>
      </c>
      <c r="H235" s="45">
        <f t="shared" si="37"/>
        <v>0</v>
      </c>
      <c r="I235" s="47">
        <f t="shared" si="39"/>
        <v>0</v>
      </c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</row>
    <row r="236" spans="1:34">
      <c r="A236" s="35" t="s">
        <v>358</v>
      </c>
      <c r="B236" s="26">
        <f>VLOOKUP(A236,'TH theo khach hang'!$A$4:$C$309,2,FALSE)</f>
        <v>0</v>
      </c>
      <c r="C236" s="27" t="str">
        <f>IF(VLOOKUP(A236,'TH theo khach hang'!$A$4:$C$309,3,FALSE)=0, "", "x")</f>
        <v/>
      </c>
      <c r="D236" s="43">
        <f t="shared" si="38"/>
        <v>0</v>
      </c>
      <c r="E236" s="44">
        <f t="shared" si="38"/>
        <v>0</v>
      </c>
      <c r="F236" s="45">
        <f>VLOOKUP(A236,'TH theo khach hang'!$A$4:$G$309,4,FALSE)</f>
        <v>0</v>
      </c>
      <c r="G236" s="46">
        <f>VLOOKUP(A236,'TH theo khach hang'!$A$4:$G$309,5,FALSE)</f>
        <v>0</v>
      </c>
      <c r="H236" s="45">
        <f t="shared" si="37"/>
        <v>0</v>
      </c>
      <c r="I236" s="47">
        <f t="shared" si="39"/>
        <v>0</v>
      </c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</row>
    <row r="237" spans="1:34" s="34" customFormat="1">
      <c r="A237" s="35" t="s">
        <v>359</v>
      </c>
      <c r="B237" s="26">
        <f>VLOOKUP(A237,'TH theo khach hang'!$A$4:$C$309,2,FALSE)</f>
        <v>0</v>
      </c>
      <c r="C237" s="27" t="str">
        <f>IF(VLOOKUP(A237,'TH theo khach hang'!$A$4:$C$309,3,FALSE)=0, "", "x")</f>
        <v/>
      </c>
      <c r="D237" s="43">
        <f t="shared" si="38"/>
        <v>0</v>
      </c>
      <c r="E237" s="44">
        <f t="shared" si="38"/>
        <v>0</v>
      </c>
      <c r="F237" s="45">
        <f>VLOOKUP(A237,'TH theo khach hang'!$A$4:$G$309,4,FALSE)</f>
        <v>0</v>
      </c>
      <c r="G237" s="46">
        <f>VLOOKUP(A237,'TH theo khach hang'!$A$4:$G$309,5,FALSE)</f>
        <v>0</v>
      </c>
      <c r="H237" s="45">
        <f t="shared" si="37"/>
        <v>0</v>
      </c>
      <c r="I237" s="47">
        <f t="shared" si="39"/>
        <v>0</v>
      </c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33"/>
    </row>
    <row r="238" spans="1:34" s="34" customFormat="1">
      <c r="A238" s="35" t="s">
        <v>360</v>
      </c>
      <c r="B238" s="26">
        <f>VLOOKUP(A238,'TH theo khach hang'!$A$4:$C$309,2,FALSE)</f>
        <v>0</v>
      </c>
      <c r="C238" s="27" t="str">
        <f>IF(VLOOKUP(A238,'TH theo khach hang'!$A$4:$C$309,3,FALSE)=0, "", "x")</f>
        <v/>
      </c>
      <c r="D238" s="43">
        <f t="shared" si="38"/>
        <v>0</v>
      </c>
      <c r="E238" s="44">
        <f t="shared" si="38"/>
        <v>0</v>
      </c>
      <c r="F238" s="45">
        <f>VLOOKUP(A238,'TH theo khach hang'!$A$4:$G$309,4,FALSE)</f>
        <v>0</v>
      </c>
      <c r="G238" s="46">
        <f>VLOOKUP(A238,'TH theo khach hang'!$A$4:$G$309,5,FALSE)</f>
        <v>0</v>
      </c>
      <c r="H238" s="45">
        <f t="shared" si="37"/>
        <v>0</v>
      </c>
      <c r="I238" s="47">
        <f t="shared" si="39"/>
        <v>0</v>
      </c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</row>
    <row r="239" spans="1:34" s="34" customFormat="1">
      <c r="A239" s="35" t="s">
        <v>361</v>
      </c>
      <c r="B239" s="26">
        <f>VLOOKUP(A239,'TH theo khach hang'!$A$4:$C$309,2,FALSE)</f>
        <v>0</v>
      </c>
      <c r="C239" s="27" t="str">
        <f>IF(VLOOKUP(A239,'TH theo khach hang'!$A$4:$C$309,3,FALSE)=0, "", "x")</f>
        <v/>
      </c>
      <c r="D239" s="43">
        <f t="shared" si="38"/>
        <v>0</v>
      </c>
      <c r="E239" s="44">
        <f t="shared" si="38"/>
        <v>0</v>
      </c>
      <c r="F239" s="45">
        <f>VLOOKUP(A239,'TH theo khach hang'!$A$4:$G$309,4,FALSE)</f>
        <v>0</v>
      </c>
      <c r="G239" s="46">
        <f>VLOOKUP(A239,'TH theo khach hang'!$A$4:$G$309,5,FALSE)</f>
        <v>0</v>
      </c>
      <c r="H239" s="45">
        <f t="shared" si="37"/>
        <v>0</v>
      </c>
      <c r="I239" s="47">
        <f t="shared" si="39"/>
        <v>0</v>
      </c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</row>
    <row r="240" spans="1:34" s="34" customFormat="1">
      <c r="A240" s="35" t="s">
        <v>362</v>
      </c>
      <c r="B240" s="26">
        <f>VLOOKUP(A240,'TH theo khach hang'!$A$4:$C$309,2,FALSE)</f>
        <v>0</v>
      </c>
      <c r="C240" s="27" t="str">
        <f>IF(VLOOKUP(A240,'TH theo khach hang'!$A$4:$C$309,3,FALSE)=0, "", "x")</f>
        <v/>
      </c>
      <c r="D240" s="43">
        <f t="shared" si="38"/>
        <v>0</v>
      </c>
      <c r="E240" s="44">
        <f t="shared" si="38"/>
        <v>0</v>
      </c>
      <c r="F240" s="45">
        <f>VLOOKUP(A240,'TH theo khach hang'!$A$4:$G$309,4,FALSE)</f>
        <v>0</v>
      </c>
      <c r="G240" s="46">
        <f>VLOOKUP(A240,'TH theo khach hang'!$A$4:$G$309,5,FALSE)</f>
        <v>0</v>
      </c>
      <c r="H240" s="45">
        <f t="shared" si="37"/>
        <v>0</v>
      </c>
      <c r="I240" s="47">
        <f t="shared" si="39"/>
        <v>0</v>
      </c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33"/>
    </row>
    <row r="241" spans="1:34" s="34" customFormat="1">
      <c r="A241" s="35" t="s">
        <v>363</v>
      </c>
      <c r="B241" s="26">
        <f>VLOOKUP(A241,'TH theo khach hang'!$A$4:$C$309,2,FALSE)</f>
        <v>0</v>
      </c>
      <c r="C241" s="27" t="str">
        <f>IF(VLOOKUP(A241,'TH theo khach hang'!$A$4:$C$309,3,FALSE)=0, "", "x")</f>
        <v/>
      </c>
      <c r="D241" s="43">
        <f t="shared" ref="D241:E256" si="40">F241-H241</f>
        <v>0</v>
      </c>
      <c r="E241" s="44">
        <f t="shared" si="40"/>
        <v>0</v>
      </c>
      <c r="F241" s="45">
        <f>VLOOKUP(A241,'TH theo khach hang'!$A$4:$G$309,4,FALSE)</f>
        <v>0</v>
      </c>
      <c r="G241" s="46">
        <f>VLOOKUP(A241,'TH theo khach hang'!$A$4:$G$309,5,FALSE)</f>
        <v>0</v>
      </c>
      <c r="H241" s="45">
        <f t="shared" si="37"/>
        <v>0</v>
      </c>
      <c r="I241" s="47">
        <f t="shared" ref="I241:I256" si="41">K241+M241+O241+Q241+S241+U241+W241+Y241+AA241+AC241+AE241+AG241</f>
        <v>0</v>
      </c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</row>
    <row r="242" spans="1:34" s="34" customFormat="1">
      <c r="A242" s="35" t="s">
        <v>364</v>
      </c>
      <c r="B242" s="26">
        <f>VLOOKUP(A242,'TH theo khach hang'!$A$4:$C$309,2,FALSE)</f>
        <v>0</v>
      </c>
      <c r="C242" s="27" t="str">
        <f>IF(VLOOKUP(A242,'TH theo khach hang'!$A$4:$C$309,3,FALSE)=0, "", "x")</f>
        <v/>
      </c>
      <c r="D242" s="43">
        <f t="shared" si="40"/>
        <v>0</v>
      </c>
      <c r="E242" s="44">
        <f t="shared" si="40"/>
        <v>0</v>
      </c>
      <c r="F242" s="45">
        <f>VLOOKUP(A242,'TH theo khach hang'!$A$4:$G$309,4,FALSE)</f>
        <v>0</v>
      </c>
      <c r="G242" s="46">
        <f>VLOOKUP(A242,'TH theo khach hang'!$A$4:$G$309,5,FALSE)</f>
        <v>0</v>
      </c>
      <c r="H242" s="45">
        <f t="shared" si="37"/>
        <v>0</v>
      </c>
      <c r="I242" s="47">
        <f t="shared" si="41"/>
        <v>0</v>
      </c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</row>
    <row r="243" spans="1:34" s="34" customFormat="1">
      <c r="A243" s="35" t="s">
        <v>365</v>
      </c>
      <c r="B243" s="26">
        <f>VLOOKUP(A243,'TH theo khach hang'!$A$4:$C$309,2,FALSE)</f>
        <v>0</v>
      </c>
      <c r="C243" s="27" t="str">
        <f>IF(VLOOKUP(A243,'TH theo khach hang'!$A$4:$C$309,3,FALSE)=0, "", "x")</f>
        <v/>
      </c>
      <c r="D243" s="43">
        <f t="shared" si="40"/>
        <v>0</v>
      </c>
      <c r="E243" s="44">
        <f t="shared" si="40"/>
        <v>0</v>
      </c>
      <c r="F243" s="45">
        <f>VLOOKUP(A243,'TH theo khach hang'!$A$4:$G$309,4,FALSE)</f>
        <v>0</v>
      </c>
      <c r="G243" s="46">
        <f>VLOOKUP(A243,'TH theo khach hang'!$A$4:$G$309,5,FALSE)</f>
        <v>0</v>
      </c>
      <c r="H243" s="45">
        <f t="shared" si="37"/>
        <v>0</v>
      </c>
      <c r="I243" s="47">
        <f t="shared" si="41"/>
        <v>0</v>
      </c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33"/>
    </row>
    <row r="244" spans="1:34">
      <c r="A244" s="35" t="s">
        <v>366</v>
      </c>
      <c r="B244" s="26">
        <f>VLOOKUP(A244,'TH theo khach hang'!$A$4:$C$309,2,FALSE)</f>
        <v>0</v>
      </c>
      <c r="C244" s="27" t="str">
        <f>IF(VLOOKUP(A244,'TH theo khach hang'!$A$4:$C$309,3,FALSE)=0, "", "x")</f>
        <v/>
      </c>
      <c r="D244" s="43">
        <f t="shared" si="40"/>
        <v>0</v>
      </c>
      <c r="E244" s="44">
        <f t="shared" si="40"/>
        <v>0</v>
      </c>
      <c r="F244" s="45">
        <f>VLOOKUP(A244,'TH theo khach hang'!$A$4:$G$309,4,FALSE)</f>
        <v>0</v>
      </c>
      <c r="G244" s="46">
        <f>VLOOKUP(A244,'TH theo khach hang'!$A$4:$G$309,5,FALSE)</f>
        <v>0</v>
      </c>
      <c r="H244" s="45">
        <f t="shared" si="37"/>
        <v>0</v>
      </c>
      <c r="I244" s="47">
        <f t="shared" si="41"/>
        <v>0</v>
      </c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</row>
    <row r="245" spans="1:34">
      <c r="A245" s="35" t="s">
        <v>367</v>
      </c>
      <c r="B245" s="26">
        <f>VLOOKUP(A245,'TH theo khach hang'!$A$4:$C$309,2,FALSE)</f>
        <v>0</v>
      </c>
      <c r="C245" s="27" t="str">
        <f>IF(VLOOKUP(A245,'TH theo khach hang'!$A$4:$C$309,3,FALSE)=0, "", "x")</f>
        <v/>
      </c>
      <c r="D245" s="43">
        <f t="shared" si="40"/>
        <v>0</v>
      </c>
      <c r="E245" s="44">
        <f t="shared" si="40"/>
        <v>0</v>
      </c>
      <c r="F245" s="45">
        <f>VLOOKUP(A245,'TH theo khach hang'!$A$4:$G$309,4,FALSE)</f>
        <v>0</v>
      </c>
      <c r="G245" s="46">
        <f>VLOOKUP(A245,'TH theo khach hang'!$A$4:$G$309,5,FALSE)</f>
        <v>0</v>
      </c>
      <c r="H245" s="45">
        <f t="shared" si="37"/>
        <v>0</v>
      </c>
      <c r="I245" s="47">
        <f t="shared" si="41"/>
        <v>0</v>
      </c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</row>
    <row r="246" spans="1:34">
      <c r="A246" s="35" t="s">
        <v>368</v>
      </c>
      <c r="B246" s="26">
        <f>VLOOKUP(A246,'TH theo khach hang'!$A$4:$C$309,2,FALSE)</f>
        <v>0</v>
      </c>
      <c r="C246" s="27" t="str">
        <f>IF(VLOOKUP(A246,'TH theo khach hang'!$A$4:$C$309,3,FALSE)=0, "", "x")</f>
        <v/>
      </c>
      <c r="D246" s="43">
        <f t="shared" si="40"/>
        <v>0</v>
      </c>
      <c r="E246" s="44">
        <f t="shared" si="40"/>
        <v>0</v>
      </c>
      <c r="F246" s="45">
        <f>VLOOKUP(A246,'TH theo khach hang'!$A$4:$G$309,4,FALSE)</f>
        <v>0</v>
      </c>
      <c r="G246" s="46">
        <f>VLOOKUP(A246,'TH theo khach hang'!$A$4:$G$309,5,FALSE)</f>
        <v>0</v>
      </c>
      <c r="H246" s="45">
        <f t="shared" si="37"/>
        <v>0</v>
      </c>
      <c r="I246" s="47">
        <f t="shared" si="41"/>
        <v>0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</row>
    <row r="247" spans="1:34">
      <c r="A247" s="35" t="s">
        <v>369</v>
      </c>
      <c r="B247" s="26">
        <f>VLOOKUP(A247,'TH theo khach hang'!$A$4:$C$309,2,FALSE)</f>
        <v>0</v>
      </c>
      <c r="C247" s="27" t="str">
        <f>IF(VLOOKUP(A247,'TH theo khach hang'!$A$4:$C$309,3,FALSE)=0, "", "x")</f>
        <v/>
      </c>
      <c r="D247" s="43">
        <f t="shared" si="40"/>
        <v>0</v>
      </c>
      <c r="E247" s="44">
        <f t="shared" si="40"/>
        <v>0</v>
      </c>
      <c r="F247" s="45">
        <f>VLOOKUP(A247,'TH theo khach hang'!$A$4:$G$309,4,FALSE)</f>
        <v>0</v>
      </c>
      <c r="G247" s="46">
        <f>VLOOKUP(A247,'TH theo khach hang'!$A$4:$G$309,5,FALSE)</f>
        <v>0</v>
      </c>
      <c r="H247" s="45">
        <f t="shared" si="37"/>
        <v>0</v>
      </c>
      <c r="I247" s="47">
        <f t="shared" si="41"/>
        <v>0</v>
      </c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</row>
    <row r="248" spans="1:34">
      <c r="A248" s="35" t="s">
        <v>370</v>
      </c>
      <c r="B248" s="26">
        <f>VLOOKUP(A248,'TH theo khach hang'!$A$4:$C$309,2,FALSE)</f>
        <v>0</v>
      </c>
      <c r="C248" s="27" t="str">
        <f>IF(VLOOKUP(A248,'TH theo khach hang'!$A$4:$C$309,3,FALSE)=0, "", "x")</f>
        <v/>
      </c>
      <c r="D248" s="43">
        <f t="shared" si="40"/>
        <v>0</v>
      </c>
      <c r="E248" s="44">
        <f t="shared" si="40"/>
        <v>0</v>
      </c>
      <c r="F248" s="45">
        <f>VLOOKUP(A248,'TH theo khach hang'!$A$4:$G$309,4,FALSE)</f>
        <v>0</v>
      </c>
      <c r="G248" s="46">
        <f>VLOOKUP(A248,'TH theo khach hang'!$A$4:$G$309,5,FALSE)</f>
        <v>0</v>
      </c>
      <c r="H248" s="45">
        <f t="shared" si="37"/>
        <v>0</v>
      </c>
      <c r="I248" s="47">
        <f t="shared" si="41"/>
        <v>0</v>
      </c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</row>
    <row r="249" spans="1:34">
      <c r="A249" s="35" t="s">
        <v>371</v>
      </c>
      <c r="B249" s="26">
        <f>VLOOKUP(A249,'TH theo khach hang'!$A$4:$C$309,2,FALSE)</f>
        <v>0</v>
      </c>
      <c r="C249" s="27" t="str">
        <f>IF(VLOOKUP(A249,'TH theo khach hang'!$A$4:$C$309,3,FALSE)=0, "", "x")</f>
        <v/>
      </c>
      <c r="D249" s="43">
        <f t="shared" si="40"/>
        <v>0</v>
      </c>
      <c r="E249" s="44">
        <f t="shared" si="40"/>
        <v>0</v>
      </c>
      <c r="F249" s="45">
        <f>VLOOKUP(A249,'TH theo khach hang'!$A$4:$G$309,4,FALSE)</f>
        <v>0</v>
      </c>
      <c r="G249" s="46">
        <f>VLOOKUP(A249,'TH theo khach hang'!$A$4:$G$309,5,FALSE)</f>
        <v>0</v>
      </c>
      <c r="H249" s="45">
        <f t="shared" si="37"/>
        <v>0</v>
      </c>
      <c r="I249" s="47">
        <f t="shared" si="41"/>
        <v>0</v>
      </c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</row>
    <row r="250" spans="1:34">
      <c r="A250" s="35" t="s">
        <v>372</v>
      </c>
      <c r="B250" s="26">
        <f>VLOOKUP(A250,'TH theo khach hang'!$A$4:$C$309,2,FALSE)</f>
        <v>0</v>
      </c>
      <c r="C250" s="27" t="str">
        <f>IF(VLOOKUP(A250,'TH theo khach hang'!$A$4:$C$309,3,FALSE)=0, "", "x")</f>
        <v/>
      </c>
      <c r="D250" s="43">
        <f t="shared" si="40"/>
        <v>0</v>
      </c>
      <c r="E250" s="44">
        <f t="shared" si="40"/>
        <v>0</v>
      </c>
      <c r="F250" s="45">
        <f>VLOOKUP(A250,'TH theo khach hang'!$A$4:$G$309,4,FALSE)</f>
        <v>0</v>
      </c>
      <c r="G250" s="46">
        <f>VLOOKUP(A250,'TH theo khach hang'!$A$4:$G$309,5,FALSE)</f>
        <v>0</v>
      </c>
      <c r="H250" s="45">
        <f t="shared" si="37"/>
        <v>0</v>
      </c>
      <c r="I250" s="47">
        <f t="shared" si="41"/>
        <v>0</v>
      </c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</row>
    <row r="251" spans="1:34">
      <c r="A251" s="35" t="s">
        <v>373</v>
      </c>
      <c r="B251" s="26">
        <f>VLOOKUP(A251,'TH theo khach hang'!$A$4:$C$309,2,FALSE)</f>
        <v>0</v>
      </c>
      <c r="C251" s="27" t="str">
        <f>IF(VLOOKUP(A251,'TH theo khach hang'!$A$4:$C$309,3,FALSE)=0, "", "x")</f>
        <v/>
      </c>
      <c r="D251" s="43">
        <f t="shared" si="40"/>
        <v>0</v>
      </c>
      <c r="E251" s="44">
        <f t="shared" si="40"/>
        <v>0</v>
      </c>
      <c r="F251" s="45">
        <f>VLOOKUP(A251,'TH theo khach hang'!$A$4:$G$309,4,FALSE)</f>
        <v>0</v>
      </c>
      <c r="G251" s="46">
        <f>VLOOKUP(A251,'TH theo khach hang'!$A$4:$G$309,5,FALSE)</f>
        <v>0</v>
      </c>
      <c r="H251" s="45">
        <f t="shared" si="37"/>
        <v>0</v>
      </c>
      <c r="I251" s="47">
        <f t="shared" si="41"/>
        <v>0</v>
      </c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</row>
    <row r="252" spans="1:34">
      <c r="A252" s="35" t="s">
        <v>374</v>
      </c>
      <c r="B252" s="26">
        <f>VLOOKUP(A252,'TH theo khach hang'!$A$4:$C$309,2,FALSE)</f>
        <v>0</v>
      </c>
      <c r="C252" s="27" t="str">
        <f>IF(VLOOKUP(A252,'TH theo khach hang'!$A$4:$C$309,3,FALSE)=0, "", "x")</f>
        <v/>
      </c>
      <c r="D252" s="43">
        <f t="shared" si="40"/>
        <v>0</v>
      </c>
      <c r="E252" s="44">
        <f t="shared" si="40"/>
        <v>0</v>
      </c>
      <c r="F252" s="45">
        <f>VLOOKUP(A252,'TH theo khach hang'!$A$4:$G$309,4,FALSE)</f>
        <v>0</v>
      </c>
      <c r="G252" s="46">
        <f>VLOOKUP(A252,'TH theo khach hang'!$A$4:$G$309,5,FALSE)</f>
        <v>0</v>
      </c>
      <c r="H252" s="45">
        <f t="shared" si="37"/>
        <v>0</v>
      </c>
      <c r="I252" s="47">
        <f t="shared" si="41"/>
        <v>0</v>
      </c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</row>
    <row r="253" spans="1:34">
      <c r="A253" s="35" t="s">
        <v>375</v>
      </c>
      <c r="B253" s="26">
        <f>VLOOKUP(A253,'TH theo khach hang'!$A$4:$C$309,2,FALSE)</f>
        <v>0</v>
      </c>
      <c r="C253" s="27" t="str">
        <f>IF(VLOOKUP(A253,'TH theo khach hang'!$A$4:$C$309,3,FALSE)=0, "", "x")</f>
        <v/>
      </c>
      <c r="D253" s="43">
        <f t="shared" si="40"/>
        <v>0</v>
      </c>
      <c r="E253" s="44">
        <f t="shared" si="40"/>
        <v>0</v>
      </c>
      <c r="F253" s="45">
        <f>VLOOKUP(A253,'TH theo khach hang'!$A$4:$G$309,4,FALSE)</f>
        <v>0</v>
      </c>
      <c r="G253" s="46">
        <f>VLOOKUP(A253,'TH theo khach hang'!$A$4:$G$309,5,FALSE)</f>
        <v>0</v>
      </c>
      <c r="H253" s="45">
        <f t="shared" si="37"/>
        <v>0</v>
      </c>
      <c r="I253" s="47">
        <f t="shared" si="41"/>
        <v>0</v>
      </c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</row>
    <row r="254" spans="1:34">
      <c r="A254" s="35" t="s">
        <v>376</v>
      </c>
      <c r="B254" s="26">
        <f>VLOOKUP(A254,'TH theo khach hang'!$A$4:$C$309,2,FALSE)</f>
        <v>0</v>
      </c>
      <c r="C254" s="27" t="str">
        <f>IF(VLOOKUP(A254,'TH theo khach hang'!$A$4:$C$309,3,FALSE)=0, "", "x")</f>
        <v/>
      </c>
      <c r="D254" s="43">
        <f t="shared" si="40"/>
        <v>0</v>
      </c>
      <c r="E254" s="44">
        <f t="shared" si="40"/>
        <v>0</v>
      </c>
      <c r="F254" s="45">
        <f>VLOOKUP(A254,'TH theo khach hang'!$A$4:$G$309,4,FALSE)</f>
        <v>0</v>
      </c>
      <c r="G254" s="46">
        <f>VLOOKUP(A254,'TH theo khach hang'!$A$4:$G$309,5,FALSE)</f>
        <v>0</v>
      </c>
      <c r="H254" s="45">
        <f t="shared" si="37"/>
        <v>0</v>
      </c>
      <c r="I254" s="47">
        <f t="shared" si="41"/>
        <v>0</v>
      </c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</row>
    <row r="255" spans="1:34">
      <c r="A255" s="35" t="s">
        <v>377</v>
      </c>
      <c r="B255" s="26">
        <f>VLOOKUP(A255,'TH theo khach hang'!$A$4:$C$309,2,FALSE)</f>
        <v>0</v>
      </c>
      <c r="C255" s="27" t="str">
        <f>IF(VLOOKUP(A255,'TH theo khach hang'!$A$4:$C$309,3,FALSE)=0, "", "x")</f>
        <v/>
      </c>
      <c r="D255" s="43">
        <f t="shared" si="40"/>
        <v>0</v>
      </c>
      <c r="E255" s="44">
        <f t="shared" si="40"/>
        <v>0</v>
      </c>
      <c r="F255" s="45">
        <f>VLOOKUP(A255,'TH theo khach hang'!$A$4:$G$309,4,FALSE)</f>
        <v>0</v>
      </c>
      <c r="G255" s="46">
        <f>VLOOKUP(A255,'TH theo khach hang'!$A$4:$G$309,5,FALSE)</f>
        <v>0</v>
      </c>
      <c r="H255" s="45">
        <f t="shared" si="37"/>
        <v>0</v>
      </c>
      <c r="I255" s="47">
        <f t="shared" si="41"/>
        <v>0</v>
      </c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</row>
    <row r="256" spans="1:34">
      <c r="A256" s="35" t="s">
        <v>378</v>
      </c>
      <c r="B256" s="26">
        <f>VLOOKUP(A256,'TH theo khach hang'!$A$4:$C$309,2,FALSE)</f>
        <v>0</v>
      </c>
      <c r="C256" s="27" t="str">
        <f>IF(VLOOKUP(A256,'TH theo khach hang'!$A$4:$C$309,3,FALSE)=0, "", "x")</f>
        <v/>
      </c>
      <c r="D256" s="43">
        <f t="shared" si="40"/>
        <v>0</v>
      </c>
      <c r="E256" s="44">
        <f t="shared" si="40"/>
        <v>0</v>
      </c>
      <c r="F256" s="45">
        <f>VLOOKUP(A256,'TH theo khach hang'!$A$4:$G$309,4,FALSE)</f>
        <v>0</v>
      </c>
      <c r="G256" s="46">
        <f>VLOOKUP(A256,'TH theo khach hang'!$A$4:$G$309,5,FALSE)</f>
        <v>0</v>
      </c>
      <c r="H256" s="45">
        <f t="shared" si="37"/>
        <v>0</v>
      </c>
      <c r="I256" s="47">
        <f t="shared" si="41"/>
        <v>0</v>
      </c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</row>
    <row r="257" spans="1:34">
      <c r="A257" s="35" t="s">
        <v>379</v>
      </c>
      <c r="B257" s="26">
        <f>VLOOKUP(A257,'TH theo khach hang'!$A$4:$C$309,2,FALSE)</f>
        <v>0</v>
      </c>
      <c r="C257" s="27" t="str">
        <f>IF(VLOOKUP(A257,'TH theo khach hang'!$A$4:$C$309,3,FALSE)=0, "", "x")</f>
        <v/>
      </c>
      <c r="D257" s="43">
        <f t="shared" ref="D257:D308" si="42">F257-H257</f>
        <v>0</v>
      </c>
      <c r="E257" s="44">
        <f t="shared" ref="E257:E308" si="43">G257-I257</f>
        <v>0</v>
      </c>
      <c r="F257" s="45">
        <f>VLOOKUP(A257,'TH theo khach hang'!$A$4:$G$309,4,FALSE)</f>
        <v>0</v>
      </c>
      <c r="G257" s="46">
        <f>VLOOKUP(A257,'TH theo khach hang'!$A$4:$G$309,5,FALSE)</f>
        <v>0</v>
      </c>
      <c r="H257" s="45">
        <f t="shared" si="37"/>
        <v>0</v>
      </c>
      <c r="I257" s="47">
        <f t="shared" ref="I257:I308" si="44">K257+M257+O257+Q257+S257+U257+W257+Y257+AA257+AC257+AE257+AG257</f>
        <v>0</v>
      </c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</row>
    <row r="258" spans="1:34" s="34" customFormat="1">
      <c r="A258" s="35" t="s">
        <v>380</v>
      </c>
      <c r="B258" s="26">
        <f>VLOOKUP(A258,'TH theo khach hang'!$A$4:$C$309,2,FALSE)</f>
        <v>0</v>
      </c>
      <c r="C258" s="27" t="str">
        <f>IF(VLOOKUP(A258,'TH theo khach hang'!$A$4:$C$309,3,FALSE)=0, "", "x")</f>
        <v/>
      </c>
      <c r="D258" s="43">
        <f t="shared" si="42"/>
        <v>0</v>
      </c>
      <c r="E258" s="44">
        <f t="shared" si="43"/>
        <v>0</v>
      </c>
      <c r="F258" s="45">
        <f>VLOOKUP(A258,'TH theo khach hang'!$A$4:$G$309,4,FALSE)</f>
        <v>0</v>
      </c>
      <c r="G258" s="46">
        <f>VLOOKUP(A258,'TH theo khach hang'!$A$4:$G$309,5,FALSE)</f>
        <v>0</v>
      </c>
      <c r="H258" s="45">
        <f t="shared" si="37"/>
        <v>0</v>
      </c>
      <c r="I258" s="47">
        <f t="shared" si="44"/>
        <v>0</v>
      </c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33"/>
    </row>
    <row r="259" spans="1:34" s="34" customFormat="1">
      <c r="A259" s="35" t="s">
        <v>381</v>
      </c>
      <c r="B259" s="26">
        <f>VLOOKUP(A259,'TH theo khach hang'!$A$4:$C$309,2,FALSE)</f>
        <v>0</v>
      </c>
      <c r="C259" s="27" t="str">
        <f>IF(VLOOKUP(A259,'TH theo khach hang'!$A$4:$C$309,3,FALSE)=0, "", "x")</f>
        <v/>
      </c>
      <c r="D259" s="43">
        <f t="shared" si="42"/>
        <v>0</v>
      </c>
      <c r="E259" s="44">
        <f t="shared" si="43"/>
        <v>0</v>
      </c>
      <c r="F259" s="45">
        <f>VLOOKUP(A259,'TH theo khach hang'!$A$4:$G$309,4,FALSE)</f>
        <v>0</v>
      </c>
      <c r="G259" s="46">
        <f>VLOOKUP(A259,'TH theo khach hang'!$A$4:$G$309,5,FALSE)</f>
        <v>0</v>
      </c>
      <c r="H259" s="45">
        <f t="shared" si="37"/>
        <v>0</v>
      </c>
      <c r="I259" s="47">
        <f t="shared" si="44"/>
        <v>0</v>
      </c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</row>
    <row r="260" spans="1:34" s="34" customFormat="1">
      <c r="A260" s="35" t="s">
        <v>382</v>
      </c>
      <c r="B260" s="26">
        <f>VLOOKUP(A260,'TH theo khach hang'!$A$4:$C$309,2,FALSE)</f>
        <v>0</v>
      </c>
      <c r="C260" s="27" t="str">
        <f>IF(VLOOKUP(A260,'TH theo khach hang'!$A$4:$C$309,3,FALSE)=0, "", "x")</f>
        <v/>
      </c>
      <c r="D260" s="43">
        <f t="shared" si="42"/>
        <v>0</v>
      </c>
      <c r="E260" s="44">
        <f t="shared" si="43"/>
        <v>0</v>
      </c>
      <c r="F260" s="45">
        <f>VLOOKUP(A260,'TH theo khach hang'!$A$4:$G$309,4,FALSE)</f>
        <v>0</v>
      </c>
      <c r="G260" s="46">
        <f>VLOOKUP(A260,'TH theo khach hang'!$A$4:$G$309,5,FALSE)</f>
        <v>0</v>
      </c>
      <c r="H260" s="45">
        <f t="shared" si="37"/>
        <v>0</v>
      </c>
      <c r="I260" s="47">
        <f t="shared" si="44"/>
        <v>0</v>
      </c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</row>
    <row r="261" spans="1:34" s="34" customFormat="1">
      <c r="A261" s="35" t="s">
        <v>383</v>
      </c>
      <c r="B261" s="26">
        <f>VLOOKUP(A261,'TH theo khach hang'!$A$4:$C$309,2,FALSE)</f>
        <v>0</v>
      </c>
      <c r="C261" s="27" t="str">
        <f>IF(VLOOKUP(A261,'TH theo khach hang'!$A$4:$C$309,3,FALSE)=0, "", "x")</f>
        <v/>
      </c>
      <c r="D261" s="43">
        <f t="shared" si="42"/>
        <v>0</v>
      </c>
      <c r="E261" s="44">
        <f t="shared" si="43"/>
        <v>0</v>
      </c>
      <c r="F261" s="45">
        <f>VLOOKUP(A261,'TH theo khach hang'!$A$4:$G$309,4,FALSE)</f>
        <v>0</v>
      </c>
      <c r="G261" s="46">
        <f>VLOOKUP(A261,'TH theo khach hang'!$A$4:$G$309,5,FALSE)</f>
        <v>0</v>
      </c>
      <c r="H261" s="45">
        <f t="shared" si="37"/>
        <v>0</v>
      </c>
      <c r="I261" s="47">
        <f t="shared" si="44"/>
        <v>0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33"/>
    </row>
    <row r="262" spans="1:34" s="34" customFormat="1">
      <c r="A262" s="35" t="s">
        <v>384</v>
      </c>
      <c r="B262" s="26">
        <f>VLOOKUP(A262,'TH theo khach hang'!$A$4:$C$309,2,FALSE)</f>
        <v>0</v>
      </c>
      <c r="C262" s="27" t="str">
        <f>IF(VLOOKUP(A262,'TH theo khach hang'!$A$4:$C$309,3,FALSE)=0, "", "x")</f>
        <v/>
      </c>
      <c r="D262" s="43">
        <f t="shared" si="42"/>
        <v>0</v>
      </c>
      <c r="E262" s="44">
        <f t="shared" si="43"/>
        <v>0</v>
      </c>
      <c r="F262" s="45">
        <f>VLOOKUP(A262,'TH theo khach hang'!$A$4:$G$309,4,FALSE)</f>
        <v>0</v>
      </c>
      <c r="G262" s="46">
        <f>VLOOKUP(A262,'TH theo khach hang'!$A$4:$G$309,5,FALSE)</f>
        <v>0</v>
      </c>
      <c r="H262" s="45">
        <f t="shared" si="37"/>
        <v>0</v>
      </c>
      <c r="I262" s="47">
        <f t="shared" si="44"/>
        <v>0</v>
      </c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</row>
    <row r="263" spans="1:34" s="34" customFormat="1">
      <c r="A263" s="35" t="s">
        <v>385</v>
      </c>
      <c r="B263" s="26">
        <f>VLOOKUP(A263,'TH theo khach hang'!$A$4:$C$309,2,FALSE)</f>
        <v>0</v>
      </c>
      <c r="C263" s="27" t="str">
        <f>IF(VLOOKUP(A263,'TH theo khach hang'!$A$4:$C$309,3,FALSE)=0, "", "x")</f>
        <v/>
      </c>
      <c r="D263" s="43">
        <f t="shared" si="42"/>
        <v>0</v>
      </c>
      <c r="E263" s="44">
        <f t="shared" si="43"/>
        <v>0</v>
      </c>
      <c r="F263" s="45">
        <f>VLOOKUP(A263,'TH theo khach hang'!$A$4:$G$309,4,FALSE)</f>
        <v>0</v>
      </c>
      <c r="G263" s="46">
        <f>VLOOKUP(A263,'TH theo khach hang'!$A$4:$G$309,5,FALSE)</f>
        <v>0</v>
      </c>
      <c r="H263" s="45">
        <f t="shared" si="37"/>
        <v>0</v>
      </c>
      <c r="I263" s="47">
        <f t="shared" si="44"/>
        <v>0</v>
      </c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</row>
    <row r="264" spans="1:34" s="34" customFormat="1">
      <c r="A264" s="35" t="s">
        <v>386</v>
      </c>
      <c r="B264" s="26">
        <f>VLOOKUP(A264,'TH theo khach hang'!$A$4:$C$309,2,FALSE)</f>
        <v>0</v>
      </c>
      <c r="C264" s="27" t="str">
        <f>IF(VLOOKUP(A264,'TH theo khach hang'!$A$4:$C$309,3,FALSE)=0, "", "x")</f>
        <v/>
      </c>
      <c r="D264" s="43">
        <f t="shared" si="42"/>
        <v>0</v>
      </c>
      <c r="E264" s="44">
        <f t="shared" si="43"/>
        <v>0</v>
      </c>
      <c r="F264" s="45">
        <f>VLOOKUP(A264,'TH theo khach hang'!$A$4:$G$309,4,FALSE)</f>
        <v>0</v>
      </c>
      <c r="G264" s="46">
        <f>VLOOKUP(A264,'TH theo khach hang'!$A$4:$G$309,5,FALSE)</f>
        <v>0</v>
      </c>
      <c r="H264" s="45">
        <f t="shared" si="37"/>
        <v>0</v>
      </c>
      <c r="I264" s="47">
        <f t="shared" si="44"/>
        <v>0</v>
      </c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33"/>
    </row>
    <row r="265" spans="1:34">
      <c r="A265" s="35" t="s">
        <v>387</v>
      </c>
      <c r="B265" s="26">
        <f>VLOOKUP(A265,'TH theo khach hang'!$A$4:$C$309,2,FALSE)</f>
        <v>0</v>
      </c>
      <c r="C265" s="27" t="str">
        <f>IF(VLOOKUP(A265,'TH theo khach hang'!$A$4:$C$309,3,FALSE)=0, "", "x")</f>
        <v/>
      </c>
      <c r="D265" s="43">
        <f t="shared" si="42"/>
        <v>0</v>
      </c>
      <c r="E265" s="44">
        <f t="shared" si="43"/>
        <v>0</v>
      </c>
      <c r="F265" s="45">
        <f>VLOOKUP(A265,'TH theo khach hang'!$A$4:$G$309,4,FALSE)</f>
        <v>0</v>
      </c>
      <c r="G265" s="46">
        <f>VLOOKUP(A265,'TH theo khach hang'!$A$4:$G$309,5,FALSE)</f>
        <v>0</v>
      </c>
      <c r="H265" s="45">
        <f t="shared" si="37"/>
        <v>0</v>
      </c>
      <c r="I265" s="47">
        <f t="shared" si="44"/>
        <v>0</v>
      </c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</row>
    <row r="266" spans="1:34">
      <c r="A266" s="35" t="s">
        <v>388</v>
      </c>
      <c r="B266" s="26">
        <f>VLOOKUP(A266,'TH theo khach hang'!$A$4:$C$309,2,FALSE)</f>
        <v>0</v>
      </c>
      <c r="C266" s="27" t="str">
        <f>IF(VLOOKUP(A266,'TH theo khach hang'!$A$4:$C$309,3,FALSE)=0, "", "x")</f>
        <v/>
      </c>
      <c r="D266" s="43">
        <f t="shared" si="42"/>
        <v>0</v>
      </c>
      <c r="E266" s="44">
        <f t="shared" si="43"/>
        <v>0</v>
      </c>
      <c r="F266" s="45">
        <f>VLOOKUP(A266,'TH theo khach hang'!$A$4:$G$309,4,FALSE)</f>
        <v>0</v>
      </c>
      <c r="G266" s="46">
        <f>VLOOKUP(A266,'TH theo khach hang'!$A$4:$G$309,5,FALSE)</f>
        <v>0</v>
      </c>
      <c r="H266" s="45">
        <f t="shared" si="37"/>
        <v>0</v>
      </c>
      <c r="I266" s="47">
        <f t="shared" si="44"/>
        <v>0</v>
      </c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</row>
    <row r="267" spans="1:34">
      <c r="A267" s="35" t="s">
        <v>389</v>
      </c>
      <c r="B267" s="26">
        <f>VLOOKUP(A267,'TH theo khach hang'!$A$4:$C$309,2,FALSE)</f>
        <v>0</v>
      </c>
      <c r="C267" s="27" t="str">
        <f>IF(VLOOKUP(A267,'TH theo khach hang'!$A$4:$C$309,3,FALSE)=0, "", "x")</f>
        <v/>
      </c>
      <c r="D267" s="43">
        <f t="shared" si="42"/>
        <v>0</v>
      </c>
      <c r="E267" s="44">
        <f t="shared" si="43"/>
        <v>0</v>
      </c>
      <c r="F267" s="45">
        <f>VLOOKUP(A267,'TH theo khach hang'!$A$4:$G$309,4,FALSE)</f>
        <v>0</v>
      </c>
      <c r="G267" s="46">
        <f>VLOOKUP(A267,'TH theo khach hang'!$A$4:$G$309,5,FALSE)</f>
        <v>0</v>
      </c>
      <c r="H267" s="45">
        <f t="shared" si="37"/>
        <v>0</v>
      </c>
      <c r="I267" s="47">
        <f t="shared" si="44"/>
        <v>0</v>
      </c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</row>
    <row r="268" spans="1:34">
      <c r="A268" s="35" t="s">
        <v>390</v>
      </c>
      <c r="B268" s="26">
        <f>VLOOKUP(A268,'TH theo khach hang'!$A$4:$C$309,2,FALSE)</f>
        <v>0</v>
      </c>
      <c r="C268" s="27" t="str">
        <f>IF(VLOOKUP(A268,'TH theo khach hang'!$A$4:$C$309,3,FALSE)=0, "", "x")</f>
        <v/>
      </c>
      <c r="D268" s="43">
        <f t="shared" si="42"/>
        <v>0</v>
      </c>
      <c r="E268" s="44">
        <f t="shared" si="43"/>
        <v>0</v>
      </c>
      <c r="F268" s="45">
        <f>VLOOKUP(A268,'TH theo khach hang'!$A$4:$G$309,4,FALSE)</f>
        <v>0</v>
      </c>
      <c r="G268" s="46">
        <f>VLOOKUP(A268,'TH theo khach hang'!$A$4:$G$309,5,FALSE)</f>
        <v>0</v>
      </c>
      <c r="H268" s="45">
        <f t="shared" si="37"/>
        <v>0</v>
      </c>
      <c r="I268" s="47">
        <f t="shared" si="44"/>
        <v>0</v>
      </c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</row>
    <row r="269" spans="1:34">
      <c r="A269" s="35" t="s">
        <v>391</v>
      </c>
      <c r="B269" s="26">
        <f>VLOOKUP(A269,'TH theo khach hang'!$A$4:$C$309,2,FALSE)</f>
        <v>0</v>
      </c>
      <c r="C269" s="27" t="str">
        <f>IF(VLOOKUP(A269,'TH theo khach hang'!$A$4:$C$309,3,FALSE)=0, "", "x")</f>
        <v/>
      </c>
      <c r="D269" s="43">
        <f t="shared" si="42"/>
        <v>0</v>
      </c>
      <c r="E269" s="44">
        <f t="shared" si="43"/>
        <v>0</v>
      </c>
      <c r="F269" s="45">
        <f>VLOOKUP(A269,'TH theo khach hang'!$A$4:$G$309,4,FALSE)</f>
        <v>0</v>
      </c>
      <c r="G269" s="46">
        <f>VLOOKUP(A269,'TH theo khach hang'!$A$4:$G$309,5,FALSE)</f>
        <v>0</v>
      </c>
      <c r="H269" s="45">
        <f t="shared" si="37"/>
        <v>0</v>
      </c>
      <c r="I269" s="47">
        <f t="shared" si="44"/>
        <v>0</v>
      </c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</row>
    <row r="270" spans="1:34" s="34" customFormat="1">
      <c r="A270" s="35" t="s">
        <v>392</v>
      </c>
      <c r="B270" s="26">
        <f>VLOOKUP(A270,'TH theo khach hang'!$A$4:$C$309,2,FALSE)</f>
        <v>0</v>
      </c>
      <c r="C270" s="27" t="str">
        <f>IF(VLOOKUP(A270,'TH theo khach hang'!$A$4:$C$309,3,FALSE)=0, "", "x")</f>
        <v/>
      </c>
      <c r="D270" s="43">
        <f t="shared" si="42"/>
        <v>0</v>
      </c>
      <c r="E270" s="44">
        <f t="shared" si="43"/>
        <v>0</v>
      </c>
      <c r="F270" s="45">
        <f>VLOOKUP(A270,'TH theo khach hang'!$A$4:$G$309,4,FALSE)</f>
        <v>0</v>
      </c>
      <c r="G270" s="46">
        <f>VLOOKUP(A270,'TH theo khach hang'!$A$4:$G$309,5,FALSE)</f>
        <v>0</v>
      </c>
      <c r="H270" s="45">
        <f t="shared" si="37"/>
        <v>0</v>
      </c>
      <c r="I270" s="47">
        <f t="shared" si="44"/>
        <v>0</v>
      </c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33"/>
    </row>
    <row r="271" spans="1:34" s="34" customFormat="1">
      <c r="A271" s="35" t="s">
        <v>393</v>
      </c>
      <c r="B271" s="26">
        <f>VLOOKUP(A271,'TH theo khach hang'!$A$4:$C$309,2,FALSE)</f>
        <v>0</v>
      </c>
      <c r="C271" s="27" t="str">
        <f>IF(VLOOKUP(A271,'TH theo khach hang'!$A$4:$C$309,3,FALSE)=0, "", "x")</f>
        <v/>
      </c>
      <c r="D271" s="43">
        <f t="shared" si="42"/>
        <v>0</v>
      </c>
      <c r="E271" s="44">
        <f t="shared" si="43"/>
        <v>0</v>
      </c>
      <c r="F271" s="45">
        <f>VLOOKUP(A271,'TH theo khach hang'!$A$4:$G$309,4,FALSE)</f>
        <v>0</v>
      </c>
      <c r="G271" s="46">
        <f>VLOOKUP(A271,'TH theo khach hang'!$A$4:$G$309,5,FALSE)</f>
        <v>0</v>
      </c>
      <c r="H271" s="45">
        <f t="shared" si="37"/>
        <v>0</v>
      </c>
      <c r="I271" s="47">
        <f t="shared" si="44"/>
        <v>0</v>
      </c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</row>
    <row r="272" spans="1:34" s="34" customFormat="1">
      <c r="A272" s="35" t="s">
        <v>394</v>
      </c>
      <c r="B272" s="26">
        <f>VLOOKUP(A272,'TH theo khach hang'!$A$4:$C$309,2,FALSE)</f>
        <v>0</v>
      </c>
      <c r="C272" s="27" t="str">
        <f>IF(VLOOKUP(A272,'TH theo khach hang'!$A$4:$C$309,3,FALSE)=0, "", "x")</f>
        <v/>
      </c>
      <c r="D272" s="43">
        <f t="shared" si="42"/>
        <v>0</v>
      </c>
      <c r="E272" s="44">
        <f t="shared" si="43"/>
        <v>0</v>
      </c>
      <c r="F272" s="45">
        <f>VLOOKUP(A272,'TH theo khach hang'!$A$4:$G$309,4,FALSE)</f>
        <v>0</v>
      </c>
      <c r="G272" s="46">
        <f>VLOOKUP(A272,'TH theo khach hang'!$A$4:$G$309,5,FALSE)</f>
        <v>0</v>
      </c>
      <c r="H272" s="45">
        <f t="shared" si="37"/>
        <v>0</v>
      </c>
      <c r="I272" s="47">
        <f t="shared" si="44"/>
        <v>0</v>
      </c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</row>
    <row r="273" spans="1:34" s="34" customFormat="1">
      <c r="A273" s="35" t="s">
        <v>395</v>
      </c>
      <c r="B273" s="26">
        <f>VLOOKUP(A273,'TH theo khach hang'!$A$4:$C$309,2,FALSE)</f>
        <v>0</v>
      </c>
      <c r="C273" s="27" t="str">
        <f>IF(VLOOKUP(A273,'TH theo khach hang'!$A$4:$C$309,3,FALSE)=0, "", "x")</f>
        <v/>
      </c>
      <c r="D273" s="43">
        <f t="shared" si="42"/>
        <v>0</v>
      </c>
      <c r="E273" s="44">
        <f t="shared" si="43"/>
        <v>0</v>
      </c>
      <c r="F273" s="45">
        <f>VLOOKUP(A273,'TH theo khach hang'!$A$4:$G$309,4,FALSE)</f>
        <v>0</v>
      </c>
      <c r="G273" s="46">
        <f>VLOOKUP(A273,'TH theo khach hang'!$A$4:$G$309,5,FALSE)</f>
        <v>0</v>
      </c>
      <c r="H273" s="45">
        <f t="shared" si="37"/>
        <v>0</v>
      </c>
      <c r="I273" s="47">
        <f t="shared" si="44"/>
        <v>0</v>
      </c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33"/>
    </row>
    <row r="274" spans="1:34" s="34" customFormat="1">
      <c r="A274" s="35" t="s">
        <v>396</v>
      </c>
      <c r="B274" s="26">
        <f>VLOOKUP(A274,'TH theo khach hang'!$A$4:$C$309,2,FALSE)</f>
        <v>0</v>
      </c>
      <c r="C274" s="27" t="str">
        <f>IF(VLOOKUP(A274,'TH theo khach hang'!$A$4:$C$309,3,FALSE)=0, "", "x")</f>
        <v/>
      </c>
      <c r="D274" s="43">
        <f t="shared" si="42"/>
        <v>0</v>
      </c>
      <c r="E274" s="44">
        <f t="shared" si="43"/>
        <v>0</v>
      </c>
      <c r="F274" s="45">
        <f>VLOOKUP(A274,'TH theo khach hang'!$A$4:$G$309,4,FALSE)</f>
        <v>0</v>
      </c>
      <c r="G274" s="46">
        <f>VLOOKUP(A274,'TH theo khach hang'!$A$4:$G$309,5,FALSE)</f>
        <v>0</v>
      </c>
      <c r="H274" s="45">
        <f t="shared" ref="H274:H308" si="45">J274+L274+N274+P274+R274+T274+V274+X274+Z274+AB274+AD274+AF274</f>
        <v>0</v>
      </c>
      <c r="I274" s="47">
        <f t="shared" si="44"/>
        <v>0</v>
      </c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</row>
    <row r="275" spans="1:34" s="34" customFormat="1">
      <c r="A275" s="35" t="s">
        <v>397</v>
      </c>
      <c r="B275" s="26">
        <f>VLOOKUP(A275,'TH theo khach hang'!$A$4:$C$309,2,FALSE)</f>
        <v>0</v>
      </c>
      <c r="C275" s="27" t="str">
        <f>IF(VLOOKUP(A275,'TH theo khach hang'!$A$4:$C$309,3,FALSE)=0, "", "x")</f>
        <v/>
      </c>
      <c r="D275" s="43">
        <f t="shared" si="42"/>
        <v>0</v>
      </c>
      <c r="E275" s="44">
        <f t="shared" si="43"/>
        <v>0</v>
      </c>
      <c r="F275" s="45">
        <f>VLOOKUP(A275,'TH theo khach hang'!$A$4:$G$309,4,FALSE)</f>
        <v>0</v>
      </c>
      <c r="G275" s="46">
        <f>VLOOKUP(A275,'TH theo khach hang'!$A$4:$G$309,5,FALSE)</f>
        <v>0</v>
      </c>
      <c r="H275" s="45">
        <f t="shared" si="45"/>
        <v>0</v>
      </c>
      <c r="I275" s="47">
        <f t="shared" si="44"/>
        <v>0</v>
      </c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</row>
    <row r="276" spans="1:34" s="34" customFormat="1">
      <c r="A276" s="35" t="s">
        <v>398</v>
      </c>
      <c r="B276" s="26">
        <f>VLOOKUP(A276,'TH theo khach hang'!$A$4:$C$309,2,FALSE)</f>
        <v>0</v>
      </c>
      <c r="C276" s="27" t="str">
        <f>IF(VLOOKUP(A276,'TH theo khach hang'!$A$4:$C$309,3,FALSE)=0, "", "x")</f>
        <v/>
      </c>
      <c r="D276" s="43">
        <f t="shared" si="42"/>
        <v>0</v>
      </c>
      <c r="E276" s="44">
        <f t="shared" si="43"/>
        <v>0</v>
      </c>
      <c r="F276" s="45">
        <f>VLOOKUP(A276,'TH theo khach hang'!$A$4:$G$309,4,FALSE)</f>
        <v>0</v>
      </c>
      <c r="G276" s="46">
        <f>VLOOKUP(A276,'TH theo khach hang'!$A$4:$G$309,5,FALSE)</f>
        <v>0</v>
      </c>
      <c r="H276" s="45">
        <f t="shared" si="45"/>
        <v>0</v>
      </c>
      <c r="I276" s="47">
        <f t="shared" si="44"/>
        <v>0</v>
      </c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33"/>
    </row>
    <row r="277" spans="1:34">
      <c r="A277" s="35" t="s">
        <v>399</v>
      </c>
      <c r="B277" s="26">
        <f>VLOOKUP(A277,'TH theo khach hang'!$A$4:$C$309,2,FALSE)</f>
        <v>0</v>
      </c>
      <c r="C277" s="27" t="str">
        <f>IF(VLOOKUP(A277,'TH theo khach hang'!$A$4:$C$309,3,FALSE)=0, "", "x")</f>
        <v/>
      </c>
      <c r="D277" s="43">
        <f t="shared" si="42"/>
        <v>0</v>
      </c>
      <c r="E277" s="44">
        <f t="shared" si="43"/>
        <v>0</v>
      </c>
      <c r="F277" s="45">
        <f>VLOOKUP(A277,'TH theo khach hang'!$A$4:$G$309,4,FALSE)</f>
        <v>0</v>
      </c>
      <c r="G277" s="46">
        <f>VLOOKUP(A277,'TH theo khach hang'!$A$4:$G$309,5,FALSE)</f>
        <v>0</v>
      </c>
      <c r="H277" s="45">
        <f t="shared" si="45"/>
        <v>0</v>
      </c>
      <c r="I277" s="47">
        <f t="shared" si="44"/>
        <v>0</v>
      </c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</row>
    <row r="278" spans="1:34">
      <c r="A278" s="35" t="s">
        <v>400</v>
      </c>
      <c r="B278" s="26">
        <f>VLOOKUP(A278,'TH theo khach hang'!$A$4:$C$309,2,FALSE)</f>
        <v>0</v>
      </c>
      <c r="C278" s="27" t="str">
        <f>IF(VLOOKUP(A278,'TH theo khach hang'!$A$4:$C$309,3,FALSE)=0, "", "x")</f>
        <v/>
      </c>
      <c r="D278" s="43">
        <f t="shared" si="42"/>
        <v>0</v>
      </c>
      <c r="E278" s="44">
        <f t="shared" si="43"/>
        <v>0</v>
      </c>
      <c r="F278" s="45">
        <f>VLOOKUP(A278,'TH theo khach hang'!$A$4:$G$309,4,FALSE)</f>
        <v>0</v>
      </c>
      <c r="G278" s="46">
        <f>VLOOKUP(A278,'TH theo khach hang'!$A$4:$G$309,5,FALSE)</f>
        <v>0</v>
      </c>
      <c r="H278" s="45">
        <f t="shared" si="45"/>
        <v>0</v>
      </c>
      <c r="I278" s="47">
        <f t="shared" si="44"/>
        <v>0</v>
      </c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</row>
    <row r="279" spans="1:34">
      <c r="A279" s="35" t="s">
        <v>401</v>
      </c>
      <c r="B279" s="26">
        <f>VLOOKUP(A279,'TH theo khach hang'!$A$4:$C$309,2,FALSE)</f>
        <v>0</v>
      </c>
      <c r="C279" s="27" t="str">
        <f>IF(VLOOKUP(A279,'TH theo khach hang'!$A$4:$C$309,3,FALSE)=0, "", "x")</f>
        <v/>
      </c>
      <c r="D279" s="43">
        <f t="shared" si="42"/>
        <v>0</v>
      </c>
      <c r="E279" s="44">
        <f t="shared" si="43"/>
        <v>0</v>
      </c>
      <c r="F279" s="45">
        <f>VLOOKUP(A279,'TH theo khach hang'!$A$4:$G$309,4,FALSE)</f>
        <v>0</v>
      </c>
      <c r="G279" s="46">
        <f>VLOOKUP(A279,'TH theo khach hang'!$A$4:$G$309,5,FALSE)</f>
        <v>0</v>
      </c>
      <c r="H279" s="45">
        <f t="shared" si="45"/>
        <v>0</v>
      </c>
      <c r="I279" s="47">
        <f t="shared" si="44"/>
        <v>0</v>
      </c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</row>
    <row r="280" spans="1:34">
      <c r="A280" s="35" t="s">
        <v>402</v>
      </c>
      <c r="B280" s="26">
        <f>VLOOKUP(A280,'TH theo khach hang'!$A$4:$C$309,2,FALSE)</f>
        <v>0</v>
      </c>
      <c r="C280" s="27" t="str">
        <f>IF(VLOOKUP(A280,'TH theo khach hang'!$A$4:$C$309,3,FALSE)=0, "", "x")</f>
        <v/>
      </c>
      <c r="D280" s="43">
        <f t="shared" si="42"/>
        <v>0</v>
      </c>
      <c r="E280" s="44">
        <f t="shared" si="43"/>
        <v>0</v>
      </c>
      <c r="F280" s="45">
        <f>VLOOKUP(A280,'TH theo khach hang'!$A$4:$G$309,4,FALSE)</f>
        <v>0</v>
      </c>
      <c r="G280" s="46">
        <f>VLOOKUP(A280,'TH theo khach hang'!$A$4:$G$309,5,FALSE)</f>
        <v>0</v>
      </c>
      <c r="H280" s="45">
        <f t="shared" si="45"/>
        <v>0</v>
      </c>
      <c r="I280" s="47">
        <f t="shared" si="44"/>
        <v>0</v>
      </c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</row>
    <row r="281" spans="1:34">
      <c r="A281" s="35" t="s">
        <v>403</v>
      </c>
      <c r="B281" s="26">
        <f>VLOOKUP(A281,'TH theo khach hang'!$A$4:$C$309,2,FALSE)</f>
        <v>0</v>
      </c>
      <c r="C281" s="27" t="str">
        <f>IF(VLOOKUP(A281,'TH theo khach hang'!$A$4:$C$309,3,FALSE)=0, "", "x")</f>
        <v/>
      </c>
      <c r="D281" s="43">
        <f t="shared" si="42"/>
        <v>0</v>
      </c>
      <c r="E281" s="44">
        <f t="shared" si="43"/>
        <v>0</v>
      </c>
      <c r="F281" s="45">
        <f>VLOOKUP(A281,'TH theo khach hang'!$A$4:$G$309,4,FALSE)</f>
        <v>0</v>
      </c>
      <c r="G281" s="46">
        <f>VLOOKUP(A281,'TH theo khach hang'!$A$4:$G$309,5,FALSE)</f>
        <v>0</v>
      </c>
      <c r="H281" s="45">
        <f t="shared" si="45"/>
        <v>0</v>
      </c>
      <c r="I281" s="47">
        <f t="shared" si="44"/>
        <v>0</v>
      </c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</row>
    <row r="282" spans="1:34">
      <c r="A282" s="35" t="s">
        <v>404</v>
      </c>
      <c r="B282" s="26">
        <f>VLOOKUP(A282,'TH theo khach hang'!$A$4:$C$309,2,FALSE)</f>
        <v>0</v>
      </c>
      <c r="C282" s="27" t="str">
        <f>IF(VLOOKUP(A282,'TH theo khach hang'!$A$4:$C$309,3,FALSE)=0, "", "x")</f>
        <v/>
      </c>
      <c r="D282" s="43">
        <f t="shared" si="42"/>
        <v>0</v>
      </c>
      <c r="E282" s="44">
        <f t="shared" si="43"/>
        <v>0</v>
      </c>
      <c r="F282" s="45">
        <f>VLOOKUP(A282,'TH theo khach hang'!$A$4:$G$309,4,FALSE)</f>
        <v>0</v>
      </c>
      <c r="G282" s="46">
        <f>VLOOKUP(A282,'TH theo khach hang'!$A$4:$G$309,5,FALSE)</f>
        <v>0</v>
      </c>
      <c r="H282" s="45">
        <f t="shared" si="45"/>
        <v>0</v>
      </c>
      <c r="I282" s="47">
        <f t="shared" si="44"/>
        <v>0</v>
      </c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</row>
    <row r="283" spans="1:34">
      <c r="A283" s="35" t="s">
        <v>405</v>
      </c>
      <c r="B283" s="26">
        <f>VLOOKUP(A283,'TH theo khach hang'!$A$4:$C$309,2,FALSE)</f>
        <v>0</v>
      </c>
      <c r="C283" s="27" t="str">
        <f>IF(VLOOKUP(A283,'TH theo khach hang'!$A$4:$C$309,3,FALSE)=0, "", "x")</f>
        <v/>
      </c>
      <c r="D283" s="43">
        <f t="shared" si="42"/>
        <v>0</v>
      </c>
      <c r="E283" s="44">
        <f t="shared" si="43"/>
        <v>0</v>
      </c>
      <c r="F283" s="45">
        <f>VLOOKUP(A283,'TH theo khach hang'!$A$4:$G$309,4,FALSE)</f>
        <v>0</v>
      </c>
      <c r="G283" s="46">
        <f>VLOOKUP(A283,'TH theo khach hang'!$A$4:$G$309,5,FALSE)</f>
        <v>0</v>
      </c>
      <c r="H283" s="45">
        <f t="shared" si="45"/>
        <v>0</v>
      </c>
      <c r="I283" s="47">
        <f t="shared" si="44"/>
        <v>0</v>
      </c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</row>
    <row r="284" spans="1:34">
      <c r="A284" s="35" t="s">
        <v>406</v>
      </c>
      <c r="B284" s="26">
        <f>VLOOKUP(A284,'TH theo khach hang'!$A$4:$C$309,2,FALSE)</f>
        <v>0</v>
      </c>
      <c r="C284" s="27" t="str">
        <f>IF(VLOOKUP(A284,'TH theo khach hang'!$A$4:$C$309,3,FALSE)=0, "", "x")</f>
        <v/>
      </c>
      <c r="D284" s="43">
        <f t="shared" si="42"/>
        <v>0</v>
      </c>
      <c r="E284" s="44">
        <f t="shared" si="43"/>
        <v>0</v>
      </c>
      <c r="F284" s="45">
        <f>VLOOKUP(A284,'TH theo khach hang'!$A$4:$G$309,4,FALSE)</f>
        <v>0</v>
      </c>
      <c r="G284" s="46">
        <f>VLOOKUP(A284,'TH theo khach hang'!$A$4:$G$309,5,FALSE)</f>
        <v>0</v>
      </c>
      <c r="H284" s="45">
        <f t="shared" si="45"/>
        <v>0</v>
      </c>
      <c r="I284" s="47">
        <f t="shared" si="44"/>
        <v>0</v>
      </c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</row>
    <row r="285" spans="1:34">
      <c r="A285" s="35" t="s">
        <v>407</v>
      </c>
      <c r="B285" s="26">
        <f>VLOOKUP(A285,'TH theo khach hang'!$A$4:$C$309,2,FALSE)</f>
        <v>0</v>
      </c>
      <c r="C285" s="27" t="str">
        <f>IF(VLOOKUP(A285,'TH theo khach hang'!$A$4:$C$309,3,FALSE)=0, "", "x")</f>
        <v/>
      </c>
      <c r="D285" s="43">
        <f t="shared" si="42"/>
        <v>0</v>
      </c>
      <c r="E285" s="44">
        <f>G285-I285</f>
        <v>0</v>
      </c>
      <c r="F285" s="45">
        <f>VLOOKUP(A285,'TH theo khach hang'!$A$4:$G$309,4,FALSE)</f>
        <v>0</v>
      </c>
      <c r="G285" s="46">
        <f>VLOOKUP(A285,'TH theo khach hang'!$A$4:$G$309,5,FALSE)</f>
        <v>0</v>
      </c>
      <c r="H285" s="45">
        <f t="shared" si="45"/>
        <v>0</v>
      </c>
      <c r="I285" s="47">
        <f t="shared" si="44"/>
        <v>0</v>
      </c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</row>
    <row r="286" spans="1:34">
      <c r="A286" s="35" t="s">
        <v>408</v>
      </c>
      <c r="B286" s="26">
        <f>VLOOKUP(A286,'TH theo khach hang'!$A$4:$C$309,2,FALSE)</f>
        <v>0</v>
      </c>
      <c r="C286" s="27" t="str">
        <f>IF(VLOOKUP(A286,'TH theo khach hang'!$A$4:$C$309,3,FALSE)=0, "", "x")</f>
        <v/>
      </c>
      <c r="D286" s="43">
        <f t="shared" si="42"/>
        <v>0</v>
      </c>
      <c r="E286" s="44">
        <f t="shared" si="43"/>
        <v>0</v>
      </c>
      <c r="F286" s="45">
        <f>VLOOKUP(A286,'TH theo khach hang'!$A$4:$G$309,4,FALSE)</f>
        <v>0</v>
      </c>
      <c r="G286" s="46">
        <f>VLOOKUP(A286,'TH theo khach hang'!$A$4:$G$309,5,FALSE)</f>
        <v>0</v>
      </c>
      <c r="H286" s="45">
        <f t="shared" si="45"/>
        <v>0</v>
      </c>
      <c r="I286" s="47">
        <f t="shared" si="44"/>
        <v>0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</row>
    <row r="287" spans="1:34" s="34" customFormat="1">
      <c r="A287" s="35" t="s">
        <v>409</v>
      </c>
      <c r="B287" s="26">
        <f>VLOOKUP(A287,'TH theo khach hang'!$A$4:$C$309,2,FALSE)</f>
        <v>0</v>
      </c>
      <c r="C287" s="27" t="str">
        <f>IF(VLOOKUP(A287,'TH theo khach hang'!$A$4:$C$309,3,FALSE)=0, "", "x")</f>
        <v/>
      </c>
      <c r="D287" s="43">
        <f t="shared" si="42"/>
        <v>0</v>
      </c>
      <c r="E287" s="44">
        <f t="shared" si="43"/>
        <v>0</v>
      </c>
      <c r="F287" s="45">
        <f>VLOOKUP(A287,'TH theo khach hang'!$A$4:$G$309,4,FALSE)</f>
        <v>0</v>
      </c>
      <c r="G287" s="46">
        <f>VLOOKUP(A287,'TH theo khach hang'!$A$4:$G$309,5,FALSE)</f>
        <v>0</v>
      </c>
      <c r="H287" s="45">
        <f t="shared" si="45"/>
        <v>0</v>
      </c>
      <c r="I287" s="47">
        <f t="shared" si="44"/>
        <v>0</v>
      </c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</row>
    <row r="288" spans="1:34" s="34" customFormat="1">
      <c r="A288" s="35" t="s">
        <v>410</v>
      </c>
      <c r="B288" s="26">
        <f>VLOOKUP(A288,'TH theo khach hang'!$A$4:$C$309,2,FALSE)</f>
        <v>0</v>
      </c>
      <c r="C288" s="27" t="str">
        <f>IF(VLOOKUP(A288,'TH theo khach hang'!$A$4:$C$309,3,FALSE)=0, "", "x")</f>
        <v/>
      </c>
      <c r="D288" s="43">
        <f t="shared" si="42"/>
        <v>0</v>
      </c>
      <c r="E288" s="44">
        <f t="shared" si="43"/>
        <v>0</v>
      </c>
      <c r="F288" s="45">
        <f>VLOOKUP(A288,'TH theo khach hang'!$A$4:$G$309,4,FALSE)</f>
        <v>0</v>
      </c>
      <c r="G288" s="46">
        <f>VLOOKUP(A288,'TH theo khach hang'!$A$4:$G$309,5,FALSE)</f>
        <v>0</v>
      </c>
      <c r="H288" s="45">
        <f t="shared" si="45"/>
        <v>0</v>
      </c>
      <c r="I288" s="47">
        <f t="shared" si="44"/>
        <v>0</v>
      </c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</row>
    <row r="289" spans="1:34" s="34" customFormat="1">
      <c r="A289" s="35" t="s">
        <v>411</v>
      </c>
      <c r="B289" s="26">
        <f>VLOOKUP(A289,'TH theo khach hang'!$A$4:$C$309,2,FALSE)</f>
        <v>0</v>
      </c>
      <c r="C289" s="27" t="str">
        <f>IF(VLOOKUP(A289,'TH theo khach hang'!$A$4:$C$309,3,FALSE)=0, "", "x")</f>
        <v/>
      </c>
      <c r="D289" s="43">
        <f t="shared" si="42"/>
        <v>0</v>
      </c>
      <c r="E289" s="44">
        <f t="shared" si="43"/>
        <v>0</v>
      </c>
      <c r="F289" s="45">
        <f>VLOOKUP(A289,'TH theo khach hang'!$A$4:$G$309,4,FALSE)</f>
        <v>0</v>
      </c>
      <c r="G289" s="46">
        <f>VLOOKUP(A289,'TH theo khach hang'!$A$4:$G$309,5,FALSE)</f>
        <v>0</v>
      </c>
      <c r="H289" s="45">
        <f t="shared" si="45"/>
        <v>0</v>
      </c>
      <c r="I289" s="47">
        <f t="shared" si="44"/>
        <v>0</v>
      </c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33"/>
    </row>
    <row r="290" spans="1:34" s="34" customFormat="1">
      <c r="A290" s="35" t="s">
        <v>412</v>
      </c>
      <c r="B290" s="26">
        <f>VLOOKUP(A290,'TH theo khach hang'!$A$4:$C$309,2,FALSE)</f>
        <v>0</v>
      </c>
      <c r="C290" s="27" t="str">
        <f>IF(VLOOKUP(A290,'TH theo khach hang'!$A$4:$C$309,3,FALSE)=0, "", "x")</f>
        <v/>
      </c>
      <c r="D290" s="43">
        <f t="shared" si="42"/>
        <v>0</v>
      </c>
      <c r="E290" s="44">
        <f t="shared" si="43"/>
        <v>0</v>
      </c>
      <c r="F290" s="45">
        <f>VLOOKUP(A290,'TH theo khach hang'!$A$4:$G$309,4,FALSE)</f>
        <v>0</v>
      </c>
      <c r="G290" s="46">
        <f>VLOOKUP(A290,'TH theo khach hang'!$A$4:$G$309,5,FALSE)</f>
        <v>0</v>
      </c>
      <c r="H290" s="45">
        <f t="shared" si="45"/>
        <v>0</v>
      </c>
      <c r="I290" s="47">
        <f t="shared" si="44"/>
        <v>0</v>
      </c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</row>
    <row r="291" spans="1:34" s="34" customFormat="1">
      <c r="A291" s="35" t="s">
        <v>413</v>
      </c>
      <c r="B291" s="26">
        <f>VLOOKUP(A291,'TH theo khach hang'!$A$4:$C$309,2,FALSE)</f>
        <v>0</v>
      </c>
      <c r="C291" s="27" t="str">
        <f>IF(VLOOKUP(A291,'TH theo khach hang'!$A$4:$C$309,3,FALSE)=0, "", "x")</f>
        <v/>
      </c>
      <c r="D291" s="43">
        <f t="shared" si="42"/>
        <v>0</v>
      </c>
      <c r="E291" s="44">
        <f t="shared" si="43"/>
        <v>0</v>
      </c>
      <c r="F291" s="45">
        <f>VLOOKUP(A291,'TH theo khach hang'!$A$4:$G$309,4,FALSE)</f>
        <v>0</v>
      </c>
      <c r="G291" s="46">
        <f>VLOOKUP(A291,'TH theo khach hang'!$A$4:$G$309,5,FALSE)</f>
        <v>0</v>
      </c>
      <c r="H291" s="45">
        <f t="shared" si="45"/>
        <v>0</v>
      </c>
      <c r="I291" s="47">
        <f t="shared" si="44"/>
        <v>0</v>
      </c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</row>
    <row r="292" spans="1:34" s="34" customFormat="1">
      <c r="A292" s="35" t="s">
        <v>414</v>
      </c>
      <c r="B292" s="26">
        <f>VLOOKUP(A292,'TH theo khach hang'!$A$4:$C$309,2,FALSE)</f>
        <v>0</v>
      </c>
      <c r="C292" s="27" t="str">
        <f>IF(VLOOKUP(A292,'TH theo khach hang'!$A$4:$C$309,3,FALSE)=0, "", "x")</f>
        <v/>
      </c>
      <c r="D292" s="43">
        <f t="shared" si="42"/>
        <v>0</v>
      </c>
      <c r="E292" s="44">
        <f t="shared" si="43"/>
        <v>0</v>
      </c>
      <c r="F292" s="45">
        <f>VLOOKUP(A292,'TH theo khach hang'!$A$4:$G$309,4,FALSE)</f>
        <v>0</v>
      </c>
      <c r="G292" s="46">
        <f>VLOOKUP(A292,'TH theo khach hang'!$A$4:$G$309,5,FALSE)</f>
        <v>0</v>
      </c>
      <c r="H292" s="45">
        <f t="shared" si="45"/>
        <v>0</v>
      </c>
      <c r="I292" s="47">
        <f t="shared" si="44"/>
        <v>0</v>
      </c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33"/>
    </row>
    <row r="293" spans="1:34">
      <c r="A293" s="35" t="s">
        <v>415</v>
      </c>
      <c r="B293" s="26">
        <f>VLOOKUP(A293,'TH theo khach hang'!$A$4:$C$309,2,FALSE)</f>
        <v>0</v>
      </c>
      <c r="C293" s="27" t="str">
        <f>IF(VLOOKUP(A293,'TH theo khach hang'!$A$4:$C$309,3,FALSE)=0, "", "x")</f>
        <v/>
      </c>
      <c r="D293" s="43">
        <f t="shared" si="42"/>
        <v>0</v>
      </c>
      <c r="E293" s="44">
        <f t="shared" si="43"/>
        <v>0</v>
      </c>
      <c r="F293" s="45">
        <f>VLOOKUP(A293,'TH theo khach hang'!$A$4:$G$309,4,FALSE)</f>
        <v>0</v>
      </c>
      <c r="G293" s="46">
        <f>VLOOKUP(A293,'TH theo khach hang'!$A$4:$G$309,5,FALSE)</f>
        <v>0</v>
      </c>
      <c r="H293" s="45">
        <f t="shared" si="45"/>
        <v>0</v>
      </c>
      <c r="I293" s="47">
        <f t="shared" si="44"/>
        <v>0</v>
      </c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</row>
    <row r="294" spans="1:34">
      <c r="A294" s="35" t="s">
        <v>416</v>
      </c>
      <c r="B294" s="26">
        <f>VLOOKUP(A294,'TH theo khach hang'!$A$4:$C$309,2,FALSE)</f>
        <v>0</v>
      </c>
      <c r="C294" s="27" t="str">
        <f>IF(VLOOKUP(A294,'TH theo khach hang'!$A$4:$C$309,3,FALSE)=0, "", "x")</f>
        <v/>
      </c>
      <c r="D294" s="43">
        <f t="shared" si="42"/>
        <v>0</v>
      </c>
      <c r="E294" s="44">
        <f t="shared" si="43"/>
        <v>0</v>
      </c>
      <c r="F294" s="45">
        <f>VLOOKUP(A294,'TH theo khach hang'!$A$4:$G$309,4,FALSE)</f>
        <v>0</v>
      </c>
      <c r="G294" s="46">
        <f>VLOOKUP(A294,'TH theo khach hang'!$A$4:$G$309,5,FALSE)</f>
        <v>0</v>
      </c>
      <c r="H294" s="45">
        <f t="shared" si="45"/>
        <v>0</v>
      </c>
      <c r="I294" s="47">
        <f t="shared" si="44"/>
        <v>0</v>
      </c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</row>
    <row r="295" spans="1:34">
      <c r="A295" s="35" t="s">
        <v>417</v>
      </c>
      <c r="B295" s="26">
        <f>VLOOKUP(A295,'TH theo khach hang'!$A$4:$C$309,2,FALSE)</f>
        <v>0</v>
      </c>
      <c r="C295" s="27" t="str">
        <f>IF(VLOOKUP(A295,'TH theo khach hang'!$A$4:$C$309,3,FALSE)=0, "", "x")</f>
        <v/>
      </c>
      <c r="D295" s="43">
        <f t="shared" si="42"/>
        <v>0</v>
      </c>
      <c r="E295" s="44">
        <f t="shared" si="43"/>
        <v>0</v>
      </c>
      <c r="F295" s="45">
        <f>VLOOKUP(A295,'TH theo khach hang'!$A$4:$G$309,4,FALSE)</f>
        <v>0</v>
      </c>
      <c r="G295" s="46">
        <f>VLOOKUP(A295,'TH theo khach hang'!$A$4:$G$309,5,FALSE)</f>
        <v>0</v>
      </c>
      <c r="H295" s="45">
        <f t="shared" si="45"/>
        <v>0</v>
      </c>
      <c r="I295" s="47">
        <f t="shared" si="44"/>
        <v>0</v>
      </c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</row>
    <row r="296" spans="1:34">
      <c r="A296" s="35" t="s">
        <v>418</v>
      </c>
      <c r="B296" s="26">
        <f>VLOOKUP(A296,'TH theo khach hang'!$A$4:$C$309,2,FALSE)</f>
        <v>0</v>
      </c>
      <c r="C296" s="27" t="str">
        <f>IF(VLOOKUP(A296,'TH theo khach hang'!$A$4:$C$309,3,FALSE)=0, "", "x")</f>
        <v/>
      </c>
      <c r="D296" s="43">
        <f t="shared" si="42"/>
        <v>0</v>
      </c>
      <c r="E296" s="44">
        <f t="shared" si="43"/>
        <v>0</v>
      </c>
      <c r="F296" s="45">
        <f>VLOOKUP(A296,'TH theo khach hang'!$A$4:$G$309,4,FALSE)</f>
        <v>0</v>
      </c>
      <c r="G296" s="46">
        <f>VLOOKUP(A296,'TH theo khach hang'!$A$4:$G$309,5,FALSE)</f>
        <v>0</v>
      </c>
      <c r="H296" s="45">
        <f t="shared" si="45"/>
        <v>0</v>
      </c>
      <c r="I296" s="47">
        <f t="shared" si="44"/>
        <v>0</v>
      </c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</row>
    <row r="297" spans="1:34">
      <c r="A297" s="35" t="s">
        <v>419</v>
      </c>
      <c r="B297" s="26">
        <f>VLOOKUP(A297,'TH theo khach hang'!$A$4:$C$309,2,FALSE)</f>
        <v>0</v>
      </c>
      <c r="C297" s="27" t="str">
        <f>IF(VLOOKUP(A297,'TH theo khach hang'!$A$4:$C$309,3,FALSE)=0, "", "x")</f>
        <v/>
      </c>
      <c r="D297" s="43">
        <f t="shared" si="42"/>
        <v>0</v>
      </c>
      <c r="E297" s="44">
        <f t="shared" si="43"/>
        <v>0</v>
      </c>
      <c r="F297" s="45">
        <f>VLOOKUP(A297,'TH theo khach hang'!$A$4:$G$309,4,FALSE)</f>
        <v>0</v>
      </c>
      <c r="G297" s="46">
        <f>VLOOKUP(A297,'TH theo khach hang'!$A$4:$G$309,5,FALSE)</f>
        <v>0</v>
      </c>
      <c r="H297" s="45">
        <f t="shared" si="45"/>
        <v>0</v>
      </c>
      <c r="I297" s="47">
        <f t="shared" si="44"/>
        <v>0</v>
      </c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</row>
    <row r="298" spans="1:34" s="34" customFormat="1">
      <c r="A298" s="35" t="s">
        <v>420</v>
      </c>
      <c r="B298" s="26">
        <f>VLOOKUP(A298,'TH theo khach hang'!$A$4:$C$309,2,FALSE)</f>
        <v>0</v>
      </c>
      <c r="C298" s="27" t="str">
        <f>IF(VLOOKUP(A298,'TH theo khach hang'!$A$4:$C$309,3,FALSE)=0, "", "x")</f>
        <v/>
      </c>
      <c r="D298" s="43">
        <f t="shared" si="42"/>
        <v>0</v>
      </c>
      <c r="E298" s="44">
        <f t="shared" si="43"/>
        <v>0</v>
      </c>
      <c r="F298" s="45">
        <f>VLOOKUP(A298,'TH theo khach hang'!$A$4:$G$309,4,FALSE)</f>
        <v>0</v>
      </c>
      <c r="G298" s="46">
        <f>VLOOKUP(A298,'TH theo khach hang'!$A$4:$G$309,5,FALSE)</f>
        <v>0</v>
      </c>
      <c r="H298" s="45">
        <f t="shared" si="45"/>
        <v>0</v>
      </c>
      <c r="I298" s="47">
        <f t="shared" si="44"/>
        <v>0</v>
      </c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33"/>
    </row>
    <row r="299" spans="1:34" s="34" customFormat="1">
      <c r="A299" s="35" t="s">
        <v>421</v>
      </c>
      <c r="B299" s="26">
        <f>VLOOKUP(A299,'TH theo khach hang'!$A$4:$C$309,2,FALSE)</f>
        <v>0</v>
      </c>
      <c r="C299" s="27" t="str">
        <f>IF(VLOOKUP(A299,'TH theo khach hang'!$A$4:$C$309,3,FALSE)=0, "", "x")</f>
        <v/>
      </c>
      <c r="D299" s="43">
        <f t="shared" si="42"/>
        <v>0</v>
      </c>
      <c r="E299" s="44">
        <f t="shared" si="43"/>
        <v>0</v>
      </c>
      <c r="F299" s="45">
        <f>VLOOKUP(A299,'TH theo khach hang'!$A$4:$G$309,4,FALSE)</f>
        <v>0</v>
      </c>
      <c r="G299" s="46">
        <f>VLOOKUP(A299,'TH theo khach hang'!$A$4:$G$309,5,FALSE)</f>
        <v>0</v>
      </c>
      <c r="H299" s="45">
        <f t="shared" si="45"/>
        <v>0</v>
      </c>
      <c r="I299" s="47">
        <f t="shared" si="44"/>
        <v>0</v>
      </c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</row>
    <row r="300" spans="1:34" s="34" customFormat="1">
      <c r="A300" s="35" t="s">
        <v>422</v>
      </c>
      <c r="B300" s="26">
        <f>VLOOKUP(A300,'TH theo khach hang'!$A$4:$C$309,2,FALSE)</f>
        <v>0</v>
      </c>
      <c r="C300" s="27" t="str">
        <f>IF(VLOOKUP(A300,'TH theo khach hang'!$A$4:$C$309,3,FALSE)=0, "", "x")</f>
        <v/>
      </c>
      <c r="D300" s="43">
        <f t="shared" si="42"/>
        <v>0</v>
      </c>
      <c r="E300" s="44">
        <f t="shared" si="43"/>
        <v>0</v>
      </c>
      <c r="F300" s="45">
        <f>VLOOKUP(A300,'TH theo khach hang'!$A$4:$G$309,4,FALSE)</f>
        <v>0</v>
      </c>
      <c r="G300" s="46">
        <f>VLOOKUP(A300,'TH theo khach hang'!$A$4:$G$309,5,FALSE)</f>
        <v>0</v>
      </c>
      <c r="H300" s="45">
        <f t="shared" si="45"/>
        <v>0</v>
      </c>
      <c r="I300" s="47">
        <f t="shared" si="44"/>
        <v>0</v>
      </c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</row>
    <row r="301" spans="1:34" s="34" customFormat="1">
      <c r="A301" s="35" t="s">
        <v>423</v>
      </c>
      <c r="B301" s="26">
        <f>VLOOKUP(A301,'TH theo khach hang'!$A$4:$C$309,2,FALSE)</f>
        <v>0</v>
      </c>
      <c r="C301" s="27" t="str">
        <f>IF(VLOOKUP(A301,'TH theo khach hang'!$A$4:$C$309,3,FALSE)=0, "", "x")</f>
        <v/>
      </c>
      <c r="D301" s="43">
        <f t="shared" si="42"/>
        <v>0</v>
      </c>
      <c r="E301" s="44">
        <f t="shared" si="43"/>
        <v>0</v>
      </c>
      <c r="F301" s="45">
        <f>VLOOKUP(A301,'TH theo khach hang'!$A$4:$G$309,4,FALSE)</f>
        <v>0</v>
      </c>
      <c r="G301" s="46">
        <f>VLOOKUP(A301,'TH theo khach hang'!$A$4:$G$309,5,FALSE)</f>
        <v>0</v>
      </c>
      <c r="H301" s="45">
        <f t="shared" si="45"/>
        <v>0</v>
      </c>
      <c r="I301" s="47">
        <f t="shared" si="44"/>
        <v>0</v>
      </c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33"/>
    </row>
    <row r="302" spans="1:34" s="34" customFormat="1">
      <c r="A302" s="35" t="s">
        <v>424</v>
      </c>
      <c r="B302" s="26">
        <f>VLOOKUP(A302,'TH theo khach hang'!$A$4:$C$309,2,FALSE)</f>
        <v>0</v>
      </c>
      <c r="C302" s="27" t="str">
        <f>IF(VLOOKUP(A302,'TH theo khach hang'!$A$4:$C$309,3,FALSE)=0, "", "x")</f>
        <v/>
      </c>
      <c r="D302" s="43">
        <f t="shared" si="42"/>
        <v>0</v>
      </c>
      <c r="E302" s="44">
        <f t="shared" si="43"/>
        <v>0</v>
      </c>
      <c r="F302" s="45">
        <f>VLOOKUP(A302,'TH theo khach hang'!$A$4:$G$309,4,FALSE)</f>
        <v>0</v>
      </c>
      <c r="G302" s="46">
        <f>VLOOKUP(A302,'TH theo khach hang'!$A$4:$G$309,5,FALSE)</f>
        <v>0</v>
      </c>
      <c r="H302" s="45">
        <f t="shared" si="45"/>
        <v>0</v>
      </c>
      <c r="I302" s="47">
        <f t="shared" si="44"/>
        <v>0</v>
      </c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</row>
    <row r="303" spans="1:34" s="34" customFormat="1">
      <c r="A303" s="35" t="s">
        <v>425</v>
      </c>
      <c r="B303" s="26">
        <f>VLOOKUP(A303,'TH theo khach hang'!$A$4:$C$309,2,FALSE)</f>
        <v>0</v>
      </c>
      <c r="C303" s="27" t="str">
        <f>IF(VLOOKUP(A303,'TH theo khach hang'!$A$4:$C$309,3,FALSE)=0, "", "x")</f>
        <v/>
      </c>
      <c r="D303" s="43">
        <f t="shared" si="42"/>
        <v>0</v>
      </c>
      <c r="E303" s="44">
        <f t="shared" si="43"/>
        <v>0</v>
      </c>
      <c r="F303" s="45">
        <f>VLOOKUP(A303,'TH theo khach hang'!$A$4:$G$309,4,FALSE)</f>
        <v>0</v>
      </c>
      <c r="G303" s="46">
        <f>VLOOKUP(A303,'TH theo khach hang'!$A$4:$G$309,5,FALSE)</f>
        <v>0</v>
      </c>
      <c r="H303" s="45">
        <f t="shared" si="45"/>
        <v>0</v>
      </c>
      <c r="I303" s="47">
        <f t="shared" si="44"/>
        <v>0</v>
      </c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</row>
    <row r="304" spans="1:34" s="34" customFormat="1" ht="16.5" customHeight="1">
      <c r="A304" s="35" t="s">
        <v>426</v>
      </c>
      <c r="B304" s="26">
        <f>VLOOKUP(A304,'TH theo khach hang'!$A$4:$C$309,2,FALSE)</f>
        <v>0</v>
      </c>
      <c r="C304" s="27" t="str">
        <f>IF(VLOOKUP(A304,'TH theo khach hang'!$A$4:$C$309,3,FALSE)=0, "", "x")</f>
        <v/>
      </c>
      <c r="D304" s="43">
        <f t="shared" si="42"/>
        <v>0</v>
      </c>
      <c r="E304" s="44">
        <f t="shared" si="43"/>
        <v>0</v>
      </c>
      <c r="F304" s="45">
        <f>VLOOKUP(A304,'TH theo khach hang'!$A$4:$G$309,4,FALSE)</f>
        <v>0</v>
      </c>
      <c r="G304" s="46">
        <f>VLOOKUP(A304,'TH theo khach hang'!$A$4:$G$309,5,FALSE)</f>
        <v>0</v>
      </c>
      <c r="H304" s="45">
        <f t="shared" si="45"/>
        <v>0</v>
      </c>
      <c r="I304" s="47">
        <f t="shared" si="44"/>
        <v>0</v>
      </c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33"/>
    </row>
    <row r="305" spans="1:33">
      <c r="A305" s="35" t="s">
        <v>427</v>
      </c>
      <c r="B305" s="26">
        <f>VLOOKUP(A305,'TH theo khach hang'!$A$4:$C$309,2,FALSE)</f>
        <v>0</v>
      </c>
      <c r="C305" s="27" t="str">
        <f>IF(VLOOKUP(A305,'TH theo khach hang'!$A$4:$C$309,3,FALSE)=0, "", "x")</f>
        <v/>
      </c>
      <c r="D305" s="43">
        <f t="shared" si="42"/>
        <v>0</v>
      </c>
      <c r="E305" s="44">
        <f t="shared" si="43"/>
        <v>0</v>
      </c>
      <c r="F305" s="45">
        <f>VLOOKUP(A305,'TH theo khach hang'!$A$4:$G$309,4,FALSE)</f>
        <v>0</v>
      </c>
      <c r="G305" s="46">
        <f>VLOOKUP(A305,'TH theo khach hang'!$A$4:$G$309,5,FALSE)</f>
        <v>0</v>
      </c>
      <c r="H305" s="45">
        <f t="shared" si="45"/>
        <v>0</v>
      </c>
      <c r="I305" s="47">
        <f t="shared" si="44"/>
        <v>0</v>
      </c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</row>
    <row r="306" spans="1:33">
      <c r="A306" s="35" t="s">
        <v>428</v>
      </c>
      <c r="B306" s="26">
        <f>VLOOKUP(A306,'TH theo khach hang'!$A$4:$C$309,2,FALSE)</f>
        <v>0</v>
      </c>
      <c r="C306" s="27" t="str">
        <f>IF(VLOOKUP(A306,'TH theo khach hang'!$A$4:$C$309,3,FALSE)=0, "", "x")</f>
        <v/>
      </c>
      <c r="D306" s="43">
        <f t="shared" si="42"/>
        <v>0</v>
      </c>
      <c r="E306" s="44">
        <f t="shared" si="43"/>
        <v>0</v>
      </c>
      <c r="F306" s="45">
        <f>VLOOKUP(A306,'TH theo khach hang'!$A$4:$G$309,4,FALSE)</f>
        <v>0</v>
      </c>
      <c r="G306" s="46">
        <f>VLOOKUP(A306,'TH theo khach hang'!$A$4:$G$309,5,FALSE)</f>
        <v>0</v>
      </c>
      <c r="H306" s="45">
        <f t="shared" si="45"/>
        <v>0</v>
      </c>
      <c r="I306" s="47">
        <f t="shared" si="44"/>
        <v>0</v>
      </c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</row>
    <row r="307" spans="1:33">
      <c r="A307" s="35" t="s">
        <v>429</v>
      </c>
      <c r="B307" s="26">
        <f>VLOOKUP(A307,'TH theo khach hang'!$A$4:$C$309,2,FALSE)</f>
        <v>0</v>
      </c>
      <c r="C307" s="27" t="str">
        <f>IF(VLOOKUP(A307,'TH theo khach hang'!$A$4:$C$309,3,FALSE)=0, "", "x")</f>
        <v/>
      </c>
      <c r="D307" s="43">
        <f t="shared" si="42"/>
        <v>0</v>
      </c>
      <c r="E307" s="44">
        <f t="shared" si="43"/>
        <v>0</v>
      </c>
      <c r="F307" s="45">
        <f>VLOOKUP(A307,'TH theo khach hang'!$A$4:$G$309,4,FALSE)</f>
        <v>0</v>
      </c>
      <c r="G307" s="46">
        <f>VLOOKUP(A307,'TH theo khach hang'!$A$4:$G$309,5,FALSE)</f>
        <v>0</v>
      </c>
      <c r="H307" s="45">
        <f t="shared" si="45"/>
        <v>0</v>
      </c>
      <c r="I307" s="47">
        <f t="shared" si="44"/>
        <v>0</v>
      </c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</row>
    <row r="308" spans="1:33">
      <c r="A308" s="35" t="s">
        <v>430</v>
      </c>
      <c r="B308" s="26" t="str">
        <f>VLOOKUP(A308,'TH theo khach hang'!$A$4:$C$309,2,FALSE)</f>
        <v>Chuyển doanh thu từ ITO</v>
      </c>
      <c r="C308" s="27" t="str">
        <f>IF(VLOOKUP(A308,'TH theo khach hang'!$A$4:$C$309,3,FALSE)=0, "", "x")</f>
        <v/>
      </c>
      <c r="D308" s="43">
        <f t="shared" si="42"/>
        <v>0</v>
      </c>
      <c r="E308" s="44">
        <f t="shared" si="43"/>
        <v>0</v>
      </c>
      <c r="F308" s="45">
        <f>VLOOKUP(A308,'TH theo khach hang'!$A$4:$G$309,4,FALSE)</f>
        <v>0</v>
      </c>
      <c r="G308" s="46">
        <f>VLOOKUP(A308,'TH theo khach hang'!$A$4:$G$309,5,FALSE)</f>
        <v>0</v>
      </c>
      <c r="H308" s="45">
        <f t="shared" si="45"/>
        <v>0</v>
      </c>
      <c r="I308" s="47">
        <f t="shared" si="44"/>
        <v>0</v>
      </c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</row>
    <row r="309" spans="1:33">
      <c r="A309" s="36"/>
      <c r="B309" s="36"/>
      <c r="C309" s="37"/>
      <c r="D309" s="37"/>
      <c r="E309" s="37"/>
      <c r="F309" s="90"/>
      <c r="G309" s="91"/>
      <c r="H309" s="90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</row>
    <row r="312" spans="1:33">
      <c r="A312" s="49"/>
      <c r="B312" s="49"/>
      <c r="C312" s="49"/>
      <c r="D312" s="49"/>
      <c r="E312" s="49"/>
      <c r="F312" s="49"/>
      <c r="H312" s="49"/>
    </row>
    <row r="313" spans="1:33">
      <c r="A313" s="49"/>
      <c r="B313" s="49"/>
      <c r="C313" s="49"/>
      <c r="D313" s="49"/>
      <c r="E313" s="49"/>
      <c r="F313" s="49"/>
      <c r="H313" s="49"/>
    </row>
    <row r="314" spans="1:33">
      <c r="A314" s="49"/>
      <c r="B314" s="49"/>
      <c r="C314" s="49"/>
      <c r="D314" s="49"/>
      <c r="E314" s="49"/>
      <c r="F314" s="49"/>
      <c r="H314" s="49"/>
    </row>
    <row r="315" spans="1:33">
      <c r="A315" s="49"/>
      <c r="B315" s="49"/>
      <c r="C315" s="49"/>
      <c r="D315" s="49"/>
      <c r="E315" s="49"/>
      <c r="F315" s="49"/>
      <c r="H315" s="49"/>
    </row>
    <row r="316" spans="1:33">
      <c r="A316" s="49"/>
      <c r="B316" s="49"/>
      <c r="C316" s="49"/>
      <c r="D316" s="49"/>
      <c r="E316" s="49"/>
      <c r="F316" s="49"/>
      <c r="H316" s="49"/>
    </row>
    <row r="317" spans="1:33">
      <c r="A317" s="49"/>
      <c r="B317" s="49"/>
      <c r="C317" s="49"/>
      <c r="D317" s="49"/>
      <c r="E317" s="49"/>
      <c r="F317" s="49"/>
      <c r="H317" s="49"/>
    </row>
    <row r="318" spans="1:33">
      <c r="A318" s="49"/>
      <c r="B318" s="49"/>
      <c r="C318" s="49"/>
      <c r="D318" s="49"/>
      <c r="E318" s="49"/>
      <c r="F318" s="49"/>
      <c r="H318" s="49"/>
    </row>
    <row r="319" spans="1:33">
      <c r="A319" s="49"/>
      <c r="B319" s="49"/>
      <c r="C319" s="49"/>
      <c r="D319" s="49"/>
      <c r="E319" s="49"/>
      <c r="F319" s="49"/>
      <c r="H319" s="49"/>
    </row>
    <row r="320" spans="1:33">
      <c r="A320" s="49"/>
      <c r="B320" s="49"/>
      <c r="C320" s="49"/>
      <c r="D320" s="49"/>
      <c r="E320" s="49"/>
      <c r="F320" s="49"/>
      <c r="H320" s="49"/>
    </row>
    <row r="321" spans="1:8">
      <c r="A321" s="49"/>
      <c r="B321" s="49"/>
      <c r="C321" s="49"/>
      <c r="D321" s="49"/>
      <c r="E321" s="49"/>
      <c r="F321" s="49"/>
      <c r="H321" s="49"/>
    </row>
    <row r="322" spans="1:8">
      <c r="A322" s="49"/>
      <c r="B322" s="49"/>
      <c r="C322" s="49"/>
      <c r="D322" s="49"/>
      <c r="E322" s="49"/>
      <c r="F322" s="49"/>
      <c r="H322" s="49"/>
    </row>
    <row r="323" spans="1:8">
      <c r="A323" s="49"/>
      <c r="B323" s="49"/>
      <c r="C323" s="49"/>
      <c r="D323" s="49"/>
      <c r="E323" s="49"/>
      <c r="F323" s="49"/>
      <c r="H323" s="49"/>
    </row>
    <row r="324" spans="1:8">
      <c r="A324" s="49"/>
      <c r="B324" s="49"/>
      <c r="C324" s="49"/>
      <c r="D324" s="49"/>
      <c r="E324" s="49"/>
      <c r="F324" s="49"/>
      <c r="H324" s="49"/>
    </row>
    <row r="325" spans="1:8">
      <c r="A325" s="49"/>
      <c r="B325" s="49"/>
      <c r="C325" s="49"/>
      <c r="D325" s="49"/>
      <c r="E325" s="49"/>
      <c r="F325" s="49"/>
      <c r="H325" s="49"/>
    </row>
    <row r="326" spans="1:8">
      <c r="A326" s="49"/>
      <c r="B326" s="49"/>
      <c r="C326" s="49"/>
      <c r="D326" s="49"/>
      <c r="E326" s="49"/>
      <c r="F326" s="49"/>
      <c r="H326" s="49"/>
    </row>
    <row r="327" spans="1:8">
      <c r="A327" s="49"/>
      <c r="B327" s="49"/>
      <c r="C327" s="49"/>
      <c r="D327" s="49"/>
      <c r="E327" s="49"/>
      <c r="F327" s="49"/>
      <c r="H327" s="49"/>
    </row>
    <row r="328" spans="1:8">
      <c r="A328" s="49"/>
      <c r="B328" s="49"/>
      <c r="C328" s="49"/>
      <c r="D328" s="49"/>
      <c r="E328" s="49"/>
      <c r="F328" s="49"/>
      <c r="H328" s="49"/>
    </row>
    <row r="329" spans="1:8">
      <c r="A329" s="49"/>
      <c r="B329" s="49"/>
      <c r="C329" s="49"/>
      <c r="D329" s="49"/>
      <c r="E329" s="49"/>
      <c r="F329" s="49"/>
      <c r="H329" s="49"/>
    </row>
    <row r="330" spans="1:8">
      <c r="A330" s="49"/>
      <c r="B330" s="49"/>
      <c r="C330" s="49"/>
      <c r="D330" s="49"/>
      <c r="E330" s="49"/>
      <c r="F330" s="49"/>
      <c r="H330" s="49"/>
    </row>
    <row r="331" spans="1:8">
      <c r="A331" s="49"/>
      <c r="B331" s="49"/>
      <c r="C331" s="49"/>
      <c r="D331" s="49"/>
      <c r="E331" s="49"/>
      <c r="F331" s="49"/>
      <c r="H331" s="49"/>
    </row>
    <row r="332" spans="1:8">
      <c r="A332" s="49"/>
      <c r="B332" s="49"/>
      <c r="C332" s="49"/>
      <c r="D332" s="49"/>
      <c r="E332" s="49"/>
      <c r="F332" s="49"/>
      <c r="H332" s="49"/>
    </row>
    <row r="333" spans="1:8">
      <c r="A333" s="49"/>
      <c r="B333" s="49"/>
      <c r="C333" s="49"/>
      <c r="D333" s="49"/>
      <c r="E333" s="49"/>
      <c r="F333" s="49"/>
      <c r="H333" s="49"/>
    </row>
    <row r="334" spans="1:8">
      <c r="A334" s="49"/>
      <c r="B334" s="49"/>
      <c r="C334" s="49"/>
      <c r="D334" s="49"/>
      <c r="E334" s="49"/>
      <c r="F334" s="49"/>
      <c r="H334" s="49"/>
    </row>
    <row r="335" spans="1:8">
      <c r="A335" s="49"/>
      <c r="B335" s="49"/>
      <c r="C335" s="49"/>
      <c r="D335" s="49"/>
      <c r="E335" s="49"/>
      <c r="F335" s="49"/>
      <c r="H335" s="49"/>
    </row>
    <row r="336" spans="1:8">
      <c r="A336" s="49"/>
      <c r="B336" s="49"/>
      <c r="C336" s="49"/>
      <c r="D336" s="49"/>
      <c r="E336" s="49"/>
      <c r="F336" s="49"/>
      <c r="H336" s="49"/>
    </row>
    <row r="337" spans="1:8">
      <c r="A337" s="49"/>
      <c r="B337" s="49"/>
      <c r="C337" s="49"/>
      <c r="D337" s="49"/>
      <c r="E337" s="49"/>
      <c r="F337" s="49"/>
      <c r="H337" s="49"/>
    </row>
    <row r="338" spans="1:8">
      <c r="A338" s="49"/>
      <c r="B338" s="49"/>
      <c r="C338" s="49"/>
      <c r="D338" s="49"/>
      <c r="E338" s="49"/>
      <c r="F338" s="49"/>
      <c r="H338" s="49"/>
    </row>
    <row r="339" spans="1:8">
      <c r="A339" s="49"/>
      <c r="B339" s="49"/>
      <c r="C339" s="49"/>
      <c r="D339" s="49"/>
      <c r="E339" s="49"/>
      <c r="F339" s="49"/>
      <c r="H339" s="49"/>
    </row>
    <row r="340" spans="1:8">
      <c r="A340" s="49"/>
      <c r="B340" s="49"/>
      <c r="C340" s="49"/>
      <c r="D340" s="49"/>
      <c r="E340" s="49"/>
      <c r="F340" s="49"/>
      <c r="H340" s="49"/>
    </row>
    <row r="341" spans="1:8">
      <c r="A341" s="49"/>
      <c r="B341" s="49"/>
      <c r="C341" s="49"/>
      <c r="D341" s="49"/>
      <c r="E341" s="49"/>
      <c r="F341" s="49"/>
      <c r="H341" s="49"/>
    </row>
    <row r="342" spans="1:8" ht="21" customHeight="1">
      <c r="A342" s="49"/>
      <c r="B342" s="49"/>
      <c r="C342" s="49"/>
      <c r="D342" s="49"/>
      <c r="E342" s="49"/>
      <c r="F342" s="49"/>
      <c r="H342" s="49"/>
    </row>
    <row r="343" spans="1:8" ht="24" customHeight="1">
      <c r="A343" s="49"/>
      <c r="B343" s="49"/>
      <c r="C343" s="49"/>
      <c r="D343" s="49"/>
      <c r="E343" s="49"/>
      <c r="F343" s="49"/>
      <c r="H343" s="49"/>
    </row>
    <row r="344" spans="1:8">
      <c r="A344" s="49"/>
      <c r="B344" s="49"/>
      <c r="C344" s="49"/>
      <c r="D344" s="49"/>
      <c r="E344" s="49"/>
      <c r="F344" s="49"/>
      <c r="H344" s="49"/>
    </row>
    <row r="345" spans="1:8">
      <c r="A345" s="49"/>
      <c r="B345" s="49"/>
      <c r="C345" s="49"/>
      <c r="D345" s="49"/>
      <c r="E345" s="49"/>
      <c r="F345" s="49"/>
      <c r="H345" s="49"/>
    </row>
  </sheetData>
  <autoFilter ref="H3:I308"/>
  <mergeCells count="18">
    <mergeCell ref="AB2:AC2"/>
    <mergeCell ref="AD2:AE2"/>
    <mergeCell ref="AF2:A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H2:I2"/>
    <mergeCell ref="A2:A3"/>
    <mergeCell ref="B2:B3"/>
    <mergeCell ref="C2:C3"/>
    <mergeCell ref="D2:E2"/>
    <mergeCell ref="F2:G2"/>
  </mergeCells>
  <phoneticPr fontId="14"/>
  <hyperlinks>
    <hyperlink ref="B403" location="TSC!A1" display="Công ty Cổ phần Vật tư Kỹ thuật Nông nghiệp Cần Thơ"/>
    <hyperlink ref="B404" location="GDDT_AG_Portal!A1" display="Sở GD &amp; ĐT An Giang"/>
    <hyperlink ref="B363" location="NhiDong_HIS!A1" display="Bệnh viện Nhi Đồng Cần Thơ"/>
    <hyperlink ref="B362" location="MayMeko_HRM!A1" display="Công ty Cổ Phần May Meko"/>
  </hyperlink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N67"/>
  <sheetViews>
    <sheetView zoomScale="85" zoomScaleNormal="85" workbookViewId="0">
      <selection activeCell="M16" sqref="M16"/>
    </sheetView>
  </sheetViews>
  <sheetFormatPr defaultColWidth="9.140625" defaultRowHeight="18.75"/>
  <cols>
    <col min="1" max="1" width="7" style="248" customWidth="1"/>
    <col min="2" max="2" width="33.85546875" style="248" customWidth="1"/>
    <col min="3" max="3" width="21.140625" style="248" bestFit="1" customWidth="1"/>
    <col min="4" max="4" width="19" style="248" customWidth="1"/>
    <col min="5" max="5" width="22" style="248" bestFit="1" customWidth="1"/>
    <col min="6" max="6" width="20.5703125" style="248" bestFit="1" customWidth="1"/>
    <col min="7" max="7" width="19.140625" style="248" bestFit="1" customWidth="1"/>
    <col min="8" max="8" width="22" style="248" bestFit="1" customWidth="1"/>
    <col min="9" max="9" width="20.5703125" style="248" bestFit="1" customWidth="1"/>
    <col min="10" max="10" width="19.140625" style="248" bestFit="1" customWidth="1"/>
    <col min="11" max="12" width="19.28515625" style="248" bestFit="1" customWidth="1"/>
    <col min="13" max="14" width="19.5703125" style="248" bestFit="1" customWidth="1"/>
    <col min="15" max="15" width="8.85546875" style="248" customWidth="1"/>
    <col min="16" max="16384" width="9.140625" style="248"/>
  </cols>
  <sheetData>
    <row r="2" spans="1:14">
      <c r="A2" s="247" t="s">
        <v>31</v>
      </c>
      <c r="B2" s="1"/>
      <c r="C2" s="1"/>
      <c r="D2" s="1"/>
      <c r="E2" s="1"/>
      <c r="F2" s="1"/>
      <c r="G2" s="1"/>
      <c r="H2" s="1"/>
      <c r="I2" s="1"/>
      <c r="J2" s="1"/>
    </row>
    <row r="3" spans="1:14">
      <c r="A3" s="249"/>
      <c r="B3" s="250"/>
      <c r="C3" s="508" t="s">
        <v>500</v>
      </c>
      <c r="D3" s="508"/>
      <c r="E3" s="512" t="s">
        <v>4</v>
      </c>
      <c r="F3" s="513"/>
      <c r="G3" s="514"/>
      <c r="H3" s="515" t="s">
        <v>329</v>
      </c>
      <c r="I3" s="516"/>
      <c r="J3" s="517"/>
      <c r="L3" s="519" t="s">
        <v>70</v>
      </c>
      <c r="M3" s="518" t="s">
        <v>498</v>
      </c>
      <c r="N3" s="518"/>
    </row>
    <row r="4" spans="1:14">
      <c r="A4" s="183" t="s">
        <v>435</v>
      </c>
      <c r="B4" s="251" t="s">
        <v>28</v>
      </c>
      <c r="C4" s="265" t="s">
        <v>4</v>
      </c>
      <c r="D4" s="266" t="s">
        <v>329</v>
      </c>
      <c r="E4" s="253" t="s">
        <v>433</v>
      </c>
      <c r="F4" s="253" t="s">
        <v>432</v>
      </c>
      <c r="G4" s="253" t="s">
        <v>434</v>
      </c>
      <c r="H4" s="254" t="s">
        <v>433</v>
      </c>
      <c r="I4" s="254" t="s">
        <v>432</v>
      </c>
      <c r="J4" s="254" t="s">
        <v>434</v>
      </c>
      <c r="L4" s="520"/>
      <c r="M4" s="287" t="s">
        <v>31</v>
      </c>
      <c r="N4" s="287" t="s">
        <v>32</v>
      </c>
    </row>
    <row r="5" spans="1:14">
      <c r="A5" s="256">
        <v>1</v>
      </c>
      <c r="B5" s="257" t="s">
        <v>19</v>
      </c>
      <c r="C5" s="267">
        <f>SUM(E5:G5)</f>
        <v>0</v>
      </c>
      <c r="D5" s="268">
        <f>SUM(H5:J5)</f>
        <v>0</v>
      </c>
      <c r="E5" s="258">
        <f>SUMIFS(Vtiger!$F$2:$F$418,Vtiger!$E$2:$E$418,B5,Vtiger!$A$2:$A$418,"UNI",Vtiger!$G$2:$G$418,$E$4)</f>
        <v>0</v>
      </c>
      <c r="F5" s="258">
        <f>SUMIFS(Vtiger!$F$2:$F$418,Vtiger!$E$2:$E$418,B5,Vtiger!$A$2:$A$418,"UNI",Vtiger!$G$2:$G$418,$F$4)</f>
        <v>0</v>
      </c>
      <c r="G5" s="258">
        <f>SUMIFS(Vtiger!$F$2:$F$418,Vtiger!$E$2:$E$418,B5,Vtiger!$A$2:$A$418,"UNI",Vtiger!$G$2:$G$418,$G$4)</f>
        <v>0</v>
      </c>
      <c r="H5" s="258">
        <f>SUMIFS(Vtiger!$F$2:$F$418,Vtiger!$E$2:$E$418,B5,Vtiger!$A$2:$A$418,"G2B",Vtiger!$G$2:$G$418,$H$4)</f>
        <v>0</v>
      </c>
      <c r="I5" s="258">
        <f>SUMIFS(Vtiger!$F$2:$F$418,Vtiger!$E$2:$E$418,B5,Vtiger!$A$2:$A$418,"G2B",Vtiger!$G$2:$G$418,$I$4)</f>
        <v>0</v>
      </c>
      <c r="J5" s="258">
        <f>SUMIFS(Vtiger!$F$2:$F$418,Vtiger!$E$2:$E$418,B5,Vtiger!$A$2:$A$418,"G2B",Vtiger!$G$2:$G$418,$J$4)</f>
        <v>0</v>
      </c>
      <c r="L5" s="331" t="s">
        <v>19</v>
      </c>
      <c r="M5" s="285"/>
      <c r="N5" s="285">
        <f>M5</f>
        <v>0</v>
      </c>
    </row>
    <row r="6" spans="1:14">
      <c r="A6" s="256">
        <v>2</v>
      </c>
      <c r="B6" s="257" t="s">
        <v>20</v>
      </c>
      <c r="C6" s="267">
        <f t="shared" ref="C6:C16" si="0">SUM(E6:G6)</f>
        <v>0</v>
      </c>
      <c r="D6" s="268">
        <f t="shared" ref="D6:D16" si="1">SUM(H6:J6)</f>
        <v>0</v>
      </c>
      <c r="E6" s="258">
        <f>SUMIFS(Vtiger!$F$2:$F$418,Vtiger!$E$2:$E$418,B6,Vtiger!$A$2:$A$418,"UNI",Vtiger!$G$2:$G$418,$E$4)</f>
        <v>0</v>
      </c>
      <c r="F6" s="258">
        <f>SUMIFS(Vtiger!$F$2:$F$418,Vtiger!$E$2:$E$418,B6,Vtiger!$A$2:$A$418,"UNI",Vtiger!$G$2:$G$418,$F$4)</f>
        <v>0</v>
      </c>
      <c r="G6" s="258">
        <f>SUMIFS(Vtiger!$F$2:$F$418,Vtiger!$E$2:$E$418,B6,Vtiger!$A$2:$A$418,"UNI",Vtiger!$G$2:$G$418,$G$4)</f>
        <v>0</v>
      </c>
      <c r="H6" s="258">
        <f>SUMIFS(Vtiger!$F$2:$F$418,Vtiger!$E$2:$E$418,B6,Vtiger!$A$2:$A$418,"G2B",Vtiger!$G$2:$G$418,$H$4)</f>
        <v>0</v>
      </c>
      <c r="I6" s="258">
        <f>SUMIFS(Vtiger!$F$2:$F$418,Vtiger!$E$2:$E$418,B6,Vtiger!$A$2:$A$418,"G2B",Vtiger!$G$2:$G$418,$I$4)</f>
        <v>0</v>
      </c>
      <c r="J6" s="258">
        <f>SUMIFS(Vtiger!$F$2:$F$418,Vtiger!$E$2:$E$418,B6,Vtiger!$A$2:$A$418,"G2B",Vtiger!$G$2:$G$418,$J$4)</f>
        <v>0</v>
      </c>
      <c r="L6" s="331" t="s">
        <v>20</v>
      </c>
      <c r="M6" s="285"/>
      <c r="N6" s="285">
        <f t="shared" ref="N6:N16" si="2">M6</f>
        <v>0</v>
      </c>
    </row>
    <row r="7" spans="1:14">
      <c r="A7" s="256">
        <v>3</v>
      </c>
      <c r="B7" s="257" t="s">
        <v>21</v>
      </c>
      <c r="C7" s="267">
        <f t="shared" si="0"/>
        <v>0</v>
      </c>
      <c r="D7" s="268">
        <f t="shared" si="1"/>
        <v>0</v>
      </c>
      <c r="E7" s="258">
        <f>SUMIFS(Vtiger!$F$2:$F$418,Vtiger!$E$2:$E$418,B7,Vtiger!$A$2:$A$418,"UNI",Vtiger!$G$2:$G$418,$E$4)</f>
        <v>0</v>
      </c>
      <c r="F7" s="258">
        <f>SUMIFS(Vtiger!$F$2:$F$418,Vtiger!$E$2:$E$418,B7,Vtiger!$A$2:$A$418,"UNI",Vtiger!$G$2:$G$418,$F$4)</f>
        <v>0</v>
      </c>
      <c r="G7" s="258">
        <f>SUMIFS(Vtiger!$F$2:$F$418,Vtiger!$E$2:$E$418,B7,Vtiger!$A$2:$A$418,"UNI",Vtiger!$G$2:$G$418,$G$4)</f>
        <v>0</v>
      </c>
      <c r="H7" s="258">
        <f>SUMIFS(Vtiger!$F$2:$F$418,Vtiger!$E$2:$E$418,B7,Vtiger!$A$2:$A$418,"G2B",Vtiger!$G$2:$G$418,$H$4)</f>
        <v>0</v>
      </c>
      <c r="I7" s="258">
        <f>SUMIFS(Vtiger!$F$2:$F$418,Vtiger!$E$2:$E$418,B7,Vtiger!$A$2:$A$418,"G2B",Vtiger!$G$2:$G$418,$I$4)</f>
        <v>0</v>
      </c>
      <c r="J7" s="258">
        <f>SUMIFS(Vtiger!$F$2:$F$418,Vtiger!$E$2:$E$418,B7,Vtiger!$A$2:$A$418,"G2B",Vtiger!$G$2:$G$418,$J$4)</f>
        <v>0</v>
      </c>
      <c r="L7" s="331" t="s">
        <v>21</v>
      </c>
      <c r="M7" s="285"/>
      <c r="N7" s="285">
        <f t="shared" si="2"/>
        <v>0</v>
      </c>
    </row>
    <row r="8" spans="1:14">
      <c r="A8" s="256">
        <v>4</v>
      </c>
      <c r="B8" s="257" t="s">
        <v>22</v>
      </c>
      <c r="C8" s="267">
        <f t="shared" si="0"/>
        <v>0</v>
      </c>
      <c r="D8" s="268">
        <f t="shared" si="1"/>
        <v>0</v>
      </c>
      <c r="E8" s="258">
        <f>SUMIFS(Vtiger!$F$2:$F$418,Vtiger!$E$2:$E$418,B8,Vtiger!$A$2:$A$418,"UNI",Vtiger!$G$2:$G$418,$E$4)</f>
        <v>0</v>
      </c>
      <c r="F8" s="258">
        <f>SUMIFS(Vtiger!$F$2:$F$418,Vtiger!$E$2:$E$418,B8,Vtiger!$A$2:$A$418,"UNI",Vtiger!$G$2:$G$418,$F$4)</f>
        <v>0</v>
      </c>
      <c r="G8" s="258">
        <f>SUMIFS(Vtiger!$F$2:$F$418,Vtiger!$E$2:$E$418,B8,Vtiger!$A$2:$A$418,"UNI",Vtiger!$G$2:$G$418,$G$4)</f>
        <v>0</v>
      </c>
      <c r="H8" s="258">
        <f>SUMIFS(Vtiger!$F$2:$F$418,Vtiger!$E$2:$E$418,B8,Vtiger!$A$2:$A$418,"G2B",Vtiger!$G$2:$G$418,$H$4)</f>
        <v>0</v>
      </c>
      <c r="I8" s="258">
        <f>SUMIFS(Vtiger!$F$2:$F$418,Vtiger!$E$2:$E$418,B8,Vtiger!$A$2:$A$418,"G2B",Vtiger!$G$2:$G$418,$I$4)</f>
        <v>0</v>
      </c>
      <c r="J8" s="258">
        <f>SUMIFS(Vtiger!$F$2:$F$418,Vtiger!$E$2:$E$418,B8,Vtiger!$A$2:$A$418,"G2B",Vtiger!$G$2:$G$418,$J$4)</f>
        <v>0</v>
      </c>
      <c r="L8" s="331" t="s">
        <v>22</v>
      </c>
      <c r="M8" s="285"/>
      <c r="N8" s="285">
        <f t="shared" si="2"/>
        <v>0</v>
      </c>
    </row>
    <row r="9" spans="1:14">
      <c r="A9" s="256">
        <v>5</v>
      </c>
      <c r="B9" s="257" t="s">
        <v>23</v>
      </c>
      <c r="C9" s="267">
        <f t="shared" si="0"/>
        <v>0</v>
      </c>
      <c r="D9" s="268">
        <f t="shared" si="1"/>
        <v>0</v>
      </c>
      <c r="E9" s="258">
        <f>SUMIFS(Vtiger!$F$2:$F$418,Vtiger!$E$2:$E$418,B9,Vtiger!$A$2:$A$418,"UNI",Vtiger!$G$2:$G$418,$E$4)</f>
        <v>0</v>
      </c>
      <c r="F9" s="258">
        <f>SUMIFS(Vtiger!$F$2:$F$418,Vtiger!$E$2:$E$418,B9,Vtiger!$A$2:$A$418,"UNI",Vtiger!$G$2:$G$418,$F$4)</f>
        <v>0</v>
      </c>
      <c r="G9" s="258">
        <f>SUMIFS(Vtiger!$F$2:$F$418,Vtiger!$E$2:$E$418,B9,Vtiger!$A$2:$A$418,"UNI",Vtiger!$G$2:$G$418,$G$4)</f>
        <v>0</v>
      </c>
      <c r="H9" s="258">
        <f>SUMIFS(Vtiger!$F$2:$F$418,Vtiger!$E$2:$E$418,B9,Vtiger!$A$2:$A$418,"G2B",Vtiger!$G$2:$G$418,$H$4)</f>
        <v>0</v>
      </c>
      <c r="I9" s="258">
        <f>SUMIFS(Vtiger!$F$2:$F$418,Vtiger!$E$2:$E$418,B9,Vtiger!$A$2:$A$418,"G2B",Vtiger!$G$2:$G$418,$I$4)</f>
        <v>0</v>
      </c>
      <c r="J9" s="258">
        <f>SUMIFS(Vtiger!$F$2:$F$418,Vtiger!$E$2:$E$418,B9,Vtiger!$A$2:$A$418,"G2B",Vtiger!$G$2:$G$418,$J$4)</f>
        <v>0</v>
      </c>
      <c r="L9" s="331" t="s">
        <v>23</v>
      </c>
      <c r="M9" s="285"/>
      <c r="N9" s="285">
        <f t="shared" si="2"/>
        <v>0</v>
      </c>
    </row>
    <row r="10" spans="1:14">
      <c r="A10" s="256">
        <v>6</v>
      </c>
      <c r="B10" s="257" t="s">
        <v>24</v>
      </c>
      <c r="C10" s="267">
        <f t="shared" si="0"/>
        <v>0</v>
      </c>
      <c r="D10" s="268">
        <f t="shared" si="1"/>
        <v>0</v>
      </c>
      <c r="E10" s="258">
        <f>SUMIFS(Vtiger!$F$2:$F$418,Vtiger!$E$2:$E$418,B10,Vtiger!$A$2:$A$418,"UNI",Vtiger!$G$2:$G$418,$E$4)</f>
        <v>0</v>
      </c>
      <c r="F10" s="258">
        <f>SUMIFS(Vtiger!$F$2:$F$418,Vtiger!$E$2:$E$418,B10,Vtiger!$A$2:$A$418,"UNI",Vtiger!$G$2:$G$418,$F$4)</f>
        <v>0</v>
      </c>
      <c r="G10" s="258">
        <f>SUMIFS(Vtiger!$F$2:$F$418,Vtiger!$E$2:$E$418,B10,Vtiger!$A$2:$A$418,"UNI",Vtiger!$G$2:$G$418,$G$4)</f>
        <v>0</v>
      </c>
      <c r="H10" s="258">
        <f>SUMIFS(Vtiger!$F$2:$F$418,Vtiger!$E$2:$E$418,B10,Vtiger!$A$2:$A$418,"G2B",Vtiger!$G$2:$G$418,$H$4)</f>
        <v>0</v>
      </c>
      <c r="I10" s="258">
        <f>SUMIFS(Vtiger!$F$2:$F$418,Vtiger!$E$2:$E$418,B10,Vtiger!$A$2:$A$418,"G2B",Vtiger!$G$2:$G$418,$I$4)</f>
        <v>0</v>
      </c>
      <c r="J10" s="258">
        <f>SUMIFS(Vtiger!$F$2:$F$418,Vtiger!$E$2:$E$418,B10,Vtiger!$A$2:$A$418,"G2B",Vtiger!$G$2:$G$418,$J$4)</f>
        <v>0</v>
      </c>
      <c r="L10" s="331" t="s">
        <v>24</v>
      </c>
      <c r="M10" s="285"/>
      <c r="N10" s="285">
        <f t="shared" si="2"/>
        <v>0</v>
      </c>
    </row>
    <row r="11" spans="1:14">
      <c r="A11" s="256">
        <v>7</v>
      </c>
      <c r="B11" s="257" t="s">
        <v>12</v>
      </c>
      <c r="C11" s="267">
        <f t="shared" si="0"/>
        <v>0</v>
      </c>
      <c r="D11" s="268">
        <f t="shared" si="1"/>
        <v>0</v>
      </c>
      <c r="E11" s="258">
        <f>SUMIFS(Vtiger!$F$2:$F$418,Vtiger!$E$2:$E$418,B11,Vtiger!$A$2:$A$418,"UNI",Vtiger!$G$2:$G$418,$E$4)</f>
        <v>0</v>
      </c>
      <c r="F11" s="258">
        <f>SUMIFS(Vtiger!$F$2:$F$418,Vtiger!$E$2:$E$418,B11,Vtiger!$A$2:$A$418,"UNI",Vtiger!$G$2:$G$418,$F$4)</f>
        <v>0</v>
      </c>
      <c r="G11" s="258">
        <f>SUMIFS(Vtiger!$F$2:$F$418,Vtiger!$E$2:$E$418,B11,Vtiger!$A$2:$A$418,"UNI",Vtiger!$G$2:$G$418,$G$4)</f>
        <v>0</v>
      </c>
      <c r="H11" s="258">
        <f>SUMIFS(Vtiger!$F$2:$F$418,Vtiger!$E$2:$E$418,B11,Vtiger!$A$2:$A$418,"G2B",Vtiger!$G$2:$G$418,$H$4)</f>
        <v>0</v>
      </c>
      <c r="I11" s="258">
        <f>SUMIFS(Vtiger!$F$2:$F$418,Vtiger!$E$2:$E$418,B11,Vtiger!$A$2:$A$418,"G2B",Vtiger!$G$2:$G$418,$I$4)</f>
        <v>0</v>
      </c>
      <c r="J11" s="258">
        <f>SUMIFS(Vtiger!$F$2:$F$418,Vtiger!$E$2:$E$418,B11,Vtiger!$A$2:$A$418,"G2B",Vtiger!$G$2:$G$418,$J$4)</f>
        <v>0</v>
      </c>
      <c r="L11" s="331" t="s">
        <v>12</v>
      </c>
      <c r="M11" s="285"/>
      <c r="N11" s="285">
        <f t="shared" si="2"/>
        <v>0</v>
      </c>
    </row>
    <row r="12" spans="1:14">
      <c r="A12" s="256">
        <v>8</v>
      </c>
      <c r="B12" s="257" t="s">
        <v>13</v>
      </c>
      <c r="C12" s="267">
        <f t="shared" si="0"/>
        <v>0</v>
      </c>
      <c r="D12" s="268">
        <f>SUM(H12:J12)</f>
        <v>0</v>
      </c>
      <c r="E12" s="258">
        <f>SUMIFS(Vtiger!$F$2:$F$418,Vtiger!$E$2:$E$418,B12,Vtiger!$A$2:$A$418,"UNI",Vtiger!$G$2:$G$418,$E$4)</f>
        <v>0</v>
      </c>
      <c r="F12" s="258">
        <f>SUMIFS(Vtiger!$F$2:$F$418,Vtiger!$E$2:$E$418,B12,Vtiger!$A$2:$A$418,"UNI",Vtiger!$G$2:$G$418,$F$4)</f>
        <v>0</v>
      </c>
      <c r="G12" s="258">
        <f>SUMIFS(Vtiger!$F$2:$F$418,Vtiger!$E$2:$E$418,B12,Vtiger!$A$2:$A$418,"UNI",Vtiger!$G$2:$G$418,$G$4)</f>
        <v>0</v>
      </c>
      <c r="H12" s="258">
        <f>SUMIFS(Vtiger!$F$2:$F$418,Vtiger!$E$2:$E$418,B12,Vtiger!$A$2:$A$418,"G2B",Vtiger!$G$2:$G$418,$H$4)</f>
        <v>0</v>
      </c>
      <c r="I12" s="258">
        <f>SUMIFS(Vtiger!$F$2:$F$418,Vtiger!$E$2:$E$418,B12,Vtiger!$A$2:$A$418,"G2B",Vtiger!$G$2:$G$418,$I$4)</f>
        <v>0</v>
      </c>
      <c r="J12" s="258">
        <f>SUMIFS(Vtiger!$F$2:$F$418,Vtiger!$E$2:$E$418,B12,Vtiger!$A$2:$A$418,"G2B",Vtiger!$G$2:$G$418,$J$4)</f>
        <v>0</v>
      </c>
      <c r="L12" s="331" t="s">
        <v>13</v>
      </c>
      <c r="M12" s="285"/>
      <c r="N12" s="285">
        <f t="shared" si="2"/>
        <v>0</v>
      </c>
    </row>
    <row r="13" spans="1:14">
      <c r="A13" s="256">
        <v>9</v>
      </c>
      <c r="B13" s="257" t="s">
        <v>14</v>
      </c>
      <c r="C13" s="267">
        <f>SUM(E13:G13)</f>
        <v>0</v>
      </c>
      <c r="D13" s="268">
        <f t="shared" si="1"/>
        <v>0</v>
      </c>
      <c r="E13" s="258">
        <f>SUMIFS(Vtiger!$F$2:$F$418,Vtiger!$E$2:$E$418,B13,Vtiger!$A$2:$A$418,"UNI",Vtiger!$G$2:$G$418,$E$4)</f>
        <v>0</v>
      </c>
      <c r="F13" s="258">
        <f>SUMIFS(Vtiger!$F$2:$F$418,Vtiger!$E$2:$E$418,B13,Vtiger!$A$2:$A$418,"UNI",Vtiger!$G$2:$G$418,$F$4)</f>
        <v>0</v>
      </c>
      <c r="G13" s="258">
        <f>SUMIFS(Vtiger!$F$2:$F$418,Vtiger!$E$2:$E$418,B13,Vtiger!$A$2:$A$418,"UNI",Vtiger!$G$2:$G$418,$G$4)</f>
        <v>0</v>
      </c>
      <c r="H13" s="258">
        <f>SUMIFS(Vtiger!$F$2:$F$418,Vtiger!$E$2:$E$418,B13,Vtiger!$A$2:$A$418,"G2B",Vtiger!$G$2:$G$418,$H$4)</f>
        <v>0</v>
      </c>
      <c r="I13" s="258">
        <f>SUMIFS(Vtiger!$F$2:$F$418,Vtiger!$E$2:$E$418,B13,Vtiger!$A$2:$A$418,"G2B",Vtiger!$G$2:$G$418,$I$4)</f>
        <v>0</v>
      </c>
      <c r="J13" s="258">
        <f>SUMIFS(Vtiger!$F$2:$F$418,Vtiger!$E$2:$E$418,B13,Vtiger!$A$2:$A$418,"G2B",Vtiger!$G$2:$G$418,$J$4)</f>
        <v>0</v>
      </c>
      <c r="L13" s="331" t="s">
        <v>14</v>
      </c>
      <c r="M13" s="285"/>
      <c r="N13" s="285">
        <f t="shared" si="2"/>
        <v>0</v>
      </c>
    </row>
    <row r="14" spans="1:14">
      <c r="A14" s="256">
        <v>10</v>
      </c>
      <c r="B14" s="257" t="s">
        <v>15</v>
      </c>
      <c r="C14" s="267">
        <f>SUM(E14:G14)</f>
        <v>0</v>
      </c>
      <c r="D14" s="268">
        <f t="shared" si="1"/>
        <v>0</v>
      </c>
      <c r="E14" s="258">
        <f>SUMIFS(Vtiger!$F$2:$F$418,Vtiger!$E$2:$E$418,B14,Vtiger!$A$2:$A$418,"UNI",Vtiger!$G$2:$G$418,$E$4)</f>
        <v>0</v>
      </c>
      <c r="F14" s="258">
        <f>SUMIFS(Vtiger!$F$2:$F$418,Vtiger!$E$2:$E$418,B14,Vtiger!$A$2:$A$418,"UNI",Vtiger!$G$2:$G$418,$F$4)</f>
        <v>0</v>
      </c>
      <c r="G14" s="258">
        <f>SUMIFS(Vtiger!$F$2:$F$418,Vtiger!$E$2:$E$418,B14,Vtiger!$A$2:$A$418,"UNI",Vtiger!$G$2:$G$418,$G$4)</f>
        <v>0</v>
      </c>
      <c r="H14" s="258">
        <f>SUMIFS(Vtiger!$F$2:$F$418,Vtiger!$E$2:$E$418,B14,Vtiger!$A$2:$A$418,"G2B",Vtiger!$G$2:$G$418,$H$4)</f>
        <v>0</v>
      </c>
      <c r="I14" s="258">
        <f>SUMIFS(Vtiger!$F$2:$F$418,Vtiger!$E$2:$E$418,B14,Vtiger!$A$2:$A$418,"G2B",Vtiger!$G$2:$G$418,$I$4)</f>
        <v>0</v>
      </c>
      <c r="J14" s="258">
        <f>SUMIFS(Vtiger!$F$2:$F$418,Vtiger!$E$2:$E$418,B14,Vtiger!$A$2:$A$418,"G2B",Vtiger!$G$2:$G$418,$J$4)</f>
        <v>0</v>
      </c>
      <c r="L14" s="331" t="s">
        <v>15</v>
      </c>
      <c r="M14" s="285"/>
      <c r="N14" s="285">
        <f t="shared" si="2"/>
        <v>0</v>
      </c>
    </row>
    <row r="15" spans="1:14">
      <c r="A15" s="256">
        <v>11</v>
      </c>
      <c r="B15" s="257" t="s">
        <v>16</v>
      </c>
      <c r="C15" s="267">
        <f t="shared" si="0"/>
        <v>0</v>
      </c>
      <c r="D15" s="268">
        <f t="shared" si="1"/>
        <v>0</v>
      </c>
      <c r="E15" s="258">
        <f>SUMIFS(Vtiger!$F$2:$F$418,Vtiger!$E$2:$E$418,B15,Vtiger!$A$2:$A$418,"UNI",Vtiger!$G$2:$G$418,$E$4)</f>
        <v>0</v>
      </c>
      <c r="F15" s="258">
        <f>SUMIFS(Vtiger!$F$2:$F$418,Vtiger!$E$2:$E$418,B15,Vtiger!$A$2:$A$418,"UNI",Vtiger!$G$2:$G$418,$F$4)</f>
        <v>0</v>
      </c>
      <c r="G15" s="258">
        <f>SUMIFS(Vtiger!$F$2:$F$418,Vtiger!$E$2:$E$418,B15,Vtiger!$A$2:$A$418,"UNI",Vtiger!$G$2:$G$418,$G$4)</f>
        <v>0</v>
      </c>
      <c r="H15" s="258">
        <f>SUMIFS(Vtiger!$F$2:$F$418,Vtiger!$E$2:$E$418,B15,Vtiger!$A$2:$A$418,"G2B",Vtiger!$G$2:$G$418,$H$4)</f>
        <v>0</v>
      </c>
      <c r="I15" s="258">
        <f>SUMIFS(Vtiger!$F$2:$F$418,Vtiger!$E$2:$E$418,B15,Vtiger!$A$2:$A$418,"G2B",Vtiger!$G$2:$G$418,$I$4)</f>
        <v>0</v>
      </c>
      <c r="J15" s="258">
        <f>SUMIFS(Vtiger!$F$2:$F$418,Vtiger!$E$2:$E$418,B15,Vtiger!$A$2:$A$418,"G2B",Vtiger!$G$2:$G$418,$J$4)</f>
        <v>0</v>
      </c>
      <c r="L15" s="331" t="s">
        <v>16</v>
      </c>
      <c r="M15" s="285"/>
      <c r="N15" s="285">
        <f t="shared" si="2"/>
        <v>0</v>
      </c>
    </row>
    <row r="16" spans="1:14">
      <c r="A16" s="256">
        <v>12</v>
      </c>
      <c r="B16" s="257" t="s">
        <v>11</v>
      </c>
      <c r="C16" s="267">
        <f t="shared" si="0"/>
        <v>0</v>
      </c>
      <c r="D16" s="268">
        <f t="shared" si="1"/>
        <v>854990000</v>
      </c>
      <c r="E16" s="258">
        <f>SUMIFS(Vtiger!$F$2:$F$418,Vtiger!$E$2:$E$418,B16,Vtiger!$A$2:$A$418,"UNI",Vtiger!$G$2:$G$418,$E$4)</f>
        <v>0</v>
      </c>
      <c r="F16" s="258">
        <f>SUMIFS(Vtiger!$F$2:$F$418,Vtiger!$E$2:$E$418,B16,Vtiger!$A$2:$A$418,"UNI",Vtiger!$G$2:$G$418,$F$4)</f>
        <v>0</v>
      </c>
      <c r="G16" s="258">
        <f>SUMIFS(Vtiger!$F$2:$F$418,Vtiger!$E$2:$E$418,B16,Vtiger!$A$2:$A$418,"UNI",Vtiger!$G$2:$G$418,$G$4)</f>
        <v>0</v>
      </c>
      <c r="H16" s="258">
        <f>SUMIFS(Vtiger!$F$2:$F$418,Vtiger!$E$2:$E$418,B16,Vtiger!$A$2:$A$418,"G2B",Vtiger!$G$2:$G$418,$H$4)</f>
        <v>854990000</v>
      </c>
      <c r="I16" s="258">
        <f>SUMIFS(Vtiger!$F$2:$F$418,Vtiger!$E$2:$E$418,B16,Vtiger!$A$2:$A$418,"G2B",Vtiger!$G$2:$G$418,$I$4)</f>
        <v>0</v>
      </c>
      <c r="J16" s="258">
        <f>SUMIFS(Vtiger!$F$2:$F$418,Vtiger!$E$2:$E$418,B16,Vtiger!$A$2:$A$418,"G2B",Vtiger!$G$2:$G$418,$J$4)</f>
        <v>0</v>
      </c>
      <c r="L16" s="331" t="s">
        <v>11</v>
      </c>
      <c r="M16" s="285"/>
      <c r="N16" s="285">
        <f t="shared" si="2"/>
        <v>0</v>
      </c>
    </row>
    <row r="17" spans="1:14">
      <c r="A17" s="250"/>
      <c r="B17" s="183" t="s">
        <v>313</v>
      </c>
      <c r="C17" s="269">
        <f>SUM(C5:C16)</f>
        <v>0</v>
      </c>
      <c r="D17" s="270">
        <f>SUM(D5:D16)</f>
        <v>854990000</v>
      </c>
      <c r="E17" s="259">
        <f t="shared" ref="E17:G17" si="3">SUM(E5:E16)</f>
        <v>0</v>
      </c>
      <c r="F17" s="259">
        <f t="shared" si="3"/>
        <v>0</v>
      </c>
      <c r="G17" s="259">
        <f t="shared" si="3"/>
        <v>0</v>
      </c>
      <c r="H17" s="259">
        <f t="shared" ref="H17:J17" si="4">SUM(H5:H16)</f>
        <v>854990000</v>
      </c>
      <c r="I17" s="259">
        <f t="shared" si="4"/>
        <v>0</v>
      </c>
      <c r="J17" s="259">
        <f t="shared" si="4"/>
        <v>0</v>
      </c>
      <c r="L17" s="330"/>
      <c r="M17" s="286">
        <f>SUM(M4:M16)</f>
        <v>0</v>
      </c>
      <c r="N17" s="286">
        <f>SUM(N4:N16)</f>
        <v>0</v>
      </c>
    </row>
    <row r="18" spans="1:14">
      <c r="A18" s="294" t="s">
        <v>499</v>
      </c>
    </row>
    <row r="19" spans="1:14">
      <c r="A19" s="255"/>
      <c r="B19" s="255"/>
      <c r="C19" s="510" t="s">
        <v>4</v>
      </c>
      <c r="D19" s="510"/>
      <c r="E19" s="510"/>
      <c r="F19" s="511" t="s">
        <v>329</v>
      </c>
      <c r="G19" s="511"/>
      <c r="H19" s="511"/>
      <c r="L19" s="287" t="s">
        <v>440</v>
      </c>
      <c r="M19" s="287" t="s">
        <v>7</v>
      </c>
      <c r="N19" s="287" t="s">
        <v>1</v>
      </c>
    </row>
    <row r="20" spans="1:14">
      <c r="A20" s="183" t="s">
        <v>435</v>
      </c>
      <c r="B20" s="183" t="s">
        <v>440</v>
      </c>
      <c r="C20" s="260" t="s">
        <v>317</v>
      </c>
      <c r="D20" s="260" t="s">
        <v>439</v>
      </c>
      <c r="E20" s="260" t="s">
        <v>441</v>
      </c>
      <c r="F20" s="261" t="s">
        <v>317</v>
      </c>
      <c r="G20" s="261" t="s">
        <v>439</v>
      </c>
      <c r="H20" s="261" t="s">
        <v>441</v>
      </c>
      <c r="L20" s="288" t="s">
        <v>456</v>
      </c>
      <c r="M20" s="285">
        <v>10560000000</v>
      </c>
      <c r="N20" s="285">
        <v>10560000000</v>
      </c>
    </row>
    <row r="21" spans="1:14">
      <c r="A21" s="183">
        <v>1</v>
      </c>
      <c r="B21" s="263" t="s">
        <v>466</v>
      </c>
      <c r="C21" s="262">
        <f>'Tong hop (TH)'!F17</f>
        <v>0</v>
      </c>
      <c r="D21" s="262"/>
      <c r="E21" s="262"/>
      <c r="F21" s="262">
        <f>'Tong hop (TH)'!I17</f>
        <v>0</v>
      </c>
      <c r="G21" s="262"/>
      <c r="H21" s="262"/>
      <c r="L21" s="288" t="s">
        <v>501</v>
      </c>
      <c r="M21" s="285">
        <f>'Tong hop (TH)'!E17</f>
        <v>0</v>
      </c>
      <c r="N21" s="285">
        <f>'Tong hop (TH)'!E49</f>
        <v>0</v>
      </c>
    </row>
    <row r="22" spans="1:14">
      <c r="A22" s="256">
        <v>2</v>
      </c>
      <c r="B22" s="263" t="s">
        <v>467</v>
      </c>
      <c r="C22" s="262"/>
      <c r="D22" s="262">
        <f>C21-E23</f>
        <v>0</v>
      </c>
      <c r="E22" s="262"/>
      <c r="F22" s="262"/>
      <c r="G22" s="262">
        <f>F21-H23</f>
        <v>0</v>
      </c>
      <c r="H22" s="262"/>
      <c r="L22" s="288" t="s">
        <v>502</v>
      </c>
      <c r="M22" s="285">
        <f>M17</f>
        <v>0</v>
      </c>
      <c r="N22" s="285">
        <f>N17</f>
        <v>0</v>
      </c>
    </row>
    <row r="23" spans="1:14">
      <c r="A23" s="256">
        <v>3</v>
      </c>
      <c r="B23" s="263" t="s">
        <v>468</v>
      </c>
      <c r="C23" s="262"/>
      <c r="D23" s="262"/>
      <c r="E23" s="262">
        <f>'Tong hop (TH)'!H17</f>
        <v>0</v>
      </c>
      <c r="F23" s="262"/>
      <c r="G23" s="262"/>
      <c r="H23" s="262">
        <f>'Tong hop (TH)'!K17</f>
        <v>0</v>
      </c>
      <c r="L23" s="289" t="s">
        <v>503</v>
      </c>
      <c r="M23" s="290">
        <f>M21+M22</f>
        <v>0</v>
      </c>
      <c r="N23" s="290">
        <f>N21+N22</f>
        <v>0</v>
      </c>
    </row>
    <row r="24" spans="1:14">
      <c r="A24" s="256">
        <v>5</v>
      </c>
      <c r="B24" s="263" t="s">
        <v>487</v>
      </c>
      <c r="C24" s="264"/>
      <c r="D24" s="264"/>
      <c r="E24" s="264">
        <f>C17</f>
        <v>0</v>
      </c>
      <c r="F24" s="264"/>
      <c r="G24" s="264"/>
      <c r="H24" s="264">
        <f>D17</f>
        <v>854990000</v>
      </c>
      <c r="L24" s="288" t="s">
        <v>504</v>
      </c>
      <c r="M24" s="291">
        <f>M23/M20</f>
        <v>0</v>
      </c>
      <c r="N24" s="291">
        <f>N23/N20</f>
        <v>0</v>
      </c>
    </row>
    <row r="25" spans="1:14">
      <c r="A25" s="263"/>
      <c r="B25" s="183" t="s">
        <v>313</v>
      </c>
      <c r="C25" s="184">
        <f t="shared" ref="C25:H25" si="5">SUM(C21:C24)</f>
        <v>0</v>
      </c>
      <c r="D25" s="184">
        <f t="shared" si="5"/>
        <v>0</v>
      </c>
      <c r="E25" s="184">
        <f t="shared" si="5"/>
        <v>0</v>
      </c>
      <c r="F25" s="184">
        <f t="shared" si="5"/>
        <v>0</v>
      </c>
      <c r="G25" s="184">
        <f t="shared" si="5"/>
        <v>0</v>
      </c>
      <c r="H25" s="184">
        <f t="shared" si="5"/>
        <v>854990000</v>
      </c>
      <c r="L25" s="275"/>
      <c r="M25" s="275"/>
      <c r="N25" s="275"/>
    </row>
    <row r="27" spans="1:14">
      <c r="A27" s="247" t="s">
        <v>32</v>
      </c>
      <c r="B27" s="1"/>
      <c r="C27" s="1"/>
      <c r="D27" s="1"/>
      <c r="E27" s="1"/>
      <c r="F27" s="1"/>
      <c r="G27" s="1"/>
      <c r="H27" s="1"/>
      <c r="I27" s="1"/>
      <c r="J27" s="1"/>
    </row>
    <row r="28" spans="1:14">
      <c r="A28" s="249"/>
      <c r="B28" s="250"/>
      <c r="C28" s="509" t="s">
        <v>483</v>
      </c>
      <c r="D28" s="509"/>
      <c r="E28" s="512" t="s">
        <v>4</v>
      </c>
      <c r="F28" s="513"/>
      <c r="G28" s="514"/>
      <c r="H28" s="515" t="s">
        <v>329</v>
      </c>
      <c r="I28" s="516"/>
      <c r="J28" s="517"/>
      <c r="K28" s="507" t="s">
        <v>489</v>
      </c>
      <c r="L28" s="507"/>
      <c r="M28" s="508" t="s">
        <v>490</v>
      </c>
      <c r="N28" s="508"/>
    </row>
    <row r="29" spans="1:14">
      <c r="A29" s="183" t="s">
        <v>435</v>
      </c>
      <c r="B29" s="251" t="s">
        <v>28</v>
      </c>
      <c r="C29" s="252" t="s">
        <v>4</v>
      </c>
      <c r="D29" s="252" t="s">
        <v>329</v>
      </c>
      <c r="E29" s="253" t="s">
        <v>433</v>
      </c>
      <c r="F29" s="253" t="s">
        <v>432</v>
      </c>
      <c r="G29" s="253" t="s">
        <v>434</v>
      </c>
      <c r="H29" s="254" t="s">
        <v>433</v>
      </c>
      <c r="I29" s="254" t="s">
        <v>432</v>
      </c>
      <c r="J29" s="254" t="s">
        <v>434</v>
      </c>
      <c r="K29" s="252" t="s">
        <v>4</v>
      </c>
      <c r="L29" s="252" t="s">
        <v>329</v>
      </c>
      <c r="M29" s="265" t="s">
        <v>4</v>
      </c>
      <c r="N29" s="266" t="s">
        <v>329</v>
      </c>
    </row>
    <row r="30" spans="1:14">
      <c r="A30" s="256">
        <v>1</v>
      </c>
      <c r="B30" s="257" t="s">
        <v>19</v>
      </c>
      <c r="C30" s="258">
        <f>SUM(E30:G30)</f>
        <v>0</v>
      </c>
      <c r="D30" s="258">
        <f>SUM(H30:J30)</f>
        <v>0</v>
      </c>
      <c r="E30" s="258">
        <f>SUMIFS(Vtiger!$H$2:$H$418,Vtiger!$I$2:$I$418,B30,Vtiger!$A$2:$A$418,"UNI",Vtiger!$G$2:$G$418,$E$29)+SUMIFS(Vtiger!$J$2:$J$418,Vtiger!$K$2:$K$418,B30,Vtiger!$A$2:$A$418,"UNI",Vtiger!$G$2:$G$418,$E$29)</f>
        <v>0</v>
      </c>
      <c r="F30" s="258">
        <f>SUMIFS(Vtiger!$H$2:$H$418,Vtiger!$I$2:$I$418,B30,Vtiger!$A$2:$A$418,"UNI",Vtiger!$G$2:$G$418,$F$29)+SUMIFS(Vtiger!$J$2:$J$418,Vtiger!$K$2:$K$418,B30,Vtiger!$A$2:$A$418,"UNI",Vtiger!$G$2:$G$418,$F$29)</f>
        <v>0</v>
      </c>
      <c r="G30" s="258">
        <f>SUMIFS(Vtiger!$H$2:$H$418,Vtiger!$I$2:$I$418,B30,Vtiger!$A$2:$A$418,"UNI",Vtiger!$G$2:$G$418,$G$29)+SUMIFS(Vtiger!$J$2:$J$418,Vtiger!$K$2:$K$418,B30,Vtiger!$A$2:$A$418,"UNI",Vtiger!$G$2:$G$418,$G$29)</f>
        <v>0</v>
      </c>
      <c r="H30" s="258">
        <f>SUMIFS(Vtiger!$H$2:$H$418,Vtiger!$I$2:$I$418,B30,Vtiger!$A$2:$A$418,"G2B",Vtiger!$G$2:$G$418,$H$29)+SUMIFS(Vtiger!$J$2:$J$418,Vtiger!$K$2:$K$418,B30,Vtiger!$A$2:$A$418,"G2B",Vtiger!$G$2:$G$418,$H$29)</f>
        <v>0</v>
      </c>
      <c r="I30" s="258">
        <f>SUMIFS(Vtiger!$H$2:$H$418,Vtiger!$I$2:$I$418,B30,Vtiger!$A$2:$A$418,"G2B",Vtiger!$G$2:$G$418,$I$29)+SUMIFS(Vtiger!$J$2:$J$418,Vtiger!$K$2:$K$418,B30,Vtiger!$A$2:$A$418,"G2B",Vtiger!$G$2:$G$418,$I$29)</f>
        <v>0</v>
      </c>
      <c r="J30" s="258">
        <f>SUMIFS(Vtiger!$H$2:$H$418,Vtiger!$I$2:$I$418,B30,Vtiger!$A$2:$A$418,"G2B",Vtiger!$G$2:$G$418,$J$29)+SUMIFS(Vtiger!$J$2:$J$418,Vtiger!$K$2:$K$418,B30,Vtiger!$A$2:$A$418,"G2B",Vtiger!$G$2:$G$418,$J$29)</f>
        <v>0</v>
      </c>
      <c r="K30" s="258">
        <f>SUMIFS('TH theo khach hang'!$K$7:$K$106,'TH theo khach hang'!$M$7:$M$106,B30)</f>
        <v>0</v>
      </c>
      <c r="L30" s="258">
        <f>SUMIFS('TH theo khach hang'!$K$209:$K$308,'TH theo khach hang'!$M$209:$M$308,B30)</f>
        <v>0</v>
      </c>
      <c r="M30" s="267">
        <f>C30+K30</f>
        <v>0</v>
      </c>
      <c r="N30" s="268">
        <f>D30+L30</f>
        <v>0</v>
      </c>
    </row>
    <row r="31" spans="1:14">
      <c r="A31" s="256">
        <v>2</v>
      </c>
      <c r="B31" s="257" t="s">
        <v>20</v>
      </c>
      <c r="C31" s="258">
        <f t="shared" ref="C31:C41" si="6">SUM(E31:G31)</f>
        <v>0</v>
      </c>
      <c r="D31" s="258">
        <f t="shared" ref="D31:D41" si="7">SUM(H31:J31)</f>
        <v>0</v>
      </c>
      <c r="E31" s="258">
        <f>SUMIFS(Vtiger!$H$2:$H$418,Vtiger!$I$2:$I$418,B31,Vtiger!$A$2:$A$418,"UNI",Vtiger!$G$2:$G$418,$E$29)+SUMIFS(Vtiger!$J$2:$J$418,Vtiger!$K$2:$K$418,B31,Vtiger!$A$2:$A$418,"UNI",Vtiger!$G$2:$G$418,$E$29)</f>
        <v>0</v>
      </c>
      <c r="F31" s="258">
        <f>SUMIFS(Vtiger!$H$2:$H$418,Vtiger!$I$2:$I$418,B31,Vtiger!$A$2:$A$418,"UNI",Vtiger!$G$2:$G$418,$F$29)+SUMIFS(Vtiger!$J$2:$J$418,Vtiger!$K$2:$K$418,B31,Vtiger!$A$2:$A$418,"UNI",Vtiger!$G$2:$G$418,$F$29)</f>
        <v>0</v>
      </c>
      <c r="G31" s="258">
        <f>SUMIFS(Vtiger!$H$2:$H$418,Vtiger!$I$2:$I$418,B31,Vtiger!$A$2:$A$418,"UNI",Vtiger!$G$2:$G$418,$G$29)+SUMIFS(Vtiger!$J$2:$J$418,Vtiger!$K$2:$K$418,B31,Vtiger!$A$2:$A$418,"UNI",Vtiger!$G$2:$G$418,$G$29)</f>
        <v>0</v>
      </c>
      <c r="H31" s="258">
        <f>SUMIFS(Vtiger!$H$2:$H$418,Vtiger!$I$2:$I$418,B31,Vtiger!$A$2:$A$418,"G2B",Vtiger!$G$2:$G$418,$H$29)+SUMIFS(Vtiger!$J$2:$J$418,Vtiger!$K$2:$K$418,B31,Vtiger!$A$2:$A$418,"G2B",Vtiger!$G$2:$G$418,$H$29)</f>
        <v>0</v>
      </c>
      <c r="I31" s="258">
        <f>SUMIFS(Vtiger!$H$2:$H$418,Vtiger!$I$2:$I$418,B31,Vtiger!$A$2:$A$418,"G2B",Vtiger!$G$2:$G$418,$I$29)+SUMIFS(Vtiger!$J$2:$J$418,Vtiger!$K$2:$K$418,B31,Vtiger!$A$2:$A$418,"G2B",Vtiger!$G$2:$G$418,$I$29)</f>
        <v>0</v>
      </c>
      <c r="J31" s="258">
        <f>SUMIFS(Vtiger!$H$2:$H$418,Vtiger!$I$2:$I$418,B31,Vtiger!$A$2:$A$418,"G2B",Vtiger!$G$2:$G$418,$J$29)+SUMIFS(Vtiger!$J$2:$J$418,Vtiger!$K$2:$K$418,B31,Vtiger!$A$2:$A$418,"G2B",Vtiger!$G$2:$G$418,$J$29)</f>
        <v>0</v>
      </c>
      <c r="K31" s="258">
        <f>SUMIFS('TH theo khach hang'!$K$7:$K$106,'TH theo khach hang'!$M$7:$M$106,B31)</f>
        <v>0</v>
      </c>
      <c r="L31" s="258">
        <f>SUMIFS('TH theo khach hang'!$K$209:$K$308,'TH theo khach hang'!$M$209:$M$308,B31)</f>
        <v>0</v>
      </c>
      <c r="M31" s="267">
        <f t="shared" ref="M31:M40" si="8">C31+K31</f>
        <v>0</v>
      </c>
      <c r="N31" s="268">
        <f t="shared" ref="N31:N41" si="9">D31+L31</f>
        <v>0</v>
      </c>
    </row>
    <row r="32" spans="1:14">
      <c r="A32" s="256">
        <v>3</v>
      </c>
      <c r="B32" s="257" t="s">
        <v>21</v>
      </c>
      <c r="C32" s="258">
        <f t="shared" si="6"/>
        <v>0</v>
      </c>
      <c r="D32" s="258">
        <f t="shared" si="7"/>
        <v>0</v>
      </c>
      <c r="E32" s="258">
        <f>SUMIFS(Vtiger!$H$2:$H$418,Vtiger!$I$2:$I$418,B32,Vtiger!$A$2:$A$418,"UNI",Vtiger!$G$2:$G$418,$E$29)+SUMIFS(Vtiger!$J$2:$J$418,Vtiger!$K$2:$K$418,B32,Vtiger!$A$2:$A$418,"UNI",Vtiger!$G$2:$G$418,$E$29)</f>
        <v>0</v>
      </c>
      <c r="F32" s="258">
        <f>SUMIFS(Vtiger!$H$2:$H$418,Vtiger!$I$2:$I$418,B32,Vtiger!$A$2:$A$418,"UNI",Vtiger!$G$2:$G$418,$F$29)+SUMIFS(Vtiger!$J$2:$J$418,Vtiger!$K$2:$K$418,B32,Vtiger!$A$2:$A$418,"UNI",Vtiger!$G$2:$G$418,$F$29)</f>
        <v>0</v>
      </c>
      <c r="G32" s="258">
        <f>SUMIFS(Vtiger!$H$2:$H$418,Vtiger!$I$2:$I$418,B32,Vtiger!$A$2:$A$418,"UNI",Vtiger!$G$2:$G$418,$G$29)+SUMIFS(Vtiger!$J$2:$J$418,Vtiger!$K$2:$K$418,B32,Vtiger!$A$2:$A$418,"UNI",Vtiger!$G$2:$G$418,$G$29)</f>
        <v>0</v>
      </c>
      <c r="H32" s="258">
        <f>SUMIFS(Vtiger!$H$2:$H$418,Vtiger!$I$2:$I$418,B32,Vtiger!$A$2:$A$418,"G2B",Vtiger!$G$2:$G$418,$H$29)+SUMIFS(Vtiger!$J$2:$J$418,Vtiger!$K$2:$K$418,B32,Vtiger!$A$2:$A$418,"G2B",Vtiger!$G$2:$G$418,$H$29)</f>
        <v>0</v>
      </c>
      <c r="I32" s="258">
        <f>SUMIFS(Vtiger!$H$2:$H$418,Vtiger!$I$2:$I$418,B32,Vtiger!$A$2:$A$418,"G2B",Vtiger!$G$2:$G$418,$I$29)+SUMIFS(Vtiger!$J$2:$J$418,Vtiger!$K$2:$K$418,B32,Vtiger!$A$2:$A$418,"G2B",Vtiger!$G$2:$G$418,$I$29)</f>
        <v>0</v>
      </c>
      <c r="J32" s="258">
        <f>SUMIFS(Vtiger!$H$2:$H$418,Vtiger!$I$2:$I$418,B32,Vtiger!$A$2:$A$418,"G2B",Vtiger!$G$2:$G$418,$J$29)+SUMIFS(Vtiger!$J$2:$J$418,Vtiger!$K$2:$K$418,B32,Vtiger!$A$2:$A$418,"G2B",Vtiger!$G$2:$G$418,$J$29)</f>
        <v>0</v>
      </c>
      <c r="K32" s="258">
        <f>SUMIFS('TH theo khach hang'!$K$7:$K$106,'TH theo khach hang'!$M$7:$M$106,B32)</f>
        <v>0</v>
      </c>
      <c r="L32" s="258">
        <f>SUMIFS('TH theo khach hang'!$K$209:$K$308,'TH theo khach hang'!$M$209:$M$308,B32)</f>
        <v>0</v>
      </c>
      <c r="M32" s="267">
        <f t="shared" si="8"/>
        <v>0</v>
      </c>
      <c r="N32" s="268">
        <f t="shared" si="9"/>
        <v>0</v>
      </c>
    </row>
    <row r="33" spans="1:14">
      <c r="A33" s="256">
        <v>4</v>
      </c>
      <c r="B33" s="257" t="s">
        <v>22</v>
      </c>
      <c r="C33" s="258">
        <f t="shared" si="6"/>
        <v>0</v>
      </c>
      <c r="D33" s="258">
        <f t="shared" si="7"/>
        <v>0</v>
      </c>
      <c r="E33" s="258">
        <f>SUMIFS(Vtiger!$H$2:$H$418,Vtiger!$I$2:$I$418,B33,Vtiger!$A$2:$A$418,"UNI",Vtiger!$G$2:$G$418,$E$29)+SUMIFS(Vtiger!$J$2:$J$418,Vtiger!$K$2:$K$418,B33,Vtiger!$A$2:$A$418,"UNI",Vtiger!$G$2:$G$418,$E$29)</f>
        <v>0</v>
      </c>
      <c r="F33" s="258">
        <f>SUMIFS(Vtiger!$H$2:$H$418,Vtiger!$I$2:$I$418,B33,Vtiger!$A$2:$A$418,"UNI",Vtiger!$G$2:$G$418,$F$29)+SUMIFS(Vtiger!$J$2:$J$418,Vtiger!$K$2:$K$418,B33,Vtiger!$A$2:$A$418,"UNI",Vtiger!$G$2:$G$418,$F$29)</f>
        <v>0</v>
      </c>
      <c r="G33" s="258">
        <f>SUMIFS(Vtiger!$H$2:$H$418,Vtiger!$I$2:$I$418,B33,Vtiger!$A$2:$A$418,"UNI",Vtiger!$G$2:$G$418,$G$29)+SUMIFS(Vtiger!$J$2:$J$418,Vtiger!$K$2:$K$418,B33,Vtiger!$A$2:$A$418,"UNI",Vtiger!$G$2:$G$418,$G$29)</f>
        <v>0</v>
      </c>
      <c r="H33" s="258">
        <f>SUMIFS(Vtiger!$H$2:$H$418,Vtiger!$I$2:$I$418,B33,Vtiger!$A$2:$A$418,"G2B",Vtiger!$G$2:$G$418,$H$29)+SUMIFS(Vtiger!$J$2:$J$418,Vtiger!$K$2:$K$418,B33,Vtiger!$A$2:$A$418,"G2B",Vtiger!$G$2:$G$418,$H$29)</f>
        <v>0</v>
      </c>
      <c r="I33" s="258">
        <f>SUMIFS(Vtiger!$H$2:$H$418,Vtiger!$I$2:$I$418,B33,Vtiger!$A$2:$A$418,"G2B",Vtiger!$G$2:$G$418,$I$29)+SUMIFS(Vtiger!$J$2:$J$418,Vtiger!$K$2:$K$418,B33,Vtiger!$A$2:$A$418,"G2B",Vtiger!$G$2:$G$418,$I$29)</f>
        <v>0</v>
      </c>
      <c r="J33" s="258">
        <f>SUMIFS(Vtiger!$H$2:$H$418,Vtiger!$I$2:$I$418,B33,Vtiger!$A$2:$A$418,"G2B",Vtiger!$G$2:$G$418,$J$29)+SUMIFS(Vtiger!$J$2:$J$418,Vtiger!$K$2:$K$418,B33,Vtiger!$A$2:$A$418,"G2B",Vtiger!$G$2:$G$418,$J$29)</f>
        <v>0</v>
      </c>
      <c r="K33" s="258">
        <f>SUMIFS('TH theo khach hang'!$K$7:$K$106,'TH theo khach hang'!$M$7:$M$106,B33)</f>
        <v>0</v>
      </c>
      <c r="L33" s="258">
        <f>SUMIFS('TH theo khach hang'!$K$209:$K$308,'TH theo khach hang'!$M$209:$M$308,B33)</f>
        <v>0</v>
      </c>
      <c r="M33" s="267">
        <f>C33+K33</f>
        <v>0</v>
      </c>
      <c r="N33" s="268">
        <f t="shared" si="9"/>
        <v>0</v>
      </c>
    </row>
    <row r="34" spans="1:14">
      <c r="A34" s="256">
        <v>5</v>
      </c>
      <c r="B34" s="257" t="s">
        <v>23</v>
      </c>
      <c r="C34" s="258">
        <f>SUM(E34:G34)</f>
        <v>0</v>
      </c>
      <c r="D34" s="258">
        <f t="shared" si="7"/>
        <v>0</v>
      </c>
      <c r="E34" s="258">
        <f>SUMIFS(Vtiger!$H$2:$H$418,Vtiger!$I$2:$I$418,B34,Vtiger!$A$2:$A$418,"UNI",Vtiger!$G$2:$G$418,$E$29)+SUMIFS(Vtiger!$J$2:$J$418,Vtiger!$K$2:$K$418,B34,Vtiger!$A$2:$A$418,"UNI",Vtiger!$G$2:$G$418,$E$29)</f>
        <v>0</v>
      </c>
      <c r="F34" s="258">
        <f>SUMIFS(Vtiger!$H$2:$H$418,Vtiger!$I$2:$I$418,B34,Vtiger!$A$2:$A$418,"UNI",Vtiger!$G$2:$G$418,$F$29)+SUMIFS(Vtiger!$J$2:$J$418,Vtiger!$K$2:$K$418,B34,Vtiger!$A$2:$A$418,"UNI",Vtiger!$G$2:$G$418,$F$29)</f>
        <v>0</v>
      </c>
      <c r="G34" s="258">
        <f>SUMIFS(Vtiger!$H$2:$H$418,Vtiger!$I$2:$I$418,B34,Vtiger!$A$2:$A$418,"UNI",Vtiger!$G$2:$G$418,$G$29)+SUMIFS(Vtiger!$J$2:$J$418,Vtiger!$K$2:$K$418,B34,Vtiger!$A$2:$A$418,"UNI",Vtiger!$G$2:$G$418,$G$29)</f>
        <v>0</v>
      </c>
      <c r="H34" s="258">
        <f>SUMIFS(Vtiger!$H$2:$H$418,Vtiger!$I$2:$I$418,B34,Vtiger!$A$2:$A$418,"G2B",Vtiger!$G$2:$G$418,$H$29)+SUMIFS(Vtiger!$J$2:$J$418,Vtiger!$K$2:$K$418,B34,Vtiger!$A$2:$A$418,"G2B",Vtiger!$G$2:$G$418,$H$29)</f>
        <v>0</v>
      </c>
      <c r="I34" s="258">
        <f>SUMIFS(Vtiger!$H$2:$H$418,Vtiger!$I$2:$I$418,B34,Vtiger!$A$2:$A$418,"G2B",Vtiger!$G$2:$G$418,$I$29)+SUMIFS(Vtiger!$J$2:$J$418,Vtiger!$K$2:$K$418,B34,Vtiger!$A$2:$A$418,"G2B",Vtiger!$G$2:$G$418,$I$29)</f>
        <v>0</v>
      </c>
      <c r="J34" s="258">
        <f>SUMIFS(Vtiger!$H$2:$H$418,Vtiger!$I$2:$I$418,B34,Vtiger!$A$2:$A$418,"G2B",Vtiger!$G$2:$G$418,$J$29)+SUMIFS(Vtiger!$J$2:$J$418,Vtiger!$K$2:$K$418,B34,Vtiger!$A$2:$A$418,"G2B",Vtiger!$G$2:$G$418,$J$29)</f>
        <v>0</v>
      </c>
      <c r="K34" s="258">
        <f>SUMIFS('TH theo khach hang'!$K$7:$K$106,'TH theo khach hang'!$M$7:$M$106,B34)</f>
        <v>0</v>
      </c>
      <c r="L34" s="258">
        <f>SUMIFS('TH theo khach hang'!$K$209:$K$308,'TH theo khach hang'!$M$209:$M$308,B34)</f>
        <v>0</v>
      </c>
      <c r="M34" s="267">
        <f>C34+K34</f>
        <v>0</v>
      </c>
      <c r="N34" s="268">
        <f t="shared" si="9"/>
        <v>0</v>
      </c>
    </row>
    <row r="35" spans="1:14">
      <c r="A35" s="256">
        <v>6</v>
      </c>
      <c r="B35" s="257" t="s">
        <v>24</v>
      </c>
      <c r="C35" s="258">
        <f>SUM(E35:G35)</f>
        <v>0</v>
      </c>
      <c r="D35" s="258">
        <f t="shared" si="7"/>
        <v>0</v>
      </c>
      <c r="E35" s="258">
        <f>SUMIFS(Vtiger!$H$2:$H$418,Vtiger!$I$2:$I$418,B35,Vtiger!$A$2:$A$418,"UNI",Vtiger!$G$2:$G$418,$E$29)+SUMIFS(Vtiger!$J$2:$J$418,Vtiger!$K$2:$K$418,B35,Vtiger!$A$2:$A$418,"UNI",Vtiger!$G$2:$G$418,$E$29)</f>
        <v>0</v>
      </c>
      <c r="F35" s="258">
        <f>SUMIFS(Vtiger!$H$2:$H$418,Vtiger!$I$2:$I$418,B35,Vtiger!$A$2:$A$418,"UNI",Vtiger!$G$2:$G$418,$F$29)+SUMIFS(Vtiger!$J$2:$J$418,Vtiger!$K$2:$K$418,B35,Vtiger!$A$2:$A$418,"UNI",Vtiger!$G$2:$G$418,$F$29)</f>
        <v>0</v>
      </c>
      <c r="G35" s="258">
        <f>SUMIFS(Vtiger!$H$2:$H$418,Vtiger!$I$2:$I$418,B35,Vtiger!$A$2:$A$418,"UNI",Vtiger!$G$2:$G$418,$G$29)+SUMIFS(Vtiger!$J$2:$J$418,Vtiger!$K$2:$K$418,B35,Vtiger!$A$2:$A$418,"UNI",Vtiger!$G$2:$G$418,$G$29)</f>
        <v>0</v>
      </c>
      <c r="H35" s="258">
        <f>SUMIFS(Vtiger!$H$2:$H$418,Vtiger!$I$2:$I$418,B35,Vtiger!$A$2:$A$418,"G2B",Vtiger!$G$2:$G$418,$H$29)+SUMIFS(Vtiger!$J$2:$J$418,Vtiger!$K$2:$K$418,B35,Vtiger!$A$2:$A$418,"G2B",Vtiger!$G$2:$G$418,$H$29)</f>
        <v>0</v>
      </c>
      <c r="I35" s="258">
        <f>SUMIFS(Vtiger!$H$2:$H$418,Vtiger!$I$2:$I$418,B35,Vtiger!$A$2:$A$418,"G2B",Vtiger!$G$2:$G$418,$I$29)+SUMIFS(Vtiger!$J$2:$J$418,Vtiger!$K$2:$K$418,B35,Vtiger!$A$2:$A$418,"G2B",Vtiger!$G$2:$G$418,$I$29)</f>
        <v>0</v>
      </c>
      <c r="J35" s="258">
        <f>SUMIFS(Vtiger!$H$2:$H$418,Vtiger!$I$2:$I$418,B35,Vtiger!$A$2:$A$418,"G2B",Vtiger!$G$2:$G$418,$J$29)+SUMIFS(Vtiger!$J$2:$J$418,Vtiger!$K$2:$K$418,B35,Vtiger!$A$2:$A$418,"G2B",Vtiger!$G$2:$G$418,$J$29)</f>
        <v>0</v>
      </c>
      <c r="K35" s="258">
        <f>SUMIFS('TH theo khach hang'!$K$7:$K$106,'TH theo khach hang'!$M$7:$M$106,B35)</f>
        <v>0</v>
      </c>
      <c r="L35" s="258">
        <f>SUMIFS('TH theo khach hang'!$K$209:$K$308,'TH theo khach hang'!$M$209:$M$308,B35)</f>
        <v>0</v>
      </c>
      <c r="M35" s="267">
        <f t="shared" si="8"/>
        <v>0</v>
      </c>
      <c r="N35" s="268">
        <f t="shared" si="9"/>
        <v>0</v>
      </c>
    </row>
    <row r="36" spans="1:14">
      <c r="A36" s="256">
        <v>7</v>
      </c>
      <c r="B36" s="257" t="s">
        <v>12</v>
      </c>
      <c r="C36" s="258">
        <f t="shared" si="6"/>
        <v>0</v>
      </c>
      <c r="D36" s="258">
        <f t="shared" si="7"/>
        <v>0</v>
      </c>
      <c r="E36" s="258">
        <f>SUMIFS(Vtiger!$H$2:$H$418,Vtiger!$I$2:$I$418,B36,Vtiger!$A$2:$A$418,"UNI",Vtiger!$G$2:$G$418,$E$29)+SUMIFS(Vtiger!$J$2:$J$418,Vtiger!$K$2:$K$418,B36,Vtiger!$A$2:$A$418,"UNI",Vtiger!$G$2:$G$418,$E$29)</f>
        <v>0</v>
      </c>
      <c r="F36" s="258">
        <f>SUMIFS(Vtiger!$H$2:$H$418,Vtiger!$I$2:$I$418,B36,Vtiger!$A$2:$A$418,"UNI",Vtiger!$G$2:$G$418,$F$29)+SUMIFS(Vtiger!$J$2:$J$418,Vtiger!$K$2:$K$418,B36,Vtiger!$A$2:$A$418,"UNI",Vtiger!$G$2:$G$418,$F$29)</f>
        <v>0</v>
      </c>
      <c r="G36" s="258">
        <f>SUMIFS(Vtiger!$H$2:$H$418,Vtiger!$I$2:$I$418,B36,Vtiger!$A$2:$A$418,"UNI",Vtiger!$G$2:$G$418,$G$29)+SUMIFS(Vtiger!$J$2:$J$418,Vtiger!$K$2:$K$418,B36,Vtiger!$A$2:$A$418,"UNI",Vtiger!$G$2:$G$418,$G$29)</f>
        <v>0</v>
      </c>
      <c r="H36" s="258">
        <f>SUMIFS(Vtiger!$H$2:$H$418,Vtiger!$I$2:$I$418,B36,Vtiger!$A$2:$A$418,"G2B",Vtiger!$G$2:$G$418,$H$29)+SUMIFS(Vtiger!$J$2:$J$418,Vtiger!$K$2:$K$418,B36,Vtiger!$A$2:$A$418,"G2B",Vtiger!$G$2:$G$418,$H$29)</f>
        <v>0</v>
      </c>
      <c r="I36" s="258">
        <f>SUMIFS(Vtiger!$H$2:$H$418,Vtiger!$I$2:$I$418,B36,Vtiger!$A$2:$A$418,"G2B",Vtiger!$G$2:$G$418,$I$29)+SUMIFS(Vtiger!$J$2:$J$418,Vtiger!$K$2:$K$418,B36,Vtiger!$A$2:$A$418,"G2B",Vtiger!$G$2:$G$418,$I$29)</f>
        <v>0</v>
      </c>
      <c r="J36" s="258">
        <f>SUMIFS(Vtiger!$H$2:$H$418,Vtiger!$I$2:$I$418,B36,Vtiger!$A$2:$A$418,"G2B",Vtiger!$G$2:$G$418,$J$29)+SUMIFS(Vtiger!$J$2:$J$418,Vtiger!$K$2:$K$418,B36,Vtiger!$A$2:$A$418,"G2B",Vtiger!$G$2:$G$418,$J$29)</f>
        <v>0</v>
      </c>
      <c r="K36" s="258">
        <f>SUMIFS('TH theo khach hang'!$K$7:$K$106,'TH theo khach hang'!$M$7:$M$106,B36)</f>
        <v>0</v>
      </c>
      <c r="L36" s="258">
        <f>SUMIFS('TH theo khach hang'!$K$209:$K$308,'TH theo khach hang'!$M$209:$M$308,B36)</f>
        <v>0</v>
      </c>
      <c r="M36" s="267">
        <f t="shared" si="8"/>
        <v>0</v>
      </c>
      <c r="N36" s="268">
        <f t="shared" si="9"/>
        <v>0</v>
      </c>
    </row>
    <row r="37" spans="1:14">
      <c r="A37" s="256">
        <v>8</v>
      </c>
      <c r="B37" s="257" t="s">
        <v>13</v>
      </c>
      <c r="C37" s="258">
        <f t="shared" si="6"/>
        <v>0</v>
      </c>
      <c r="D37" s="258">
        <f t="shared" si="7"/>
        <v>0</v>
      </c>
      <c r="E37" s="258">
        <f>SUMIFS(Vtiger!$H$2:$H$418,Vtiger!$I$2:$I$418,B37,Vtiger!$A$2:$A$418,"UNI",Vtiger!$G$2:$G$418,$E$29)+SUMIFS(Vtiger!$J$2:$J$418,Vtiger!$K$2:$K$418,B37,Vtiger!$A$2:$A$418,"UNI",Vtiger!$G$2:$G$418,$E$29)</f>
        <v>0</v>
      </c>
      <c r="F37" s="258">
        <f>SUMIFS(Vtiger!$H$2:$H$418,Vtiger!$I$2:$I$418,B37,Vtiger!$A$2:$A$418,"UNI",Vtiger!$G$2:$G$418,$F$29)+SUMIFS(Vtiger!$J$2:$J$418,Vtiger!$K$2:$K$418,B37,Vtiger!$A$2:$A$418,"UNI",Vtiger!$G$2:$G$418,$F$29)</f>
        <v>0</v>
      </c>
      <c r="G37" s="258">
        <f>SUMIFS(Vtiger!$H$2:$H$418,Vtiger!$I$2:$I$418,B37,Vtiger!$A$2:$A$418,"UNI",Vtiger!$G$2:$G$418,$G$29)+SUMIFS(Vtiger!$J$2:$J$418,Vtiger!$K$2:$K$418,B37,Vtiger!$A$2:$A$418,"UNI",Vtiger!$G$2:$G$418,$G$29)</f>
        <v>0</v>
      </c>
      <c r="H37" s="258">
        <f>SUMIFS(Vtiger!$H$2:$H$418,Vtiger!$I$2:$I$418,B37,Vtiger!$A$2:$A$418,"G2B",Vtiger!$G$2:$G$418,$H$29)+SUMIFS(Vtiger!$J$2:$J$418,Vtiger!$K$2:$K$418,B37,Vtiger!$A$2:$A$418,"G2B",Vtiger!$G$2:$G$418,$H$29)</f>
        <v>0</v>
      </c>
      <c r="I37" s="258">
        <f>SUMIFS(Vtiger!$H$2:$H$418,Vtiger!$I$2:$I$418,B37,Vtiger!$A$2:$A$418,"G2B",Vtiger!$G$2:$G$418,$I$29)+SUMIFS(Vtiger!$J$2:$J$418,Vtiger!$K$2:$K$418,B37,Vtiger!$A$2:$A$418,"G2B",Vtiger!$G$2:$G$418,$I$29)</f>
        <v>0</v>
      </c>
      <c r="J37" s="258">
        <f>SUMIFS(Vtiger!$H$2:$H$418,Vtiger!$I$2:$I$418,B37,Vtiger!$A$2:$A$418,"G2B",Vtiger!$G$2:$G$418,$J$29)+SUMIFS(Vtiger!$J$2:$J$418,Vtiger!$K$2:$K$418,B37,Vtiger!$A$2:$A$418,"G2B",Vtiger!$G$2:$G$418,$J$29)</f>
        <v>0</v>
      </c>
      <c r="K37" s="258">
        <f>SUMIFS('TH theo khach hang'!$K$7:$K$106,'TH theo khach hang'!$M$7:$M$106,B37)</f>
        <v>0</v>
      </c>
      <c r="L37" s="258">
        <f>SUMIFS('TH theo khach hang'!$K$209:$K$308,'TH theo khach hang'!$M$209:$M$308,B37)</f>
        <v>0</v>
      </c>
      <c r="M37" s="267">
        <f t="shared" si="8"/>
        <v>0</v>
      </c>
      <c r="N37" s="268">
        <f t="shared" si="9"/>
        <v>0</v>
      </c>
    </row>
    <row r="38" spans="1:14">
      <c r="A38" s="256">
        <v>9</v>
      </c>
      <c r="B38" s="257" t="s">
        <v>14</v>
      </c>
      <c r="C38" s="258">
        <f t="shared" si="6"/>
        <v>0</v>
      </c>
      <c r="D38" s="258">
        <f t="shared" si="7"/>
        <v>0</v>
      </c>
      <c r="E38" s="258">
        <f>SUMIFS(Vtiger!$H$2:$H$418,Vtiger!$I$2:$I$418,B38,Vtiger!$A$2:$A$418,"UNI",Vtiger!$G$2:$G$418,$E$29)+SUMIFS(Vtiger!$J$2:$J$418,Vtiger!$K$2:$K$418,B38,Vtiger!$A$2:$A$418,"UNI",Vtiger!$G$2:$G$418,$E$29)</f>
        <v>0</v>
      </c>
      <c r="F38" s="258">
        <f>SUMIFS(Vtiger!$H$2:$H$418,Vtiger!$I$2:$I$418,B38,Vtiger!$A$2:$A$418,"UNI",Vtiger!$G$2:$G$418,$F$29)+SUMIFS(Vtiger!$J$2:$J$418,Vtiger!$K$2:$K$418,B38,Vtiger!$A$2:$A$418,"UNI",Vtiger!$G$2:$G$418,$F$29)</f>
        <v>0</v>
      </c>
      <c r="G38" s="258">
        <f>SUMIFS(Vtiger!$H$2:$H$418,Vtiger!$I$2:$I$418,B38,Vtiger!$A$2:$A$418,"UNI",Vtiger!$G$2:$G$418,$G$29)+SUMIFS(Vtiger!$J$2:$J$418,Vtiger!$K$2:$K$418,B38,Vtiger!$A$2:$A$418,"UNI",Vtiger!$G$2:$G$418,$G$29)</f>
        <v>0</v>
      </c>
      <c r="H38" s="258">
        <f>SUMIFS(Vtiger!$H$2:$H$418,Vtiger!$I$2:$I$418,B38,Vtiger!$A$2:$A$418,"G2B",Vtiger!$G$2:$G$418,$H$29)+SUMIFS(Vtiger!$J$2:$J$418,Vtiger!$K$2:$K$418,B38,Vtiger!$A$2:$A$418,"G2B",Vtiger!$G$2:$G$418,$H$29)</f>
        <v>0</v>
      </c>
      <c r="I38" s="258">
        <f>SUMIFS(Vtiger!$H$2:$H$418,Vtiger!$I$2:$I$418,B38,Vtiger!$A$2:$A$418,"G2B",Vtiger!$G$2:$G$418,$I$29)+SUMIFS(Vtiger!$J$2:$J$418,Vtiger!$K$2:$K$418,B38,Vtiger!$A$2:$A$418,"G2B",Vtiger!$G$2:$G$418,$I$29)</f>
        <v>0</v>
      </c>
      <c r="J38" s="258">
        <f>SUMIFS(Vtiger!$H$2:$H$418,Vtiger!$I$2:$I$418,B38,Vtiger!$A$2:$A$418,"G2B",Vtiger!$G$2:$G$418,$J$29)+SUMIFS(Vtiger!$J$2:$J$418,Vtiger!$K$2:$K$418,B38,Vtiger!$A$2:$A$418,"G2B",Vtiger!$G$2:$G$418,$J$29)</f>
        <v>0</v>
      </c>
      <c r="K38" s="258">
        <f>SUMIFS('TH theo khach hang'!$K$7:$K$106,'TH theo khach hang'!$M$7:$M$106,B38)</f>
        <v>0</v>
      </c>
      <c r="L38" s="258">
        <f>SUMIFS('TH theo khach hang'!$K$209:$K$308,'TH theo khach hang'!$M$209:$M$308,B38)</f>
        <v>0</v>
      </c>
      <c r="M38" s="267">
        <f t="shared" si="8"/>
        <v>0</v>
      </c>
      <c r="N38" s="268">
        <f t="shared" si="9"/>
        <v>0</v>
      </c>
    </row>
    <row r="39" spans="1:14">
      <c r="A39" s="256">
        <v>10</v>
      </c>
      <c r="B39" s="257" t="s">
        <v>15</v>
      </c>
      <c r="C39" s="258">
        <f t="shared" si="6"/>
        <v>0</v>
      </c>
      <c r="D39" s="258">
        <f t="shared" si="7"/>
        <v>0</v>
      </c>
      <c r="E39" s="258">
        <f>SUMIFS(Vtiger!$H$2:$H$418,Vtiger!$I$2:$I$418,B39,Vtiger!$A$2:$A$418,"UNI",Vtiger!$G$2:$G$418,$E$29)+SUMIFS(Vtiger!$J$2:$J$418,Vtiger!$K$2:$K$418,B39,Vtiger!$A$2:$A$418,"UNI",Vtiger!$G$2:$G$418,$E$29)</f>
        <v>0</v>
      </c>
      <c r="F39" s="258">
        <f>SUMIFS(Vtiger!$H$2:$H$418,Vtiger!$I$2:$I$418,B39,Vtiger!$A$2:$A$418,"UNI",Vtiger!$G$2:$G$418,$F$29)+SUMIFS(Vtiger!$J$2:$J$418,Vtiger!$K$2:$K$418,B39,Vtiger!$A$2:$A$418,"UNI",Vtiger!$G$2:$G$418,$F$29)</f>
        <v>0</v>
      </c>
      <c r="G39" s="258">
        <f>SUMIFS(Vtiger!$H$2:$H$418,Vtiger!$I$2:$I$418,B39,Vtiger!$A$2:$A$418,"UNI",Vtiger!$G$2:$G$418,$G$29)+SUMIFS(Vtiger!$J$2:$J$418,Vtiger!$K$2:$K$418,B39,Vtiger!$A$2:$A$418,"UNI",Vtiger!$G$2:$G$418,$G$29)</f>
        <v>0</v>
      </c>
      <c r="H39" s="258">
        <f>SUMIFS(Vtiger!$H$2:$H$418,Vtiger!$I$2:$I$418,B39,Vtiger!$A$2:$A$418,"G2B",Vtiger!$G$2:$G$418,$H$29)+SUMIFS(Vtiger!$J$2:$J$418,Vtiger!$K$2:$K$418,B39,Vtiger!$A$2:$A$418,"G2B",Vtiger!$G$2:$G$418,$H$29)</f>
        <v>0</v>
      </c>
      <c r="I39" s="258">
        <f>SUMIFS(Vtiger!$H$2:$H$418,Vtiger!$I$2:$I$418,B39,Vtiger!$A$2:$A$418,"G2B",Vtiger!$G$2:$G$418,$I$29)+SUMIFS(Vtiger!$J$2:$J$418,Vtiger!$K$2:$K$418,B39,Vtiger!$A$2:$A$418,"G2B",Vtiger!$G$2:$G$418,$I$29)</f>
        <v>0</v>
      </c>
      <c r="J39" s="258">
        <f>SUMIFS(Vtiger!$H$2:$H$418,Vtiger!$I$2:$I$418,B39,Vtiger!$A$2:$A$418,"G2B",Vtiger!$G$2:$G$418,$J$29)+SUMIFS(Vtiger!$J$2:$J$418,Vtiger!$K$2:$K$418,B39,Vtiger!$A$2:$A$418,"G2B",Vtiger!$G$2:$G$418,$J$29)</f>
        <v>0</v>
      </c>
      <c r="K39" s="258">
        <f>SUMIFS('TH theo khach hang'!$K$7:$K$106,'TH theo khach hang'!$M$7:$M$106,B39)</f>
        <v>0</v>
      </c>
      <c r="L39" s="258">
        <f>SUMIFS('TH theo khach hang'!$K$209:$K$308,'TH theo khach hang'!$M$209:$M$308,B39)</f>
        <v>0</v>
      </c>
      <c r="M39" s="267">
        <f t="shared" si="8"/>
        <v>0</v>
      </c>
      <c r="N39" s="268">
        <f t="shared" si="9"/>
        <v>0</v>
      </c>
    </row>
    <row r="40" spans="1:14">
      <c r="A40" s="256">
        <v>11</v>
      </c>
      <c r="B40" s="257" t="s">
        <v>16</v>
      </c>
      <c r="C40" s="258">
        <f t="shared" si="6"/>
        <v>0</v>
      </c>
      <c r="D40" s="258">
        <f t="shared" si="7"/>
        <v>0</v>
      </c>
      <c r="E40" s="258">
        <f>SUMIFS(Vtiger!$H$2:$H$418,Vtiger!$I$2:$I$418,B40,Vtiger!$A$2:$A$418,"UNI",Vtiger!$G$2:$G$418,$E$29)+SUMIFS(Vtiger!$J$2:$J$418,Vtiger!$K$2:$K$418,B40,Vtiger!$A$2:$A$418,"UNI",Vtiger!$G$2:$G$418,$E$29)</f>
        <v>0</v>
      </c>
      <c r="F40" s="258">
        <f>SUMIFS(Vtiger!$H$2:$H$418,Vtiger!$I$2:$I$418,B40,Vtiger!$A$2:$A$418,"UNI",Vtiger!$G$2:$G$418,$F$29)+SUMIFS(Vtiger!$J$2:$J$418,Vtiger!$K$2:$K$418,B40,Vtiger!$A$2:$A$418,"UNI",Vtiger!$G$2:$G$418,$F$29)</f>
        <v>0</v>
      </c>
      <c r="G40" s="258">
        <f>SUMIFS(Vtiger!$H$2:$H$418,Vtiger!$I$2:$I$418,B40,Vtiger!$A$2:$A$418,"UNI",Vtiger!$G$2:$G$418,$G$29)+SUMIFS(Vtiger!$J$2:$J$418,Vtiger!$K$2:$K$418,B40,Vtiger!$A$2:$A$418,"UNI",Vtiger!$G$2:$G$418,$G$29)</f>
        <v>0</v>
      </c>
      <c r="H40" s="258">
        <f>SUMIFS(Vtiger!$H$2:$H$418,Vtiger!$I$2:$I$418,B40,Vtiger!$A$2:$A$418,"G2B",Vtiger!$G$2:$G$418,$H$29)+SUMIFS(Vtiger!$J$2:$J$418,Vtiger!$K$2:$K$418,B40,Vtiger!$A$2:$A$418,"G2B",Vtiger!$G$2:$G$418,$H$29)</f>
        <v>0</v>
      </c>
      <c r="I40" s="258">
        <f>SUMIFS(Vtiger!$H$2:$H$418,Vtiger!$I$2:$I$418,B40,Vtiger!$A$2:$A$418,"G2B",Vtiger!$G$2:$G$418,$I$29)+SUMIFS(Vtiger!$J$2:$J$418,Vtiger!$K$2:$K$418,B40,Vtiger!$A$2:$A$418,"G2B",Vtiger!$G$2:$G$418,$I$29)</f>
        <v>0</v>
      </c>
      <c r="J40" s="258">
        <f>SUMIFS(Vtiger!$H$2:$H$418,Vtiger!$I$2:$I$418,B40,Vtiger!$A$2:$A$418,"G2B",Vtiger!$G$2:$G$418,$J$29)+SUMIFS(Vtiger!$J$2:$J$418,Vtiger!$K$2:$K$418,B40,Vtiger!$A$2:$A$418,"G2B",Vtiger!$G$2:$G$418,$J$29)</f>
        <v>0</v>
      </c>
      <c r="K40" s="258">
        <f>SUMIFS('TH theo khach hang'!$K$7:$K$106,'TH theo khach hang'!$M$7:$M$106,B40)</f>
        <v>0</v>
      </c>
      <c r="L40" s="258">
        <f>SUMIFS('TH theo khach hang'!$K$209:$K$308,'TH theo khach hang'!$M$209:$M$308,B40)</f>
        <v>0</v>
      </c>
      <c r="M40" s="267">
        <f t="shared" si="8"/>
        <v>0</v>
      </c>
      <c r="N40" s="268">
        <f t="shared" si="9"/>
        <v>0</v>
      </c>
    </row>
    <row r="41" spans="1:14">
      <c r="A41" s="256">
        <v>12</v>
      </c>
      <c r="B41" s="257" t="s">
        <v>11</v>
      </c>
      <c r="C41" s="258">
        <f t="shared" si="6"/>
        <v>0</v>
      </c>
      <c r="D41" s="258">
        <f t="shared" si="7"/>
        <v>854990000</v>
      </c>
      <c r="E41" s="258">
        <f>SUMIFS(Vtiger!$H$2:$H$418,Vtiger!$I$2:$I$418,B41,Vtiger!$A$2:$A$418,"UNI",Vtiger!$G$2:$G$418,$E$29)+SUMIFS(Vtiger!$J$2:$J$418,Vtiger!$K$2:$K$418,B41,Vtiger!$A$2:$A$418,"UNI",Vtiger!$G$2:$G$418,$E$29)</f>
        <v>0</v>
      </c>
      <c r="F41" s="258">
        <f>SUMIFS(Vtiger!$H$2:$H$418,Vtiger!$I$2:$I$418,B41,Vtiger!$A$2:$A$418,"UNI",Vtiger!$G$2:$G$418,$F$29)+SUMIFS(Vtiger!$J$2:$J$418,Vtiger!$K$2:$K$418,B41,Vtiger!$A$2:$A$418,"UNI",Vtiger!$G$2:$G$418,$F$29)</f>
        <v>0</v>
      </c>
      <c r="G41" s="258">
        <f>SUMIFS(Vtiger!$H$2:$H$418,Vtiger!$I$2:$I$418,B41,Vtiger!$A$2:$A$418,"UNI",Vtiger!$G$2:$G$418,$G$29)+SUMIFS(Vtiger!$J$2:$J$418,Vtiger!$K$2:$K$418,B41,Vtiger!$A$2:$A$418,"UNI",Vtiger!$G$2:$G$418,$G$29)</f>
        <v>0</v>
      </c>
      <c r="H41" s="258">
        <f>SUMIFS(Vtiger!$H$2:$H$418,Vtiger!$I$2:$I$418,B41,Vtiger!$A$2:$A$418,"G2B",Vtiger!$G$2:$G$418,$H$29)+SUMIFS(Vtiger!$J$2:$J$418,Vtiger!$K$2:$K$418,B41,Vtiger!$A$2:$A$418,"G2B",Vtiger!$G$2:$G$418,$H$29)</f>
        <v>854990000</v>
      </c>
      <c r="I41" s="258">
        <f>SUMIFS(Vtiger!$H$2:$H$418,Vtiger!$I$2:$I$418,B41,Vtiger!$A$2:$A$418,"G2B",Vtiger!$G$2:$G$418,$I$29)+SUMIFS(Vtiger!$J$2:$J$418,Vtiger!$K$2:$K$418,B41,Vtiger!$A$2:$A$418,"G2B",Vtiger!$G$2:$G$418,$I$29)</f>
        <v>0</v>
      </c>
      <c r="J41" s="258">
        <f>SUMIFS(Vtiger!$H$2:$H$418,Vtiger!$I$2:$I$418,B41,Vtiger!$A$2:$A$418,"G2B",Vtiger!$G$2:$G$418,$J$29)+SUMIFS(Vtiger!$J$2:$J$418,Vtiger!$K$2:$K$418,B41,Vtiger!$A$2:$A$418,"G2B",Vtiger!$G$2:$G$418,$J$29)</f>
        <v>0</v>
      </c>
      <c r="K41" s="258">
        <f>SUMIFS('TH theo khach hang'!$K$7:$K$106,'TH theo khach hang'!$M$7:$M$106,B41)</f>
        <v>0</v>
      </c>
      <c r="L41" s="258">
        <f>SUMIFS('TH theo khach hang'!$K$209:$K$308,'TH theo khach hang'!$M$209:$M$308,B41)</f>
        <v>0</v>
      </c>
      <c r="M41" s="267">
        <f>C41+K41</f>
        <v>0</v>
      </c>
      <c r="N41" s="268">
        <f t="shared" si="9"/>
        <v>854990000</v>
      </c>
    </row>
    <row r="42" spans="1:14">
      <c r="A42" s="250"/>
      <c r="B42" s="183" t="s">
        <v>313</v>
      </c>
      <c r="C42" s="259">
        <f>SUM(C30:C41)</f>
        <v>0</v>
      </c>
      <c r="D42" s="259">
        <f>SUM(D30:D41)</f>
        <v>854990000</v>
      </c>
      <c r="E42" s="259">
        <f>SUM(E30:E41)</f>
        <v>0</v>
      </c>
      <c r="F42" s="259">
        <f t="shared" ref="F42:J42" si="10">SUM(F30:F41)</f>
        <v>0</v>
      </c>
      <c r="G42" s="259">
        <f t="shared" si="10"/>
        <v>0</v>
      </c>
      <c r="H42" s="259">
        <f t="shared" si="10"/>
        <v>854990000</v>
      </c>
      <c r="I42" s="259">
        <f t="shared" si="10"/>
        <v>0</v>
      </c>
      <c r="J42" s="259">
        <f t="shared" si="10"/>
        <v>0</v>
      </c>
      <c r="K42" s="259">
        <f>SUM(K30:K41)</f>
        <v>0</v>
      </c>
      <c r="L42" s="259">
        <f>SUM(L30:L41)</f>
        <v>0</v>
      </c>
      <c r="M42" s="269">
        <f>SUM(M30:M41)</f>
        <v>0</v>
      </c>
      <c r="N42" s="270">
        <f>SUM(N30:N41)</f>
        <v>854990000</v>
      </c>
    </row>
    <row r="43" spans="1:14">
      <c r="A43" s="294" t="s">
        <v>499</v>
      </c>
      <c r="B43" s="271"/>
      <c r="C43" s="272"/>
      <c r="D43" s="272"/>
      <c r="E43" s="272"/>
      <c r="F43" s="272"/>
      <c r="G43" s="272"/>
      <c r="H43" s="272"/>
      <c r="I43" s="272"/>
      <c r="J43" s="272"/>
    </row>
    <row r="44" spans="1:14">
      <c r="A44" s="255"/>
      <c r="B44" s="255"/>
      <c r="C44" s="510" t="s">
        <v>4</v>
      </c>
      <c r="D44" s="510"/>
      <c r="E44" s="510"/>
      <c r="F44" s="511" t="s">
        <v>329</v>
      </c>
      <c r="G44" s="511"/>
      <c r="H44" s="511"/>
    </row>
    <row r="45" spans="1:14">
      <c r="A45" s="183" t="s">
        <v>435</v>
      </c>
      <c r="B45" s="183" t="s">
        <v>440</v>
      </c>
      <c r="C45" s="260" t="s">
        <v>317</v>
      </c>
      <c r="D45" s="260" t="s">
        <v>439</v>
      </c>
      <c r="E45" s="260" t="s">
        <v>441</v>
      </c>
      <c r="F45" s="261" t="s">
        <v>317</v>
      </c>
      <c r="G45" s="261" t="s">
        <v>439</v>
      </c>
      <c r="H45" s="261" t="s">
        <v>441</v>
      </c>
    </row>
    <row r="46" spans="1:14">
      <c r="A46" s="183">
        <v>1</v>
      </c>
      <c r="B46" s="263" t="s">
        <v>466</v>
      </c>
      <c r="C46" s="262">
        <f>'Tong hop (TH)'!F49</f>
        <v>10000000000</v>
      </c>
      <c r="D46" s="262"/>
      <c r="E46" s="262"/>
      <c r="F46" s="262">
        <f>'Tong hop (TH)'!I49</f>
        <v>9000000000</v>
      </c>
      <c r="G46" s="262"/>
      <c r="H46" s="262"/>
    </row>
    <row r="47" spans="1:14">
      <c r="A47" s="256">
        <v>2</v>
      </c>
      <c r="B47" s="263" t="s">
        <v>467</v>
      </c>
      <c r="C47" s="262"/>
      <c r="D47" s="262">
        <f>C46-E48</f>
        <v>10000000000</v>
      </c>
      <c r="E47" s="262"/>
      <c r="F47" s="262"/>
      <c r="G47" s="262">
        <f>'Tong hop (TH)'!I49-'Tong hop (TH)'!K49</f>
        <v>9000000000</v>
      </c>
      <c r="H47" s="262"/>
    </row>
    <row r="48" spans="1:14">
      <c r="A48" s="256">
        <v>3</v>
      </c>
      <c r="B48" s="263" t="s">
        <v>468</v>
      </c>
      <c r="C48" s="262"/>
      <c r="D48" s="262"/>
      <c r="E48" s="262">
        <f>'Tong hop (TH)'!H49</f>
        <v>0</v>
      </c>
      <c r="F48" s="262"/>
      <c r="G48" s="262"/>
      <c r="H48" s="262">
        <f>'Tong hop (TH)'!K49</f>
        <v>0</v>
      </c>
      <c r="K48" s="274"/>
    </row>
    <row r="49" spans="1:14">
      <c r="A49" s="256">
        <v>4</v>
      </c>
      <c r="B49" s="263" t="s">
        <v>473</v>
      </c>
      <c r="C49" s="262"/>
      <c r="D49" s="262"/>
      <c r="E49" s="273">
        <f>K42</f>
        <v>0</v>
      </c>
      <c r="F49" s="273"/>
      <c r="G49" s="273"/>
      <c r="H49" s="273">
        <f>L42</f>
        <v>0</v>
      </c>
    </row>
    <row r="50" spans="1:14">
      <c r="A50" s="256">
        <v>5</v>
      </c>
      <c r="B50" s="263" t="s">
        <v>488</v>
      </c>
      <c r="C50" s="262"/>
      <c r="D50" s="262"/>
      <c r="E50" s="264">
        <f>C42</f>
        <v>0</v>
      </c>
      <c r="F50" s="262"/>
      <c r="G50" s="262"/>
      <c r="H50" s="264">
        <f>D42</f>
        <v>854990000</v>
      </c>
      <c r="N50" s="274"/>
    </row>
    <row r="51" spans="1:14">
      <c r="A51" s="263"/>
      <c r="B51" s="183" t="s">
        <v>313</v>
      </c>
      <c r="C51" s="184">
        <f t="shared" ref="C51:G51" si="11">SUM(C46:C50)</f>
        <v>10000000000</v>
      </c>
      <c r="D51" s="184">
        <f t="shared" si="11"/>
        <v>10000000000</v>
      </c>
      <c r="E51" s="184">
        <f>SUM(E46:E50)</f>
        <v>0</v>
      </c>
      <c r="F51" s="184">
        <f t="shared" si="11"/>
        <v>9000000000</v>
      </c>
      <c r="G51" s="184">
        <f t="shared" si="11"/>
        <v>9000000000</v>
      </c>
      <c r="H51" s="184">
        <f>SUM(H46:H50)</f>
        <v>854990000</v>
      </c>
    </row>
    <row r="53" spans="1:14">
      <c r="A53" s="295" t="s">
        <v>9</v>
      </c>
    </row>
    <row r="54" spans="1:14">
      <c r="A54" s="296" t="s">
        <v>435</v>
      </c>
      <c r="B54" s="301" t="s">
        <v>507</v>
      </c>
      <c r="C54" s="296" t="s">
        <v>7</v>
      </c>
      <c r="D54" s="296" t="s">
        <v>1</v>
      </c>
    </row>
    <row r="55" spans="1:14">
      <c r="A55" s="298">
        <v>1</v>
      </c>
      <c r="B55" s="299" t="s">
        <v>506</v>
      </c>
      <c r="C55" s="302"/>
      <c r="D55" s="303">
        <f>K42</f>
        <v>0</v>
      </c>
    </row>
    <row r="56" spans="1:14">
      <c r="A56" s="298">
        <v>2</v>
      </c>
      <c r="B56" s="300" t="s">
        <v>433</v>
      </c>
      <c r="C56" s="303">
        <f>E17</f>
        <v>0</v>
      </c>
      <c r="D56" s="303">
        <f>E42</f>
        <v>0</v>
      </c>
    </row>
    <row r="57" spans="1:14">
      <c r="A57" s="298">
        <v>3</v>
      </c>
      <c r="B57" s="300" t="s">
        <v>432</v>
      </c>
      <c r="C57" s="303">
        <f>F17</f>
        <v>0</v>
      </c>
      <c r="D57" s="303">
        <f>F42</f>
        <v>0</v>
      </c>
    </row>
    <row r="58" spans="1:14">
      <c r="A58" s="298">
        <v>4</v>
      </c>
      <c r="B58" s="300" t="s">
        <v>434</v>
      </c>
      <c r="C58" s="303">
        <f>G17</f>
        <v>0</v>
      </c>
      <c r="D58" s="303">
        <f>G42</f>
        <v>0</v>
      </c>
    </row>
    <row r="59" spans="1:14">
      <c r="A59" s="296"/>
      <c r="B59" s="296" t="s">
        <v>313</v>
      </c>
      <c r="C59" s="304">
        <f>SUM(C55:C58)</f>
        <v>0</v>
      </c>
      <c r="D59" s="304">
        <f>SUM(D55:D58)</f>
        <v>0</v>
      </c>
    </row>
    <row r="61" spans="1:14">
      <c r="A61" s="295" t="s">
        <v>330</v>
      </c>
    </row>
    <row r="62" spans="1:14">
      <c r="A62" s="297" t="s">
        <v>435</v>
      </c>
      <c r="B62" s="297" t="s">
        <v>505</v>
      </c>
      <c r="C62" s="297" t="s">
        <v>7</v>
      </c>
      <c r="D62" s="297" t="s">
        <v>1</v>
      </c>
    </row>
    <row r="63" spans="1:14">
      <c r="A63" s="298">
        <v>1</v>
      </c>
      <c r="B63" s="299" t="s">
        <v>506</v>
      </c>
      <c r="C63" s="302"/>
      <c r="D63" s="303">
        <f>L42</f>
        <v>0</v>
      </c>
    </row>
    <row r="64" spans="1:14">
      <c r="A64" s="298">
        <v>2</v>
      </c>
      <c r="B64" s="300" t="s">
        <v>433</v>
      </c>
      <c r="C64" s="303">
        <f>H17</f>
        <v>854990000</v>
      </c>
      <c r="D64" s="303">
        <f>H42</f>
        <v>854990000</v>
      </c>
    </row>
    <row r="65" spans="1:4">
      <c r="A65" s="298">
        <v>3</v>
      </c>
      <c r="B65" s="300" t="s">
        <v>432</v>
      </c>
      <c r="C65" s="303">
        <f>I17</f>
        <v>0</v>
      </c>
      <c r="D65" s="303">
        <f>I42</f>
        <v>0</v>
      </c>
    </row>
    <row r="66" spans="1:4">
      <c r="A66" s="298">
        <v>4</v>
      </c>
      <c r="B66" s="300" t="s">
        <v>434</v>
      </c>
      <c r="C66" s="303">
        <f>J17</f>
        <v>0</v>
      </c>
      <c r="D66" s="303">
        <f>J42</f>
        <v>0</v>
      </c>
    </row>
    <row r="67" spans="1:4">
      <c r="A67" s="296"/>
      <c r="B67" s="296" t="s">
        <v>313</v>
      </c>
      <c r="C67" s="304">
        <f>SUM(C63:C66)</f>
        <v>854990000</v>
      </c>
      <c r="D67" s="304">
        <f>SUM(D63:D66)</f>
        <v>854990000</v>
      </c>
    </row>
  </sheetData>
  <mergeCells count="14">
    <mergeCell ref="K28:L28"/>
    <mergeCell ref="M28:N28"/>
    <mergeCell ref="C3:D3"/>
    <mergeCell ref="C28:D28"/>
    <mergeCell ref="C44:E44"/>
    <mergeCell ref="F44:H44"/>
    <mergeCell ref="C19:E19"/>
    <mergeCell ref="F19:H19"/>
    <mergeCell ref="E3:G3"/>
    <mergeCell ref="H3:J3"/>
    <mergeCell ref="E28:G28"/>
    <mergeCell ref="H28:J28"/>
    <mergeCell ref="M3:N3"/>
    <mergeCell ref="L3:L4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90"/>
  <sheetViews>
    <sheetView zoomScale="55" zoomScaleNormal="55" workbookViewId="0">
      <pane xSplit="3" ySplit="1" topLeftCell="D26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defaultColWidth="9.140625" defaultRowHeight="15"/>
  <cols>
    <col min="1" max="1" width="8.7109375" style="337" bestFit="1" customWidth="1"/>
    <col min="2" max="2" width="55" style="337" bestFit="1" customWidth="1"/>
    <col min="3" max="3" width="87.7109375" style="337" bestFit="1" customWidth="1"/>
    <col min="4" max="4" width="7.42578125" style="337" bestFit="1" customWidth="1"/>
    <col min="5" max="5" width="15.140625" style="337" bestFit="1" customWidth="1"/>
    <col min="6" max="6" width="13.85546875" style="337" bestFit="1" customWidth="1"/>
    <col min="7" max="7" width="19.7109375" style="382" bestFit="1" customWidth="1"/>
    <col min="8" max="8" width="13.85546875" style="337" bestFit="1" customWidth="1"/>
    <col min="9" max="9" width="18.5703125" style="337" bestFit="1" customWidth="1"/>
    <col min="10" max="10" width="18.42578125" style="337" bestFit="1" customWidth="1"/>
    <col min="11" max="11" width="18.5703125" style="337" bestFit="1" customWidth="1"/>
    <col min="12" max="12" width="11.28515625" style="337" bestFit="1" customWidth="1"/>
    <col min="13" max="13" width="13.85546875" style="337" bestFit="1" customWidth="1"/>
    <col min="14" max="14" width="41.7109375" style="337" bestFit="1" customWidth="1"/>
    <col min="15" max="16" width="9.140625" style="337"/>
    <col min="17" max="17" width="12.140625" style="337" bestFit="1" customWidth="1"/>
    <col min="18" max="16384" width="9.140625" style="337"/>
  </cols>
  <sheetData>
    <row r="1" spans="1:15">
      <c r="A1" s="348" t="s">
        <v>129</v>
      </c>
      <c r="B1" s="348" t="s">
        <v>553</v>
      </c>
      <c r="C1" s="348" t="s">
        <v>554</v>
      </c>
      <c r="D1" s="348" t="s">
        <v>6</v>
      </c>
      <c r="E1" s="348" t="s">
        <v>555</v>
      </c>
      <c r="F1" s="348" t="s">
        <v>7</v>
      </c>
      <c r="G1" s="380" t="s">
        <v>632</v>
      </c>
      <c r="H1" s="348" t="s">
        <v>631</v>
      </c>
      <c r="I1" s="348" t="s">
        <v>633</v>
      </c>
      <c r="J1" s="348" t="s">
        <v>634</v>
      </c>
      <c r="K1" s="348" t="s">
        <v>635</v>
      </c>
      <c r="L1" s="348" t="s">
        <v>637</v>
      </c>
      <c r="M1" s="348" t="s">
        <v>1</v>
      </c>
      <c r="N1" s="349" t="s">
        <v>544</v>
      </c>
    </row>
    <row r="2" spans="1:15" s="343" customFormat="1" ht="28.5">
      <c r="A2" s="352" t="s">
        <v>4</v>
      </c>
      <c r="B2" s="352" t="s">
        <v>538</v>
      </c>
      <c r="C2" s="352" t="s">
        <v>523</v>
      </c>
      <c r="D2" s="352"/>
      <c r="E2" s="352"/>
      <c r="F2" s="377"/>
      <c r="G2" s="355"/>
      <c r="H2" s="377"/>
      <c r="I2" s="352"/>
      <c r="J2" s="377"/>
      <c r="K2" s="352"/>
      <c r="L2" s="352"/>
      <c r="M2" s="377"/>
      <c r="N2" s="400" t="s">
        <v>666</v>
      </c>
      <c r="O2" s="346"/>
    </row>
    <row r="3" spans="1:15" s="345" customFormat="1" ht="42.75">
      <c r="A3" s="352" t="s">
        <v>329</v>
      </c>
      <c r="B3" s="352" t="s">
        <v>638</v>
      </c>
      <c r="C3" s="352" t="s">
        <v>639</v>
      </c>
      <c r="D3" s="352" t="s">
        <v>524</v>
      </c>
      <c r="E3" s="352"/>
      <c r="F3" s="377"/>
      <c r="G3" s="355"/>
      <c r="H3" s="377"/>
      <c r="I3" s="352"/>
      <c r="J3" s="377"/>
      <c r="K3" s="352"/>
      <c r="L3" s="352"/>
      <c r="M3" s="399"/>
      <c r="N3" s="400" t="s">
        <v>663</v>
      </c>
      <c r="O3" s="343"/>
    </row>
    <row r="4" spans="1:15" s="346" customFormat="1" ht="28.5">
      <c r="A4" s="352" t="s">
        <v>329</v>
      </c>
      <c r="B4" s="352" t="s">
        <v>566</v>
      </c>
      <c r="C4" s="352" t="s">
        <v>667</v>
      </c>
      <c r="D4" s="352" t="s">
        <v>524</v>
      </c>
      <c r="E4" s="352" t="s">
        <v>11</v>
      </c>
      <c r="F4" s="377">
        <v>854990000</v>
      </c>
      <c r="G4" s="355" t="s">
        <v>433</v>
      </c>
      <c r="H4" s="377">
        <v>854990000</v>
      </c>
      <c r="I4" s="352" t="s">
        <v>11</v>
      </c>
      <c r="J4" s="377">
        <v>0</v>
      </c>
      <c r="K4" s="352" t="s">
        <v>520</v>
      </c>
      <c r="L4" s="352" t="s">
        <v>525</v>
      </c>
      <c r="M4" s="399">
        <f t="shared" ref="M4" si="0">SUM(H4+J4)</f>
        <v>854990000</v>
      </c>
      <c r="N4" s="400" t="s">
        <v>664</v>
      </c>
      <c r="O4" s="345"/>
    </row>
    <row r="5" spans="1:15" s="346" customFormat="1">
      <c r="A5" s="355"/>
      <c r="B5" s="352"/>
      <c r="C5" s="352"/>
      <c r="D5" s="355"/>
      <c r="E5" s="352"/>
      <c r="F5" s="360"/>
      <c r="G5" s="355"/>
      <c r="H5" s="385"/>
      <c r="I5" s="352"/>
      <c r="J5" s="386"/>
      <c r="K5" s="386"/>
      <c r="L5" s="355"/>
      <c r="M5" s="360"/>
      <c r="N5" s="352"/>
    </row>
    <row r="6" spans="1:15" s="346" customFormat="1">
      <c r="A6" s="374"/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</row>
    <row r="7" spans="1:15" s="346" customFormat="1">
      <c r="A7" s="374"/>
      <c r="B7" s="374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</row>
    <row r="8" spans="1:15" s="346" customFormat="1">
      <c r="A8" s="374"/>
      <c r="B8" s="374"/>
      <c r="C8" s="374"/>
      <c r="D8" s="374"/>
      <c r="E8" s="374"/>
      <c r="F8" s="374"/>
      <c r="G8" s="374"/>
      <c r="H8" s="374"/>
      <c r="I8" s="374"/>
      <c r="J8" s="374"/>
      <c r="K8" s="374"/>
      <c r="L8" s="374"/>
      <c r="M8" s="374"/>
      <c r="N8" s="374"/>
    </row>
    <row r="9" spans="1:15" s="346" customFormat="1">
      <c r="A9" s="374"/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</row>
    <row r="10" spans="1:15" s="346" customFormat="1">
      <c r="A10" s="374"/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</row>
    <row r="11" spans="1:15" s="346" customFormat="1">
      <c r="A11" s="374"/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</row>
    <row r="12" spans="1:15" s="346" customFormat="1">
      <c r="A12" s="374"/>
      <c r="B12" s="374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</row>
    <row r="13" spans="1:15" s="346" customFormat="1">
      <c r="A13" s="374"/>
      <c r="B13" s="375"/>
      <c r="C13" s="375"/>
      <c r="D13" s="374"/>
      <c r="E13" s="374"/>
      <c r="F13" s="374"/>
      <c r="G13" s="374"/>
      <c r="H13" s="376"/>
      <c r="I13" s="374"/>
      <c r="J13" s="374"/>
      <c r="K13" s="374"/>
      <c r="L13" s="374"/>
      <c r="M13" s="374"/>
      <c r="N13" s="374"/>
    </row>
    <row r="14" spans="1:15" s="346" customFormat="1">
      <c r="A14" s="374"/>
      <c r="B14" s="375"/>
      <c r="C14" s="375"/>
      <c r="D14" s="374"/>
      <c r="E14" s="374"/>
      <c r="F14" s="374"/>
      <c r="G14" s="374"/>
      <c r="H14" s="376"/>
      <c r="I14" s="374"/>
      <c r="J14" s="374"/>
      <c r="K14" s="374"/>
      <c r="L14" s="374"/>
      <c r="M14" s="374"/>
      <c r="N14" s="374"/>
    </row>
    <row r="15" spans="1:15" s="346" customFormat="1">
      <c r="A15" s="374"/>
      <c r="B15" s="375"/>
      <c r="C15" s="375"/>
      <c r="D15" s="374"/>
      <c r="E15" s="374"/>
      <c r="F15" s="374"/>
      <c r="G15" s="374"/>
      <c r="H15" s="376"/>
      <c r="I15" s="374"/>
      <c r="J15" s="374"/>
      <c r="K15" s="374"/>
      <c r="L15" s="374"/>
      <c r="M15" s="374"/>
      <c r="N15" s="374"/>
    </row>
    <row r="16" spans="1:15" s="346" customFormat="1">
      <c r="A16" s="374"/>
      <c r="B16" s="375"/>
      <c r="C16" s="375"/>
      <c r="D16" s="374"/>
      <c r="E16" s="374"/>
      <c r="F16" s="374"/>
      <c r="G16" s="374"/>
      <c r="H16" s="376"/>
      <c r="I16" s="374"/>
      <c r="J16" s="374"/>
      <c r="K16" s="374"/>
      <c r="L16" s="374"/>
      <c r="M16" s="374"/>
      <c r="N16" s="374"/>
    </row>
    <row r="17" spans="1:15" s="346" customFormat="1">
      <c r="A17" s="374"/>
      <c r="B17" s="375"/>
      <c r="C17" s="375"/>
      <c r="D17" s="374"/>
      <c r="E17" s="374"/>
      <c r="F17" s="374"/>
      <c r="G17" s="374"/>
      <c r="H17" s="376"/>
      <c r="I17" s="374"/>
      <c r="J17" s="374"/>
      <c r="K17" s="374"/>
      <c r="L17" s="374"/>
      <c r="M17" s="374"/>
      <c r="N17" s="374"/>
    </row>
    <row r="18" spans="1:15" s="346" customFormat="1">
      <c r="A18" s="374"/>
      <c r="B18" s="375"/>
      <c r="C18" s="375"/>
      <c r="D18" s="374"/>
      <c r="E18" s="374"/>
      <c r="F18" s="374"/>
      <c r="G18" s="374"/>
      <c r="H18" s="376"/>
      <c r="I18" s="374"/>
      <c r="J18" s="374"/>
      <c r="K18" s="374"/>
      <c r="L18" s="374"/>
      <c r="M18" s="374"/>
      <c r="N18" s="374"/>
    </row>
    <row r="19" spans="1:15" s="346" customFormat="1">
      <c r="A19" s="374"/>
      <c r="B19" s="375"/>
      <c r="C19" s="375"/>
      <c r="D19" s="374"/>
      <c r="E19" s="374"/>
      <c r="F19" s="374"/>
      <c r="G19" s="374"/>
      <c r="H19" s="376"/>
      <c r="I19" s="374"/>
      <c r="J19" s="374"/>
      <c r="K19" s="374"/>
      <c r="L19" s="374"/>
      <c r="M19" s="374"/>
      <c r="N19" s="374"/>
    </row>
    <row r="20" spans="1:15" s="346" customFormat="1">
      <c r="A20" s="374"/>
      <c r="B20" s="375"/>
      <c r="C20" s="375"/>
      <c r="D20" s="374"/>
      <c r="E20" s="374"/>
      <c r="F20" s="374"/>
      <c r="G20" s="374"/>
      <c r="H20" s="376"/>
      <c r="I20" s="374"/>
      <c r="J20" s="374"/>
      <c r="K20" s="374"/>
      <c r="L20" s="374"/>
      <c r="M20" s="374"/>
      <c r="N20" s="374"/>
    </row>
    <row r="21" spans="1:15" s="346" customFormat="1">
      <c r="A21" s="374"/>
      <c r="B21" s="375"/>
      <c r="C21" s="375"/>
      <c r="D21" s="374"/>
      <c r="E21" s="374"/>
      <c r="F21" s="374"/>
      <c r="G21" s="374"/>
      <c r="H21" s="376"/>
      <c r="I21" s="374"/>
      <c r="J21" s="374"/>
      <c r="K21" s="374"/>
      <c r="L21" s="374"/>
      <c r="M21" s="374"/>
      <c r="N21" s="374"/>
    </row>
    <row r="22" spans="1:15" s="346" customFormat="1">
      <c r="A22" s="374"/>
      <c r="B22" s="375"/>
      <c r="C22" s="375"/>
      <c r="D22" s="374"/>
      <c r="E22" s="374"/>
      <c r="F22" s="374"/>
      <c r="G22" s="374"/>
      <c r="H22" s="376"/>
      <c r="I22" s="374"/>
      <c r="J22" s="374"/>
      <c r="K22" s="374"/>
      <c r="L22" s="374"/>
      <c r="M22" s="374"/>
      <c r="N22" s="374"/>
    </row>
    <row r="23" spans="1:15" s="346" customFormat="1">
      <c r="A23" s="374"/>
      <c r="B23" s="375"/>
      <c r="C23" s="375"/>
      <c r="D23" s="374"/>
      <c r="E23" s="374"/>
      <c r="F23" s="374"/>
      <c r="G23" s="374"/>
      <c r="H23" s="376"/>
      <c r="I23" s="374"/>
      <c r="J23" s="374"/>
      <c r="K23" s="374"/>
      <c r="L23" s="374"/>
      <c r="M23" s="374"/>
      <c r="N23" s="374"/>
    </row>
    <row r="24" spans="1:15" s="346" customFormat="1">
      <c r="A24" s="374"/>
      <c r="B24" s="375"/>
      <c r="C24" s="375"/>
      <c r="D24" s="374"/>
      <c r="E24" s="374"/>
      <c r="F24" s="374"/>
      <c r="G24" s="374"/>
      <c r="H24" s="376"/>
      <c r="I24" s="374"/>
      <c r="J24" s="374"/>
      <c r="K24" s="374"/>
      <c r="L24" s="374"/>
      <c r="M24" s="374"/>
      <c r="N24" s="374"/>
    </row>
    <row r="25" spans="1:15" s="346" customFormat="1">
      <c r="A25" s="345"/>
      <c r="B25" s="345"/>
      <c r="C25" s="345"/>
      <c r="E25" s="345"/>
      <c r="F25" s="374"/>
      <c r="G25" s="345"/>
      <c r="H25" s="347"/>
      <c r="I25" s="374"/>
      <c r="J25" s="374"/>
      <c r="K25" s="374"/>
      <c r="L25" s="374"/>
      <c r="M25" s="374"/>
      <c r="N25" s="374"/>
    </row>
    <row r="26" spans="1:15" s="346" customFormat="1">
      <c r="A26" s="345"/>
      <c r="B26" s="345"/>
      <c r="C26" s="345"/>
      <c r="E26" s="345"/>
      <c r="F26" s="374"/>
      <c r="G26" s="371"/>
      <c r="H26" s="347"/>
      <c r="I26" s="374"/>
      <c r="J26" s="374"/>
      <c r="K26" s="374"/>
      <c r="L26" s="374"/>
      <c r="M26" s="374"/>
      <c r="N26" s="374"/>
    </row>
    <row r="27" spans="1:15" s="346" customFormat="1">
      <c r="A27" s="345"/>
      <c r="B27" s="345"/>
      <c r="C27" s="345"/>
      <c r="E27" s="345"/>
      <c r="F27" s="374"/>
      <c r="G27" s="345"/>
      <c r="H27" s="347"/>
      <c r="I27" s="374"/>
      <c r="J27" s="374"/>
      <c r="K27" s="374"/>
      <c r="L27" s="374"/>
      <c r="M27" s="374"/>
      <c r="N27" s="374"/>
    </row>
    <row r="28" spans="1:15" s="346" customFormat="1">
      <c r="A28" s="345"/>
      <c r="B28" s="345"/>
      <c r="C28" s="345"/>
      <c r="E28" s="345"/>
      <c r="F28" s="374"/>
      <c r="G28" s="345"/>
      <c r="H28" s="347"/>
      <c r="I28" s="374"/>
      <c r="J28" s="374"/>
      <c r="K28" s="374"/>
      <c r="L28" s="374"/>
      <c r="M28" s="374"/>
      <c r="N28" s="374"/>
    </row>
    <row r="29" spans="1:15" s="346" customFormat="1">
      <c r="A29" s="345"/>
      <c r="B29" s="345"/>
      <c r="C29" s="345"/>
      <c r="E29" s="345"/>
      <c r="F29" s="374"/>
      <c r="G29" s="345"/>
      <c r="H29" s="347"/>
      <c r="I29" s="374"/>
      <c r="J29" s="374"/>
      <c r="K29" s="374"/>
      <c r="L29" s="374"/>
      <c r="M29" s="374"/>
      <c r="N29" s="374"/>
    </row>
    <row r="30" spans="1:15" s="346" customFormat="1">
      <c r="A30" s="345"/>
      <c r="B30" s="345"/>
      <c r="C30" s="345"/>
      <c r="E30" s="345"/>
      <c r="F30" s="374"/>
      <c r="G30" s="345"/>
      <c r="H30" s="347"/>
      <c r="I30" s="374"/>
      <c r="J30" s="374"/>
      <c r="K30" s="374"/>
      <c r="L30" s="374"/>
      <c r="M30" s="374"/>
      <c r="N30" s="374"/>
    </row>
    <row r="31" spans="1:15" s="346" customFormat="1">
      <c r="A31" s="345"/>
      <c r="B31" s="345"/>
      <c r="C31" s="345"/>
      <c r="E31" s="345"/>
      <c r="F31" s="374"/>
      <c r="G31" s="345"/>
      <c r="H31" s="347"/>
      <c r="I31" s="374"/>
      <c r="J31" s="374"/>
      <c r="K31" s="374"/>
      <c r="L31" s="374"/>
      <c r="M31" s="374"/>
      <c r="N31" s="374"/>
    </row>
    <row r="32" spans="1:15" s="346" customFormat="1">
      <c r="A32" s="358" t="s">
        <v>129</v>
      </c>
      <c r="B32" s="358" t="s">
        <v>553</v>
      </c>
      <c r="C32" s="358" t="s">
        <v>554</v>
      </c>
      <c r="D32" s="358" t="s">
        <v>6</v>
      </c>
      <c r="E32" s="358" t="s">
        <v>555</v>
      </c>
      <c r="F32" s="358" t="s">
        <v>7</v>
      </c>
      <c r="G32" s="381" t="s">
        <v>632</v>
      </c>
      <c r="H32" s="358" t="s">
        <v>631</v>
      </c>
      <c r="I32" s="358" t="s">
        <v>633</v>
      </c>
      <c r="J32" s="358" t="s">
        <v>634</v>
      </c>
      <c r="K32" s="358" t="s">
        <v>635</v>
      </c>
      <c r="L32" s="358" t="s">
        <v>636</v>
      </c>
      <c r="M32" s="358" t="s">
        <v>1</v>
      </c>
      <c r="N32" s="358" t="s">
        <v>544</v>
      </c>
      <c r="O32" s="346" t="s">
        <v>625</v>
      </c>
    </row>
    <row r="33" spans="1:15" s="346" customFormat="1">
      <c r="A33" s="355" t="s">
        <v>329</v>
      </c>
      <c r="B33" s="352" t="s">
        <v>557</v>
      </c>
      <c r="C33" s="355" t="s">
        <v>581</v>
      </c>
      <c r="D33" s="353" t="s">
        <v>524</v>
      </c>
      <c r="E33" s="355" t="s">
        <v>582</v>
      </c>
      <c r="F33" s="360">
        <v>1065600000</v>
      </c>
      <c r="G33" s="355" t="s">
        <v>583</v>
      </c>
      <c r="H33" s="359"/>
      <c r="I33" s="350"/>
      <c r="J33" s="350"/>
      <c r="K33" s="350"/>
      <c r="L33" s="353" t="s">
        <v>525</v>
      </c>
      <c r="M33" s="351">
        <f t="shared" ref="M33:M74" si="1">SUM(H33+J33)</f>
        <v>0</v>
      </c>
      <c r="N33" s="372" t="s">
        <v>643</v>
      </c>
      <c r="O33" s="346" t="s">
        <v>625</v>
      </c>
    </row>
    <row r="34" spans="1:15" s="346" customFormat="1">
      <c r="A34" s="353" t="s">
        <v>329</v>
      </c>
      <c r="B34" s="372" t="s">
        <v>558</v>
      </c>
      <c r="C34" s="353" t="s">
        <v>584</v>
      </c>
      <c r="D34" s="353" t="s">
        <v>519</v>
      </c>
      <c r="E34" s="353" t="s">
        <v>582</v>
      </c>
      <c r="F34" s="354">
        <v>20000000</v>
      </c>
      <c r="G34" s="353" t="s">
        <v>583</v>
      </c>
      <c r="H34" s="359">
        <v>20000000</v>
      </c>
      <c r="I34" s="350" t="s">
        <v>11</v>
      </c>
      <c r="J34" s="359"/>
      <c r="K34" s="350" t="s">
        <v>520</v>
      </c>
      <c r="L34" s="353" t="s">
        <v>525</v>
      </c>
      <c r="M34" s="351">
        <f>SUM(H34+J34)</f>
        <v>20000000</v>
      </c>
      <c r="N34" s="353"/>
    </row>
    <row r="35" spans="1:15" s="346" customFormat="1" ht="28.5">
      <c r="A35" s="353" t="s">
        <v>4</v>
      </c>
      <c r="B35" s="372" t="s">
        <v>559</v>
      </c>
      <c r="C35" s="353" t="s">
        <v>585</v>
      </c>
      <c r="D35" s="353" t="s">
        <v>519</v>
      </c>
      <c r="E35" s="353" t="s">
        <v>582</v>
      </c>
      <c r="F35" s="354">
        <v>60000000</v>
      </c>
      <c r="G35" s="353" t="s">
        <v>583</v>
      </c>
      <c r="H35" s="359">
        <v>60000000</v>
      </c>
      <c r="I35" s="350" t="s">
        <v>16</v>
      </c>
      <c r="J35" s="359"/>
      <c r="K35" s="350" t="s">
        <v>520</v>
      </c>
      <c r="L35" s="353" t="s">
        <v>525</v>
      </c>
      <c r="M35" s="351">
        <f t="shared" si="1"/>
        <v>60000000</v>
      </c>
      <c r="N35" s="353"/>
    </row>
    <row r="36" spans="1:15" s="346" customFormat="1">
      <c r="A36" s="353" t="s">
        <v>329</v>
      </c>
      <c r="B36" s="372" t="s">
        <v>560</v>
      </c>
      <c r="C36" s="353" t="s">
        <v>586</v>
      </c>
      <c r="D36" s="353" t="s">
        <v>519</v>
      </c>
      <c r="E36" s="353" t="s">
        <v>582</v>
      </c>
      <c r="F36" s="354">
        <v>500000000</v>
      </c>
      <c r="G36" s="353" t="s">
        <v>583</v>
      </c>
      <c r="H36" s="359">
        <v>150000000</v>
      </c>
      <c r="I36" s="350" t="s">
        <v>11</v>
      </c>
      <c r="J36" s="359"/>
      <c r="K36" s="350" t="s">
        <v>520</v>
      </c>
      <c r="L36" s="353" t="s">
        <v>525</v>
      </c>
      <c r="M36" s="351">
        <f t="shared" si="1"/>
        <v>150000000</v>
      </c>
      <c r="N36" s="353"/>
    </row>
    <row r="37" spans="1:15" s="346" customFormat="1">
      <c r="A37" s="353" t="s">
        <v>4</v>
      </c>
      <c r="B37" s="372" t="s">
        <v>561</v>
      </c>
      <c r="C37" s="353" t="s">
        <v>587</v>
      </c>
      <c r="D37" s="353" t="s">
        <v>519</v>
      </c>
      <c r="E37" s="353" t="s">
        <v>582</v>
      </c>
      <c r="F37" s="354">
        <v>600000000</v>
      </c>
      <c r="G37" s="353" t="s">
        <v>583</v>
      </c>
      <c r="H37" s="359">
        <v>180000000</v>
      </c>
      <c r="I37" s="350" t="s">
        <v>14</v>
      </c>
      <c r="J37" s="359">
        <v>420000000</v>
      </c>
      <c r="K37" s="350" t="s">
        <v>11</v>
      </c>
      <c r="L37" s="353" t="s">
        <v>525</v>
      </c>
      <c r="M37" s="351">
        <f t="shared" si="1"/>
        <v>600000000</v>
      </c>
      <c r="N37" s="353"/>
    </row>
    <row r="38" spans="1:15" s="346" customFormat="1">
      <c r="A38" s="353" t="s">
        <v>4</v>
      </c>
      <c r="B38" s="372" t="s">
        <v>536</v>
      </c>
      <c r="C38" s="353" t="s">
        <v>588</v>
      </c>
      <c r="D38" s="353" t="s">
        <v>524</v>
      </c>
      <c r="E38" s="353" t="s">
        <v>582</v>
      </c>
      <c r="F38" s="354">
        <v>1297300000</v>
      </c>
      <c r="G38" s="353" t="s">
        <v>583</v>
      </c>
      <c r="H38" s="359">
        <v>389190000</v>
      </c>
      <c r="I38" s="350" t="s">
        <v>11</v>
      </c>
      <c r="J38" s="359">
        <v>908110000</v>
      </c>
      <c r="K38" s="350" t="s">
        <v>11</v>
      </c>
      <c r="L38" s="353" t="s">
        <v>525</v>
      </c>
      <c r="M38" s="351">
        <f t="shared" si="1"/>
        <v>1297300000</v>
      </c>
      <c r="N38" s="353"/>
    </row>
    <row r="39" spans="1:15" s="346" customFormat="1">
      <c r="A39" s="353" t="s">
        <v>4</v>
      </c>
      <c r="B39" s="372" t="s">
        <v>562</v>
      </c>
      <c r="C39" s="353" t="s">
        <v>589</v>
      </c>
      <c r="D39" s="353" t="s">
        <v>524</v>
      </c>
      <c r="E39" s="353" t="s">
        <v>582</v>
      </c>
      <c r="F39" s="354">
        <v>600000000</v>
      </c>
      <c r="G39" s="353" t="s">
        <v>583</v>
      </c>
      <c r="H39" s="359">
        <v>180000000</v>
      </c>
      <c r="I39" s="350" t="s">
        <v>11</v>
      </c>
      <c r="J39" s="359"/>
      <c r="K39" s="350" t="s">
        <v>520</v>
      </c>
      <c r="L39" s="353" t="s">
        <v>525</v>
      </c>
      <c r="M39" s="351">
        <f t="shared" si="1"/>
        <v>180000000</v>
      </c>
      <c r="N39" s="353"/>
    </row>
    <row r="40" spans="1:15" s="346" customFormat="1">
      <c r="A40" s="353" t="s">
        <v>4</v>
      </c>
      <c r="B40" s="372" t="s">
        <v>563</v>
      </c>
      <c r="C40" s="353" t="s">
        <v>590</v>
      </c>
      <c r="D40" s="353" t="s">
        <v>524</v>
      </c>
      <c r="E40" s="353" t="s">
        <v>582</v>
      </c>
      <c r="F40" s="354">
        <v>600000000</v>
      </c>
      <c r="G40" s="353" t="s">
        <v>583</v>
      </c>
      <c r="H40" s="359">
        <v>180000000</v>
      </c>
      <c r="I40" s="350" t="s">
        <v>11</v>
      </c>
      <c r="J40" s="359"/>
      <c r="K40" s="350" t="s">
        <v>520</v>
      </c>
      <c r="L40" s="353" t="s">
        <v>525</v>
      </c>
      <c r="M40" s="351">
        <f t="shared" si="1"/>
        <v>180000000</v>
      </c>
      <c r="N40" s="353"/>
    </row>
    <row r="41" spans="1:15" s="346" customFormat="1">
      <c r="A41" s="353" t="s">
        <v>4</v>
      </c>
      <c r="B41" s="372" t="s">
        <v>533</v>
      </c>
      <c r="C41" s="353" t="s">
        <v>591</v>
      </c>
      <c r="D41" s="353" t="s">
        <v>519</v>
      </c>
      <c r="E41" s="353" t="s">
        <v>582</v>
      </c>
      <c r="F41" s="354">
        <v>259700000</v>
      </c>
      <c r="G41" s="353" t="s">
        <v>583</v>
      </c>
      <c r="H41" s="359">
        <v>77910000</v>
      </c>
      <c r="I41" s="350" t="s">
        <v>14</v>
      </c>
      <c r="J41" s="359">
        <v>181790000</v>
      </c>
      <c r="K41" s="350" t="s">
        <v>16</v>
      </c>
      <c r="L41" s="353" t="s">
        <v>525</v>
      </c>
      <c r="M41" s="351">
        <f t="shared" si="1"/>
        <v>259700000</v>
      </c>
      <c r="N41" s="353"/>
    </row>
    <row r="42" spans="1:15" s="346" customFormat="1">
      <c r="A42" s="355" t="s">
        <v>4</v>
      </c>
      <c r="B42" s="352" t="s">
        <v>539</v>
      </c>
      <c r="C42" s="355" t="s">
        <v>592</v>
      </c>
      <c r="D42" s="353" t="s">
        <v>524</v>
      </c>
      <c r="E42" s="355" t="s">
        <v>582</v>
      </c>
      <c r="F42" s="360">
        <v>5550000000</v>
      </c>
      <c r="G42" s="355" t="s">
        <v>583</v>
      </c>
      <c r="H42" s="359"/>
      <c r="I42" s="350"/>
      <c r="J42" s="350"/>
      <c r="K42" s="350"/>
      <c r="L42" s="353" t="s">
        <v>525</v>
      </c>
      <c r="M42" s="351">
        <f t="shared" si="1"/>
        <v>0</v>
      </c>
      <c r="N42" s="372" t="s">
        <v>646</v>
      </c>
      <c r="O42" s="346" t="s">
        <v>645</v>
      </c>
    </row>
    <row r="43" spans="1:15" s="346" customFormat="1" ht="28.5">
      <c r="A43" s="355" t="s">
        <v>4</v>
      </c>
      <c r="B43" s="352" t="s">
        <v>656</v>
      </c>
      <c r="C43" s="355" t="s">
        <v>593</v>
      </c>
      <c r="D43" s="353" t="s">
        <v>524</v>
      </c>
      <c r="E43" s="355" t="s">
        <v>582</v>
      </c>
      <c r="F43" s="360">
        <v>160000000</v>
      </c>
      <c r="G43" s="355" t="s">
        <v>583</v>
      </c>
      <c r="H43" s="359"/>
      <c r="I43" s="350"/>
      <c r="J43" s="350"/>
      <c r="K43" s="350"/>
      <c r="L43" s="353" t="s">
        <v>525</v>
      </c>
      <c r="M43" s="351">
        <f t="shared" si="1"/>
        <v>0</v>
      </c>
      <c r="N43" s="372" t="s">
        <v>647</v>
      </c>
      <c r="O43" s="346" t="s">
        <v>645</v>
      </c>
    </row>
    <row r="44" spans="1:15" ht="17.25" customHeight="1">
      <c r="A44" s="355" t="s">
        <v>329</v>
      </c>
      <c r="B44" s="352" t="s">
        <v>558</v>
      </c>
      <c r="C44" s="355" t="s">
        <v>594</v>
      </c>
      <c r="D44" s="353" t="s">
        <v>519</v>
      </c>
      <c r="E44" s="355" t="s">
        <v>582</v>
      </c>
      <c r="F44" s="360">
        <v>50000000</v>
      </c>
      <c r="G44" s="355" t="s">
        <v>583</v>
      </c>
      <c r="H44" s="359">
        <v>50000000</v>
      </c>
      <c r="I44" s="350" t="s">
        <v>11</v>
      </c>
      <c r="J44" s="350"/>
      <c r="K44" s="350" t="s">
        <v>520</v>
      </c>
      <c r="L44" s="353" t="s">
        <v>525</v>
      </c>
      <c r="M44" s="351">
        <f t="shared" si="1"/>
        <v>50000000</v>
      </c>
      <c r="N44" s="353"/>
    </row>
    <row r="45" spans="1:15" ht="17.25" customHeight="1">
      <c r="A45" s="355" t="s">
        <v>329</v>
      </c>
      <c r="B45" s="352" t="s">
        <v>558</v>
      </c>
      <c r="C45" s="355" t="s">
        <v>595</v>
      </c>
      <c r="D45" s="353" t="s">
        <v>519</v>
      </c>
      <c r="E45" s="355" t="s">
        <v>582</v>
      </c>
      <c r="F45" s="360">
        <v>50000000</v>
      </c>
      <c r="G45" s="355" t="s">
        <v>583</v>
      </c>
      <c r="H45" s="359">
        <v>50000000</v>
      </c>
      <c r="I45" s="350" t="s">
        <v>11</v>
      </c>
      <c r="J45" s="350"/>
      <c r="K45" s="350" t="s">
        <v>520</v>
      </c>
      <c r="L45" s="353" t="s">
        <v>525</v>
      </c>
      <c r="M45" s="351">
        <f t="shared" si="1"/>
        <v>50000000</v>
      </c>
      <c r="N45" s="353"/>
    </row>
    <row r="46" spans="1:15" ht="17.25" customHeight="1">
      <c r="A46" s="355" t="s">
        <v>329</v>
      </c>
      <c r="B46" s="352" t="s">
        <v>558</v>
      </c>
      <c r="C46" s="355" t="s">
        <v>596</v>
      </c>
      <c r="D46" s="353" t="s">
        <v>519</v>
      </c>
      <c r="E46" s="355" t="s">
        <v>582</v>
      </c>
      <c r="F46" s="360">
        <v>50000000</v>
      </c>
      <c r="G46" s="355" t="s">
        <v>583</v>
      </c>
      <c r="H46" s="359">
        <v>50000000</v>
      </c>
      <c r="I46" s="350" t="s">
        <v>11</v>
      </c>
      <c r="J46" s="350"/>
      <c r="K46" s="350" t="s">
        <v>520</v>
      </c>
      <c r="L46" s="353" t="s">
        <v>525</v>
      </c>
      <c r="M46" s="351">
        <f t="shared" si="1"/>
        <v>50000000</v>
      </c>
      <c r="N46" s="353"/>
    </row>
    <row r="47" spans="1:15" ht="17.25" customHeight="1">
      <c r="A47" s="355" t="s">
        <v>4</v>
      </c>
      <c r="B47" s="352" t="s">
        <v>564</v>
      </c>
      <c r="C47" s="355" t="s">
        <v>597</v>
      </c>
      <c r="D47" s="353" t="s">
        <v>519</v>
      </c>
      <c r="E47" s="355" t="s">
        <v>582</v>
      </c>
      <c r="F47" s="360">
        <v>596283000</v>
      </c>
      <c r="G47" s="355" t="s">
        <v>583</v>
      </c>
      <c r="H47" s="359">
        <v>178884900</v>
      </c>
      <c r="I47" s="350" t="s">
        <v>16</v>
      </c>
      <c r="J47" s="350">
        <v>417398100</v>
      </c>
      <c r="K47" s="350" t="s">
        <v>11</v>
      </c>
      <c r="L47" s="353" t="s">
        <v>525</v>
      </c>
      <c r="M47" s="351">
        <f t="shared" si="1"/>
        <v>596283000</v>
      </c>
      <c r="N47" s="353"/>
    </row>
    <row r="48" spans="1:15" ht="16.5" customHeight="1">
      <c r="A48" s="355" t="s">
        <v>4</v>
      </c>
      <c r="B48" s="352" t="s">
        <v>564</v>
      </c>
      <c r="C48" s="355" t="s">
        <v>598</v>
      </c>
      <c r="D48" s="353" t="s">
        <v>519</v>
      </c>
      <c r="E48" s="355" t="s">
        <v>582</v>
      </c>
      <c r="F48" s="360">
        <v>735652000</v>
      </c>
      <c r="G48" s="355" t="s">
        <v>583</v>
      </c>
      <c r="H48" s="359">
        <v>220695600</v>
      </c>
      <c r="I48" s="350" t="s">
        <v>16</v>
      </c>
      <c r="J48" s="350">
        <v>514956400</v>
      </c>
      <c r="K48" s="350" t="s">
        <v>11</v>
      </c>
      <c r="L48" s="353" t="s">
        <v>525</v>
      </c>
      <c r="M48" s="351">
        <f t="shared" si="1"/>
        <v>735652000</v>
      </c>
      <c r="N48" s="353"/>
    </row>
    <row r="49" spans="1:15" ht="28.5">
      <c r="A49" s="355" t="s">
        <v>329</v>
      </c>
      <c r="B49" s="352" t="s">
        <v>565</v>
      </c>
      <c r="C49" s="355" t="s">
        <v>599</v>
      </c>
      <c r="D49" s="353" t="s">
        <v>524</v>
      </c>
      <c r="E49" s="355" t="s">
        <v>582</v>
      </c>
      <c r="F49" s="360">
        <v>0</v>
      </c>
      <c r="G49" s="355" t="s">
        <v>583</v>
      </c>
      <c r="H49" s="359"/>
      <c r="I49" s="350"/>
      <c r="J49" s="350"/>
      <c r="K49" s="350"/>
      <c r="L49" s="353" t="s">
        <v>525</v>
      </c>
      <c r="M49" s="351">
        <f t="shared" si="1"/>
        <v>0</v>
      </c>
      <c r="N49" s="372" t="s">
        <v>644</v>
      </c>
      <c r="O49" s="337" t="s">
        <v>645</v>
      </c>
    </row>
    <row r="50" spans="1:15">
      <c r="A50" s="355" t="s">
        <v>329</v>
      </c>
      <c r="B50" s="352" t="s">
        <v>558</v>
      </c>
      <c r="C50" s="355" t="s">
        <v>600</v>
      </c>
      <c r="D50" s="353" t="s">
        <v>519</v>
      </c>
      <c r="E50" s="355" t="s">
        <v>582</v>
      </c>
      <c r="F50" s="360">
        <v>100000000</v>
      </c>
      <c r="G50" s="355" t="s">
        <v>583</v>
      </c>
      <c r="H50" s="359">
        <v>100000000</v>
      </c>
      <c r="I50" s="350" t="s">
        <v>11</v>
      </c>
      <c r="J50" s="350"/>
      <c r="K50" s="350" t="s">
        <v>520</v>
      </c>
      <c r="L50" s="353" t="s">
        <v>525</v>
      </c>
      <c r="M50" s="351">
        <f t="shared" si="1"/>
        <v>100000000</v>
      </c>
      <c r="N50" s="353"/>
    </row>
    <row r="51" spans="1:15">
      <c r="A51" s="355" t="s">
        <v>329</v>
      </c>
      <c r="B51" s="352" t="s">
        <v>558</v>
      </c>
      <c r="C51" s="355" t="s">
        <v>601</v>
      </c>
      <c r="D51" s="353" t="s">
        <v>519</v>
      </c>
      <c r="E51" s="355" t="s">
        <v>582</v>
      </c>
      <c r="F51" s="360">
        <v>100000000</v>
      </c>
      <c r="G51" s="355" t="s">
        <v>583</v>
      </c>
      <c r="H51" s="359">
        <v>100000000</v>
      </c>
      <c r="I51" s="350" t="s">
        <v>11</v>
      </c>
      <c r="J51" s="350"/>
      <c r="K51" s="350" t="s">
        <v>520</v>
      </c>
      <c r="L51" s="353" t="s">
        <v>525</v>
      </c>
      <c r="M51" s="351">
        <f t="shared" si="1"/>
        <v>100000000</v>
      </c>
      <c r="N51" s="353"/>
    </row>
    <row r="52" spans="1:15">
      <c r="A52" s="355" t="s">
        <v>329</v>
      </c>
      <c r="B52" s="352" t="s">
        <v>566</v>
      </c>
      <c r="C52" s="355" t="s">
        <v>602</v>
      </c>
      <c r="D52" s="353" t="s">
        <v>524</v>
      </c>
      <c r="E52" s="355" t="s">
        <v>582</v>
      </c>
      <c r="F52" s="360">
        <v>2400000000</v>
      </c>
      <c r="G52" s="355" t="s">
        <v>583</v>
      </c>
      <c r="H52" s="359">
        <v>0</v>
      </c>
      <c r="I52" s="350" t="s">
        <v>520</v>
      </c>
      <c r="J52" s="350"/>
      <c r="K52" s="350" t="s">
        <v>520</v>
      </c>
      <c r="L52" s="353" t="s">
        <v>525</v>
      </c>
      <c r="M52" s="351">
        <f t="shared" si="1"/>
        <v>0</v>
      </c>
      <c r="N52" s="353" t="s">
        <v>628</v>
      </c>
    </row>
    <row r="53" spans="1:15">
      <c r="A53" s="355" t="s">
        <v>329</v>
      </c>
      <c r="B53" s="352" t="s">
        <v>566</v>
      </c>
      <c r="C53" s="355" t="s">
        <v>603</v>
      </c>
      <c r="D53" s="353" t="s">
        <v>524</v>
      </c>
      <c r="E53" s="355" t="s">
        <v>582</v>
      </c>
      <c r="F53" s="360">
        <v>2690500000</v>
      </c>
      <c r="G53" s="355" t="s">
        <v>583</v>
      </c>
      <c r="H53" s="359"/>
      <c r="I53" s="350"/>
      <c r="J53" s="350"/>
      <c r="K53" s="350"/>
      <c r="L53" s="353" t="s">
        <v>525</v>
      </c>
      <c r="M53" s="351">
        <f t="shared" si="1"/>
        <v>0</v>
      </c>
      <c r="N53" s="372" t="s">
        <v>643</v>
      </c>
      <c r="O53" s="337" t="s">
        <v>625</v>
      </c>
    </row>
    <row r="54" spans="1:15">
      <c r="A54" s="355" t="s">
        <v>329</v>
      </c>
      <c r="B54" s="352" t="s">
        <v>567</v>
      </c>
      <c r="C54" s="355" t="s">
        <v>604</v>
      </c>
      <c r="D54" s="353" t="s">
        <v>519</v>
      </c>
      <c r="E54" s="355" t="s">
        <v>582</v>
      </c>
      <c r="F54" s="360">
        <v>800000000</v>
      </c>
      <c r="G54" s="355" t="s">
        <v>583</v>
      </c>
      <c r="H54" s="359">
        <v>240000000</v>
      </c>
      <c r="I54" s="350" t="s">
        <v>13</v>
      </c>
      <c r="J54" s="350">
        <v>560000000</v>
      </c>
      <c r="K54" s="350" t="s">
        <v>11</v>
      </c>
      <c r="L54" s="353" t="s">
        <v>525</v>
      </c>
      <c r="M54" s="351">
        <f t="shared" si="1"/>
        <v>800000000</v>
      </c>
      <c r="N54" s="353"/>
    </row>
    <row r="55" spans="1:15">
      <c r="A55" s="355" t="s">
        <v>329</v>
      </c>
      <c r="B55" s="352" t="s">
        <v>568</v>
      </c>
      <c r="C55" s="355" t="s">
        <v>605</v>
      </c>
      <c r="D55" s="353" t="s">
        <v>524</v>
      </c>
      <c r="E55" s="355" t="s">
        <v>582</v>
      </c>
      <c r="F55" s="360">
        <v>2000000000</v>
      </c>
      <c r="G55" s="355" t="s">
        <v>583</v>
      </c>
      <c r="H55" s="359"/>
      <c r="I55" s="350"/>
      <c r="J55" s="350"/>
      <c r="K55" s="350"/>
      <c r="L55" s="353" t="s">
        <v>525</v>
      </c>
      <c r="M55" s="351">
        <f t="shared" si="1"/>
        <v>0</v>
      </c>
      <c r="N55" s="372" t="s">
        <v>643</v>
      </c>
      <c r="O55" s="337" t="s">
        <v>625</v>
      </c>
    </row>
    <row r="56" spans="1:15" ht="28.5">
      <c r="A56" s="355" t="s">
        <v>329</v>
      </c>
      <c r="B56" s="352" t="s">
        <v>569</v>
      </c>
      <c r="C56" s="355" t="s">
        <v>606</v>
      </c>
      <c r="D56" s="353" t="s">
        <v>524</v>
      </c>
      <c r="E56" s="355" t="s">
        <v>582</v>
      </c>
      <c r="F56" s="360">
        <v>2000000000</v>
      </c>
      <c r="G56" s="355" t="s">
        <v>583</v>
      </c>
      <c r="H56" s="359"/>
      <c r="I56" s="350"/>
      <c r="J56" s="350"/>
      <c r="K56" s="350"/>
      <c r="L56" s="353" t="s">
        <v>525</v>
      </c>
      <c r="M56" s="351">
        <f t="shared" si="1"/>
        <v>0</v>
      </c>
      <c r="N56" s="372" t="s">
        <v>648</v>
      </c>
      <c r="O56" s="337" t="s">
        <v>645</v>
      </c>
    </row>
    <row r="57" spans="1:15">
      <c r="A57" s="355" t="s">
        <v>4</v>
      </c>
      <c r="B57" s="352" t="s">
        <v>520</v>
      </c>
      <c r="C57" s="355" t="s">
        <v>607</v>
      </c>
      <c r="D57" s="353" t="s">
        <v>524</v>
      </c>
      <c r="E57" s="355" t="s">
        <v>582</v>
      </c>
      <c r="F57" s="360">
        <v>300000000</v>
      </c>
      <c r="G57" s="355" t="s">
        <v>583</v>
      </c>
      <c r="H57" s="359">
        <v>90000000</v>
      </c>
      <c r="I57" s="350" t="s">
        <v>11</v>
      </c>
      <c r="J57" s="350"/>
      <c r="K57" s="350" t="s">
        <v>520</v>
      </c>
      <c r="L57" s="353" t="s">
        <v>525</v>
      </c>
      <c r="M57" s="351">
        <f t="shared" si="1"/>
        <v>90000000</v>
      </c>
      <c r="N57" s="353"/>
    </row>
    <row r="58" spans="1:15" ht="28.5">
      <c r="A58" s="355" t="s">
        <v>329</v>
      </c>
      <c r="B58" s="352" t="s">
        <v>570</v>
      </c>
      <c r="C58" s="355" t="s">
        <v>608</v>
      </c>
      <c r="D58" s="353" t="s">
        <v>524</v>
      </c>
      <c r="E58" s="355" t="s">
        <v>582</v>
      </c>
      <c r="F58" s="360">
        <v>200000000</v>
      </c>
      <c r="G58" s="355" t="s">
        <v>583</v>
      </c>
      <c r="H58" s="359"/>
      <c r="I58" s="350"/>
      <c r="J58" s="350"/>
      <c r="K58" s="350"/>
      <c r="L58" s="353" t="s">
        <v>525</v>
      </c>
      <c r="M58" s="351">
        <f t="shared" si="1"/>
        <v>0</v>
      </c>
      <c r="N58" s="372" t="s">
        <v>650</v>
      </c>
      <c r="O58" s="337" t="s">
        <v>645</v>
      </c>
    </row>
    <row r="59" spans="1:15">
      <c r="A59" s="355" t="s">
        <v>329</v>
      </c>
      <c r="B59" s="352" t="s">
        <v>571</v>
      </c>
      <c r="C59" s="355" t="s">
        <v>609</v>
      </c>
      <c r="D59" s="353" t="s">
        <v>524</v>
      </c>
      <c r="E59" s="355" t="s">
        <v>582</v>
      </c>
      <c r="F59" s="360">
        <v>150000000</v>
      </c>
      <c r="G59" s="355" t="s">
        <v>583</v>
      </c>
      <c r="H59" s="359"/>
      <c r="I59" s="350"/>
      <c r="J59" s="350"/>
      <c r="K59" s="350"/>
      <c r="L59" s="353" t="s">
        <v>525</v>
      </c>
      <c r="M59" s="351">
        <f t="shared" si="1"/>
        <v>0</v>
      </c>
      <c r="N59" s="372" t="s">
        <v>649</v>
      </c>
      <c r="O59" s="337" t="s">
        <v>645</v>
      </c>
    </row>
    <row r="60" spans="1:15" ht="28.5">
      <c r="A60" s="355" t="s">
        <v>4</v>
      </c>
      <c r="B60" s="352" t="s">
        <v>572</v>
      </c>
      <c r="C60" s="355" t="s">
        <v>610</v>
      </c>
      <c r="D60" s="353" t="s">
        <v>524</v>
      </c>
      <c r="E60" s="355" t="s">
        <v>582</v>
      </c>
      <c r="F60" s="360">
        <v>2206200000</v>
      </c>
      <c r="G60" s="355" t="s">
        <v>583</v>
      </c>
      <c r="H60" s="359"/>
      <c r="I60" s="350"/>
      <c r="J60" s="350"/>
      <c r="K60" s="350"/>
      <c r="L60" s="353" t="s">
        <v>525</v>
      </c>
      <c r="M60" s="351">
        <f t="shared" si="1"/>
        <v>0</v>
      </c>
      <c r="N60" s="372" t="s">
        <v>651</v>
      </c>
      <c r="O60" s="337" t="s">
        <v>645</v>
      </c>
    </row>
    <row r="61" spans="1:15" ht="28.5">
      <c r="A61" s="355" t="s">
        <v>4</v>
      </c>
      <c r="B61" s="352" t="s">
        <v>573</v>
      </c>
      <c r="C61" s="355" t="s">
        <v>611</v>
      </c>
      <c r="D61" s="353" t="s">
        <v>524</v>
      </c>
      <c r="E61" s="355" t="s">
        <v>582</v>
      </c>
      <c r="F61" s="360">
        <v>1000000000</v>
      </c>
      <c r="G61" s="355" t="s">
        <v>583</v>
      </c>
      <c r="H61" s="359"/>
      <c r="I61" s="350"/>
      <c r="J61" s="350"/>
      <c r="K61" s="350"/>
      <c r="L61" s="353" t="s">
        <v>525</v>
      </c>
      <c r="M61" s="356">
        <f t="shared" si="1"/>
        <v>0</v>
      </c>
      <c r="N61" s="372" t="s">
        <v>652</v>
      </c>
      <c r="O61" s="337" t="s">
        <v>625</v>
      </c>
    </row>
    <row r="62" spans="1:15">
      <c r="A62" s="355" t="s">
        <v>4</v>
      </c>
      <c r="B62" s="352" t="s">
        <v>574</v>
      </c>
      <c r="C62" s="355" t="s">
        <v>612</v>
      </c>
      <c r="D62" s="353" t="s">
        <v>524</v>
      </c>
      <c r="E62" s="355" t="s">
        <v>582</v>
      </c>
      <c r="F62" s="360">
        <v>1393100000</v>
      </c>
      <c r="G62" s="355" t="s">
        <v>583</v>
      </c>
      <c r="H62" s="359"/>
      <c r="I62" s="350"/>
      <c r="J62" s="350"/>
      <c r="K62" s="350"/>
      <c r="L62" s="353" t="s">
        <v>525</v>
      </c>
      <c r="M62" s="356">
        <f t="shared" si="1"/>
        <v>0</v>
      </c>
      <c r="N62" s="372" t="s">
        <v>651</v>
      </c>
      <c r="O62" s="337" t="s">
        <v>645</v>
      </c>
    </row>
    <row r="63" spans="1:15">
      <c r="A63" s="355" t="s">
        <v>4</v>
      </c>
      <c r="B63" s="352" t="s">
        <v>538</v>
      </c>
      <c r="C63" s="355" t="s">
        <v>613</v>
      </c>
      <c r="D63" s="353" t="s">
        <v>519</v>
      </c>
      <c r="E63" s="355" t="s">
        <v>582</v>
      </c>
      <c r="F63" s="360">
        <v>436364000</v>
      </c>
      <c r="G63" s="355" t="s">
        <v>583</v>
      </c>
      <c r="H63" s="359">
        <v>130909200</v>
      </c>
      <c r="I63" s="350" t="s">
        <v>11</v>
      </c>
      <c r="J63" s="350">
        <v>305454800</v>
      </c>
      <c r="K63" s="350" t="s">
        <v>11</v>
      </c>
      <c r="L63" s="353" t="s">
        <v>525</v>
      </c>
      <c r="M63" s="356">
        <f t="shared" si="1"/>
        <v>436364000</v>
      </c>
      <c r="N63" s="353"/>
    </row>
    <row r="64" spans="1:15">
      <c r="A64" s="355" t="s">
        <v>4</v>
      </c>
      <c r="B64" s="352" t="s">
        <v>538</v>
      </c>
      <c r="C64" s="355" t="s">
        <v>614</v>
      </c>
      <c r="D64" s="353" t="s">
        <v>519</v>
      </c>
      <c r="E64" s="355" t="s">
        <v>582</v>
      </c>
      <c r="F64" s="360">
        <v>350000000</v>
      </c>
      <c r="G64" s="355" t="s">
        <v>583</v>
      </c>
      <c r="H64" s="359">
        <v>105000000</v>
      </c>
      <c r="I64" s="350" t="s">
        <v>12</v>
      </c>
      <c r="J64" s="350">
        <v>245000000</v>
      </c>
      <c r="K64" s="350" t="s">
        <v>15</v>
      </c>
      <c r="L64" s="353" t="s">
        <v>525</v>
      </c>
      <c r="M64" s="356">
        <f t="shared" si="1"/>
        <v>350000000</v>
      </c>
      <c r="N64" s="353"/>
    </row>
    <row r="65" spans="1:15">
      <c r="A65" s="355" t="s">
        <v>4</v>
      </c>
      <c r="B65" s="352" t="s">
        <v>575</v>
      </c>
      <c r="C65" s="355" t="s">
        <v>615</v>
      </c>
      <c r="D65" s="353" t="s">
        <v>524</v>
      </c>
      <c r="E65" s="355" t="s">
        <v>582</v>
      </c>
      <c r="F65" s="360">
        <v>1393100000</v>
      </c>
      <c r="G65" s="355" t="s">
        <v>583</v>
      </c>
      <c r="H65" s="359"/>
      <c r="I65" s="350"/>
      <c r="J65" s="350"/>
      <c r="K65" s="350"/>
      <c r="L65" s="353" t="s">
        <v>525</v>
      </c>
      <c r="M65" s="356">
        <f t="shared" si="1"/>
        <v>0</v>
      </c>
      <c r="N65" s="372" t="s">
        <v>651</v>
      </c>
      <c r="O65" s="337" t="s">
        <v>645</v>
      </c>
    </row>
    <row r="66" spans="1:15">
      <c r="A66" s="355" t="s">
        <v>4</v>
      </c>
      <c r="B66" s="352" t="s">
        <v>576</v>
      </c>
      <c r="C66" s="355" t="s">
        <v>616</v>
      </c>
      <c r="D66" s="353" t="s">
        <v>524</v>
      </c>
      <c r="E66" s="355" t="s">
        <v>582</v>
      </c>
      <c r="F66" s="360">
        <v>3172829000</v>
      </c>
      <c r="G66" s="355" t="s">
        <v>583</v>
      </c>
      <c r="H66" s="359">
        <v>951848700</v>
      </c>
      <c r="I66" s="350" t="s">
        <v>11</v>
      </c>
      <c r="J66" s="350">
        <v>2220980300</v>
      </c>
      <c r="K66" s="350" t="s">
        <v>11</v>
      </c>
      <c r="L66" s="353" t="s">
        <v>525</v>
      </c>
      <c r="M66" s="356">
        <f>SUM(H66+J66)</f>
        <v>3172829000</v>
      </c>
      <c r="N66" s="353"/>
    </row>
    <row r="67" spans="1:15" ht="28.5">
      <c r="A67" s="355" t="s">
        <v>4</v>
      </c>
      <c r="B67" s="352" t="s">
        <v>577</v>
      </c>
      <c r="C67" s="355" t="s">
        <v>617</v>
      </c>
      <c r="D67" s="353" t="s">
        <v>524</v>
      </c>
      <c r="E67" s="355" t="s">
        <v>582</v>
      </c>
      <c r="F67" s="360">
        <v>559690000</v>
      </c>
      <c r="G67" s="355" t="s">
        <v>583</v>
      </c>
      <c r="H67" s="359"/>
      <c r="I67" s="350"/>
      <c r="J67" s="350"/>
      <c r="K67" s="350"/>
      <c r="L67" s="353" t="s">
        <v>525</v>
      </c>
      <c r="M67" s="356">
        <f t="shared" si="1"/>
        <v>0</v>
      </c>
      <c r="N67" s="372" t="s">
        <v>653</v>
      </c>
      <c r="O67" s="337" t="s">
        <v>645</v>
      </c>
    </row>
    <row r="68" spans="1:15">
      <c r="A68" s="355" t="s">
        <v>4</v>
      </c>
      <c r="B68" s="352" t="s">
        <v>537</v>
      </c>
      <c r="C68" s="355" t="s">
        <v>618</v>
      </c>
      <c r="D68" s="353" t="s">
        <v>524</v>
      </c>
      <c r="E68" s="355" t="s">
        <v>582</v>
      </c>
      <c r="F68" s="360">
        <v>315800000</v>
      </c>
      <c r="G68" s="355" t="s">
        <v>583</v>
      </c>
      <c r="H68" s="359"/>
      <c r="I68" s="350"/>
      <c r="J68" s="350"/>
      <c r="K68" s="350"/>
      <c r="L68" s="353" t="s">
        <v>525</v>
      </c>
      <c r="M68" s="356">
        <f t="shared" si="1"/>
        <v>0</v>
      </c>
      <c r="N68" s="372" t="s">
        <v>651</v>
      </c>
      <c r="O68" s="337" t="s">
        <v>645</v>
      </c>
    </row>
    <row r="69" spans="1:15">
      <c r="A69" s="355" t="s">
        <v>4</v>
      </c>
      <c r="B69" s="352" t="s">
        <v>578</v>
      </c>
      <c r="C69" s="355" t="s">
        <v>619</v>
      </c>
      <c r="D69" s="353" t="s">
        <v>519</v>
      </c>
      <c r="E69" s="355" t="s">
        <v>582</v>
      </c>
      <c r="F69" s="360">
        <v>98800000</v>
      </c>
      <c r="G69" s="355" t="s">
        <v>583</v>
      </c>
      <c r="H69" s="359">
        <v>29640000</v>
      </c>
      <c r="I69" s="350" t="s">
        <v>15</v>
      </c>
      <c r="J69" s="350">
        <v>69160000</v>
      </c>
      <c r="K69" s="350" t="s">
        <v>11</v>
      </c>
      <c r="L69" s="353" t="s">
        <v>525</v>
      </c>
      <c r="M69" s="356">
        <f t="shared" si="1"/>
        <v>98800000</v>
      </c>
      <c r="N69" s="353" t="s">
        <v>651</v>
      </c>
    </row>
    <row r="70" spans="1:15">
      <c r="A70" s="355" t="s">
        <v>4</v>
      </c>
      <c r="B70" s="352" t="s">
        <v>579</v>
      </c>
      <c r="C70" s="355" t="s">
        <v>620</v>
      </c>
      <c r="D70" s="353" t="s">
        <v>524</v>
      </c>
      <c r="E70" s="355" t="s">
        <v>582</v>
      </c>
      <c r="F70" s="360">
        <v>0</v>
      </c>
      <c r="G70" s="355" t="s">
        <v>583</v>
      </c>
      <c r="H70" s="359"/>
      <c r="I70" s="350"/>
      <c r="J70" s="350"/>
      <c r="K70" s="350"/>
      <c r="L70" s="353" t="s">
        <v>525</v>
      </c>
      <c r="M70" s="356">
        <f t="shared" si="1"/>
        <v>0</v>
      </c>
      <c r="N70" s="372" t="s">
        <v>651</v>
      </c>
      <c r="O70" s="337" t="s">
        <v>645</v>
      </c>
    </row>
    <row r="71" spans="1:15">
      <c r="A71" s="355" t="s">
        <v>4</v>
      </c>
      <c r="B71" s="352" t="s">
        <v>531</v>
      </c>
      <c r="C71" s="355" t="s">
        <v>621</v>
      </c>
      <c r="D71" s="353" t="s">
        <v>519</v>
      </c>
      <c r="E71" s="355" t="s">
        <v>582</v>
      </c>
      <c r="F71" s="360">
        <v>68500000</v>
      </c>
      <c r="G71" s="355" t="s">
        <v>583</v>
      </c>
      <c r="H71" s="359">
        <v>68500000</v>
      </c>
      <c r="I71" s="350" t="s">
        <v>14</v>
      </c>
      <c r="J71" s="350"/>
      <c r="K71" s="350" t="s">
        <v>520</v>
      </c>
      <c r="L71" s="353" t="s">
        <v>525</v>
      </c>
      <c r="M71" s="356">
        <f t="shared" si="1"/>
        <v>68500000</v>
      </c>
      <c r="N71" s="353"/>
    </row>
    <row r="72" spans="1:15">
      <c r="A72" s="355" t="s">
        <v>329</v>
      </c>
      <c r="B72" s="352" t="s">
        <v>531</v>
      </c>
      <c r="C72" s="355" t="s">
        <v>622</v>
      </c>
      <c r="D72" s="353" t="s">
        <v>524</v>
      </c>
      <c r="E72" s="355" t="s">
        <v>582</v>
      </c>
      <c r="F72" s="360">
        <v>0</v>
      </c>
      <c r="G72" s="355" t="s">
        <v>583</v>
      </c>
      <c r="H72" s="359"/>
      <c r="I72" s="350"/>
      <c r="J72" s="350"/>
      <c r="K72" s="350"/>
      <c r="L72" s="353" t="s">
        <v>525</v>
      </c>
      <c r="M72" s="356">
        <f t="shared" si="1"/>
        <v>0</v>
      </c>
      <c r="N72" s="372" t="s">
        <v>651</v>
      </c>
      <c r="O72" s="337" t="s">
        <v>645</v>
      </c>
    </row>
    <row r="73" spans="1:15">
      <c r="A73" s="355" t="s">
        <v>4</v>
      </c>
      <c r="B73" s="352" t="s">
        <v>531</v>
      </c>
      <c r="C73" s="355" t="s">
        <v>623</v>
      </c>
      <c r="D73" s="353" t="s">
        <v>519</v>
      </c>
      <c r="E73" s="355" t="s">
        <v>582</v>
      </c>
      <c r="F73" s="360">
        <v>90000000</v>
      </c>
      <c r="G73" s="355" t="s">
        <v>583</v>
      </c>
      <c r="H73" s="359">
        <v>90000000</v>
      </c>
      <c r="I73" s="350" t="s">
        <v>12</v>
      </c>
      <c r="J73" s="350"/>
      <c r="K73" s="350" t="s">
        <v>520</v>
      </c>
      <c r="L73" s="353" t="s">
        <v>525</v>
      </c>
      <c r="M73" s="356">
        <f t="shared" si="1"/>
        <v>90000000</v>
      </c>
      <c r="N73" s="353"/>
    </row>
    <row r="74" spans="1:15">
      <c r="A74" s="355" t="s">
        <v>4</v>
      </c>
      <c r="B74" s="352" t="s">
        <v>580</v>
      </c>
      <c r="C74" s="355" t="s">
        <v>624</v>
      </c>
      <c r="D74" s="353" t="s">
        <v>524</v>
      </c>
      <c r="E74" s="355" t="s">
        <v>582</v>
      </c>
      <c r="F74" s="360">
        <v>63162000</v>
      </c>
      <c r="G74" s="355" t="s">
        <v>583</v>
      </c>
      <c r="H74" s="359"/>
      <c r="I74" s="350"/>
      <c r="J74" s="350"/>
      <c r="K74" s="350"/>
      <c r="L74" s="353" t="s">
        <v>525</v>
      </c>
      <c r="M74" s="356">
        <f t="shared" si="1"/>
        <v>0</v>
      </c>
      <c r="N74" s="372" t="s">
        <v>651</v>
      </c>
      <c r="O74" s="337" t="s">
        <v>645</v>
      </c>
    </row>
    <row r="75" spans="1:15" s="343" customFormat="1">
      <c r="A75" s="355" t="s">
        <v>4</v>
      </c>
      <c r="B75" s="352" t="s">
        <v>539</v>
      </c>
      <c r="C75" s="355" t="s">
        <v>547</v>
      </c>
      <c r="D75" s="353" t="s">
        <v>524</v>
      </c>
      <c r="E75" s="355" t="s">
        <v>582</v>
      </c>
      <c r="F75" s="360">
        <v>190000000</v>
      </c>
      <c r="G75" s="355" t="s">
        <v>583</v>
      </c>
      <c r="H75" s="359"/>
      <c r="I75" s="350"/>
      <c r="J75" s="350"/>
      <c r="K75" s="350"/>
      <c r="L75" s="353" t="s">
        <v>525</v>
      </c>
      <c r="M75" s="356">
        <f t="shared" ref="M75:M81" si="2">SUM(H75+J75)</f>
        <v>0</v>
      </c>
      <c r="N75" s="372" t="s">
        <v>556</v>
      </c>
      <c r="O75" s="343" t="s">
        <v>645</v>
      </c>
    </row>
    <row r="76" spans="1:15" s="343" customFormat="1" ht="28.5">
      <c r="A76" s="355" t="s">
        <v>4</v>
      </c>
      <c r="B76" s="352" t="s">
        <v>532</v>
      </c>
      <c r="C76" s="355" t="s">
        <v>548</v>
      </c>
      <c r="D76" s="353" t="s">
        <v>524</v>
      </c>
      <c r="E76" s="355" t="s">
        <v>582</v>
      </c>
      <c r="F76" s="360">
        <v>355232000</v>
      </c>
      <c r="G76" s="355" t="s">
        <v>583</v>
      </c>
      <c r="H76" s="359"/>
      <c r="I76" s="350"/>
      <c r="J76" s="350"/>
      <c r="K76" s="350"/>
      <c r="L76" s="353" t="s">
        <v>525</v>
      </c>
      <c r="M76" s="356">
        <f t="shared" si="2"/>
        <v>0</v>
      </c>
      <c r="N76" s="372" t="s">
        <v>654</v>
      </c>
      <c r="O76" s="343" t="s">
        <v>645</v>
      </c>
    </row>
    <row r="77" spans="1:15" s="345" customFormat="1" ht="28.5">
      <c r="A77" s="355" t="s">
        <v>4</v>
      </c>
      <c r="B77" s="352" t="s">
        <v>551</v>
      </c>
      <c r="C77" s="355" t="s">
        <v>549</v>
      </c>
      <c r="D77" s="353" t="s">
        <v>524</v>
      </c>
      <c r="E77" s="355" t="s">
        <v>582</v>
      </c>
      <c r="F77" s="360">
        <v>697917000</v>
      </c>
      <c r="G77" s="355" t="s">
        <v>583</v>
      </c>
      <c r="H77" s="359"/>
      <c r="I77" s="350"/>
      <c r="J77" s="350"/>
      <c r="K77" s="350"/>
      <c r="L77" s="353" t="s">
        <v>525</v>
      </c>
      <c r="M77" s="356">
        <f t="shared" si="2"/>
        <v>0</v>
      </c>
      <c r="N77" s="372" t="s">
        <v>655</v>
      </c>
      <c r="O77" s="345" t="s">
        <v>625</v>
      </c>
    </row>
    <row r="78" spans="1:15" s="343" customFormat="1" ht="30" customHeight="1">
      <c r="A78" s="355" t="s">
        <v>4</v>
      </c>
      <c r="B78" s="352" t="s">
        <v>535</v>
      </c>
      <c r="C78" s="355" t="s">
        <v>522</v>
      </c>
      <c r="D78" s="353" t="s">
        <v>524</v>
      </c>
      <c r="E78" s="355" t="s">
        <v>582</v>
      </c>
      <c r="F78" s="360">
        <v>6000000000</v>
      </c>
      <c r="G78" s="355" t="s">
        <v>583</v>
      </c>
      <c r="H78" s="359"/>
      <c r="I78" s="350"/>
      <c r="J78" s="350"/>
      <c r="K78" s="350"/>
      <c r="L78" s="353" t="s">
        <v>525</v>
      </c>
      <c r="M78" s="356">
        <f t="shared" si="2"/>
        <v>0</v>
      </c>
      <c r="N78" s="372" t="s">
        <v>643</v>
      </c>
      <c r="O78" s="343" t="s">
        <v>625</v>
      </c>
    </row>
    <row r="79" spans="1:15" ht="15" customHeight="1">
      <c r="O79" s="343" t="s">
        <v>625</v>
      </c>
    </row>
    <row r="80" spans="1:15">
      <c r="A80" s="355" t="s">
        <v>4</v>
      </c>
      <c r="B80" s="352" t="s">
        <v>529</v>
      </c>
      <c r="C80" s="355" t="s">
        <v>526</v>
      </c>
      <c r="D80" s="353" t="s">
        <v>524</v>
      </c>
      <c r="E80" s="355" t="s">
        <v>582</v>
      </c>
      <c r="F80" s="360">
        <v>289736000</v>
      </c>
      <c r="G80" s="355" t="s">
        <v>583</v>
      </c>
      <c r="H80" s="359"/>
      <c r="I80" s="350"/>
      <c r="J80" s="350"/>
      <c r="K80" s="350"/>
      <c r="L80" s="353" t="s">
        <v>525</v>
      </c>
      <c r="M80" s="356">
        <f t="shared" si="2"/>
        <v>0</v>
      </c>
      <c r="N80" s="372" t="s">
        <v>651</v>
      </c>
      <c r="O80" s="343" t="s">
        <v>645</v>
      </c>
    </row>
    <row r="81" spans="1:14">
      <c r="A81" s="365" t="s">
        <v>4</v>
      </c>
      <c r="B81" s="366" t="s">
        <v>531</v>
      </c>
      <c r="C81" s="366" t="s">
        <v>528</v>
      </c>
      <c r="D81" s="365" t="s">
        <v>519</v>
      </c>
      <c r="E81" s="365" t="s">
        <v>14</v>
      </c>
      <c r="F81" s="367">
        <v>28570000</v>
      </c>
      <c r="G81" s="365"/>
      <c r="H81" s="368">
        <v>28570000</v>
      </c>
      <c r="I81" s="365" t="s">
        <v>14</v>
      </c>
      <c r="J81" s="368">
        <v>0</v>
      </c>
      <c r="K81" s="365" t="s">
        <v>520</v>
      </c>
      <c r="L81" s="365" t="s">
        <v>525</v>
      </c>
      <c r="M81" s="369">
        <f t="shared" si="2"/>
        <v>28570000</v>
      </c>
      <c r="N81" s="357"/>
    </row>
    <row r="82" spans="1:14">
      <c r="A82" s="365" t="s">
        <v>4</v>
      </c>
      <c r="B82" s="366" t="s">
        <v>531</v>
      </c>
      <c r="C82" s="366" t="s">
        <v>521</v>
      </c>
      <c r="D82" s="365" t="s">
        <v>519</v>
      </c>
      <c r="E82" s="365" t="s">
        <v>14</v>
      </c>
      <c r="F82" s="367">
        <v>83800000</v>
      </c>
      <c r="G82" s="365"/>
      <c r="H82" s="368">
        <v>83800000</v>
      </c>
      <c r="I82" s="365" t="s">
        <v>15</v>
      </c>
      <c r="J82" s="368">
        <v>0</v>
      </c>
      <c r="K82" s="365" t="s">
        <v>520</v>
      </c>
      <c r="L82" s="365" t="s">
        <v>525</v>
      </c>
      <c r="M82" s="369">
        <f t="shared" ref="M82" si="3">SUM(H82+J82)</f>
        <v>83800000</v>
      </c>
      <c r="N82" s="357"/>
    </row>
    <row r="83" spans="1:14" s="345" customFormat="1" ht="31.5" customHeight="1">
      <c r="A83" s="365" t="s">
        <v>329</v>
      </c>
      <c r="B83" s="366" t="s">
        <v>552</v>
      </c>
      <c r="C83" s="366" t="s">
        <v>550</v>
      </c>
      <c r="D83" s="365" t="s">
        <v>524</v>
      </c>
      <c r="E83" s="365" t="s">
        <v>11</v>
      </c>
      <c r="F83" s="367">
        <v>99000000</v>
      </c>
      <c r="G83" s="365"/>
      <c r="H83" s="368">
        <v>99000000</v>
      </c>
      <c r="I83" s="365" t="s">
        <v>11</v>
      </c>
      <c r="J83" s="368">
        <v>0</v>
      </c>
      <c r="K83" s="365" t="s">
        <v>520</v>
      </c>
      <c r="L83" s="365" t="s">
        <v>525</v>
      </c>
      <c r="M83" s="369">
        <f>SUM(H83+J83)</f>
        <v>99000000</v>
      </c>
      <c r="N83" s="370"/>
    </row>
    <row r="84" spans="1:14" ht="28.5">
      <c r="A84" s="365" t="s">
        <v>4</v>
      </c>
      <c r="B84" s="366" t="s">
        <v>530</v>
      </c>
      <c r="C84" s="366" t="s">
        <v>546</v>
      </c>
      <c r="D84" s="365" t="s">
        <v>519</v>
      </c>
      <c r="E84" s="365" t="s">
        <v>15</v>
      </c>
      <c r="F84" s="367">
        <v>60000000</v>
      </c>
      <c r="G84" s="365"/>
      <c r="H84" s="368">
        <v>18000000</v>
      </c>
      <c r="I84" s="365" t="s">
        <v>14</v>
      </c>
      <c r="J84" s="368">
        <v>42000000</v>
      </c>
      <c r="K84" s="365" t="s">
        <v>15</v>
      </c>
      <c r="L84" s="365" t="s">
        <v>525</v>
      </c>
      <c r="M84" s="369">
        <f>SUM(H84+J84)</f>
        <v>60000000</v>
      </c>
      <c r="N84" s="370"/>
    </row>
    <row r="85" spans="1:14">
      <c r="A85" s="365" t="s">
        <v>329</v>
      </c>
      <c r="B85" s="366" t="s">
        <v>626</v>
      </c>
      <c r="C85" s="366" t="s">
        <v>627</v>
      </c>
      <c r="D85" s="365" t="s">
        <v>524</v>
      </c>
      <c r="E85" s="365" t="s">
        <v>15</v>
      </c>
      <c r="F85" s="367">
        <v>18480000</v>
      </c>
      <c r="G85" s="365"/>
      <c r="H85" s="368">
        <v>18480000</v>
      </c>
      <c r="I85" s="365" t="s">
        <v>16</v>
      </c>
      <c r="J85" s="373"/>
      <c r="K85" s="365"/>
      <c r="L85" s="365" t="s">
        <v>525</v>
      </c>
      <c r="M85" s="369">
        <f>SUM(H85+J85)</f>
        <v>18480000</v>
      </c>
      <c r="N85" s="357"/>
    </row>
    <row r="86" spans="1:14" ht="28.5">
      <c r="A86" s="352" t="s">
        <v>4</v>
      </c>
      <c r="B86" s="352" t="s">
        <v>538</v>
      </c>
      <c r="C86" s="352" t="s">
        <v>545</v>
      </c>
      <c r="D86" s="372" t="s">
        <v>519</v>
      </c>
      <c r="E86" s="352" t="s">
        <v>11</v>
      </c>
      <c r="F86" s="377">
        <v>500000000</v>
      </c>
      <c r="G86" s="355"/>
      <c r="H86" s="377">
        <v>150000000</v>
      </c>
      <c r="I86" s="372" t="s">
        <v>11</v>
      </c>
      <c r="J86" s="377">
        <v>0</v>
      </c>
      <c r="K86" s="372" t="s">
        <v>520</v>
      </c>
      <c r="L86" s="352" t="s">
        <v>525</v>
      </c>
      <c r="M86" s="378">
        <f>SUM(H86+J86)</f>
        <v>150000000</v>
      </c>
      <c r="N86" s="379" t="s">
        <v>657</v>
      </c>
    </row>
    <row r="87" spans="1:14">
      <c r="A87" s="389" t="s">
        <v>329</v>
      </c>
      <c r="B87" s="389" t="s">
        <v>566</v>
      </c>
      <c r="C87" s="389" t="s">
        <v>658</v>
      </c>
      <c r="D87" s="389" t="s">
        <v>524</v>
      </c>
      <c r="E87" s="389" t="s">
        <v>11</v>
      </c>
      <c r="F87" s="393">
        <v>1000000000</v>
      </c>
      <c r="G87" s="388"/>
      <c r="H87" s="393">
        <f>F87</f>
        <v>1000000000</v>
      </c>
      <c r="I87" s="389" t="s">
        <v>11</v>
      </c>
      <c r="J87" s="393">
        <v>0</v>
      </c>
      <c r="K87" s="389" t="s">
        <v>520</v>
      </c>
      <c r="L87" s="389" t="s">
        <v>525</v>
      </c>
      <c r="M87" s="393">
        <f t="shared" ref="M87" si="4">SUM(H87+J87)</f>
        <v>1000000000</v>
      </c>
      <c r="N87" s="396" t="s">
        <v>661</v>
      </c>
    </row>
    <row r="88" spans="1:14" ht="42.75">
      <c r="A88" s="389" t="s">
        <v>4</v>
      </c>
      <c r="B88" s="389" t="s">
        <v>534</v>
      </c>
      <c r="C88" s="389" t="s">
        <v>527</v>
      </c>
      <c r="D88" s="392" t="s">
        <v>519</v>
      </c>
      <c r="E88" s="389" t="s">
        <v>11</v>
      </c>
      <c r="F88" s="393">
        <v>3016200000</v>
      </c>
      <c r="G88" s="388"/>
      <c r="H88" s="393">
        <v>904860000</v>
      </c>
      <c r="I88" s="389" t="s">
        <v>11</v>
      </c>
      <c r="J88" s="393">
        <v>0</v>
      </c>
      <c r="K88" s="392" t="s">
        <v>520</v>
      </c>
      <c r="L88" s="389" t="s">
        <v>525</v>
      </c>
      <c r="M88" s="394">
        <f>SUM(H88+J88)</f>
        <v>904860000</v>
      </c>
      <c r="N88" s="395" t="s">
        <v>662</v>
      </c>
    </row>
    <row r="89" spans="1:14" ht="28.5">
      <c r="A89" s="389" t="s">
        <v>4</v>
      </c>
      <c r="B89" s="389" t="s">
        <v>530</v>
      </c>
      <c r="C89" s="389" t="s">
        <v>640</v>
      </c>
      <c r="D89" s="392" t="s">
        <v>519</v>
      </c>
      <c r="E89" s="389" t="s">
        <v>11</v>
      </c>
      <c r="F89" s="393">
        <v>60000000</v>
      </c>
      <c r="G89" s="388"/>
      <c r="H89" s="393">
        <v>60000000</v>
      </c>
      <c r="I89" s="392" t="s">
        <v>11</v>
      </c>
      <c r="J89" s="393">
        <v>0</v>
      </c>
      <c r="K89" s="392" t="s">
        <v>520</v>
      </c>
      <c r="L89" s="389" t="s">
        <v>525</v>
      </c>
      <c r="M89" s="394">
        <f>SUM(H89+J89)</f>
        <v>60000000</v>
      </c>
      <c r="N89" s="395" t="s">
        <v>665</v>
      </c>
    </row>
    <row r="90" spans="1:14">
      <c r="A90" s="389" t="s">
        <v>329</v>
      </c>
      <c r="B90" s="389" t="s">
        <v>641</v>
      </c>
      <c r="C90" s="389" t="s">
        <v>642</v>
      </c>
      <c r="D90" s="392" t="s">
        <v>519</v>
      </c>
      <c r="E90" s="389" t="s">
        <v>11</v>
      </c>
      <c r="F90" s="393">
        <v>247000000</v>
      </c>
      <c r="G90" s="388"/>
      <c r="H90" s="393">
        <f>F90*30%</f>
        <v>74100000</v>
      </c>
      <c r="I90" s="392" t="s">
        <v>11</v>
      </c>
      <c r="J90" s="393">
        <v>0</v>
      </c>
      <c r="K90" s="392" t="s">
        <v>520</v>
      </c>
      <c r="L90" s="389" t="s">
        <v>525</v>
      </c>
      <c r="M90" s="394">
        <f>SUM(H90+J90)</f>
        <v>74100000</v>
      </c>
      <c r="N90" s="395" t="s">
        <v>660</v>
      </c>
    </row>
  </sheetData>
  <autoFilter ref="A1:N6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M99"/>
  <sheetViews>
    <sheetView zoomScaleNormal="100" workbookViewId="0">
      <selection activeCell="D32" sqref="D32"/>
    </sheetView>
  </sheetViews>
  <sheetFormatPr defaultRowHeight="15"/>
  <cols>
    <col min="1" max="1" width="8.42578125" customWidth="1"/>
    <col min="2" max="2" width="40.42578125" customWidth="1"/>
    <col min="3" max="3" width="21" bestFit="1" customWidth="1"/>
    <col min="4" max="4" width="79.5703125" customWidth="1"/>
    <col min="5" max="5" width="18.28515625" customWidth="1"/>
    <col min="6" max="6" width="14.28515625" customWidth="1"/>
    <col min="7" max="7" width="16.42578125" customWidth="1"/>
    <col min="8" max="8" width="6.7109375" customWidth="1"/>
    <col min="9" max="9" width="13.85546875" customWidth="1"/>
    <col min="10" max="10" width="7.42578125" customWidth="1"/>
    <col min="11" max="11" width="16" customWidth="1"/>
    <col min="12" max="12" width="7.42578125" customWidth="1"/>
    <col min="13" max="13" width="15.7109375" customWidth="1"/>
    <col min="14" max="14" width="11.7109375" customWidth="1"/>
    <col min="15" max="15" width="15.140625" bestFit="1" customWidth="1"/>
  </cols>
  <sheetData>
    <row r="1" spans="1:13" ht="15.75">
      <c r="A1" s="408" t="s">
        <v>701</v>
      </c>
      <c r="B1" s="408" t="s">
        <v>699</v>
      </c>
      <c r="C1" s="408" t="s">
        <v>704</v>
      </c>
      <c r="D1" s="408" t="s">
        <v>700</v>
      </c>
      <c r="E1" s="408" t="s">
        <v>702</v>
      </c>
      <c r="F1" s="408" t="s">
        <v>703</v>
      </c>
      <c r="G1" s="433">
        <f>I1+K1+M1</f>
        <v>2966000178</v>
      </c>
      <c r="H1" s="434" t="s">
        <v>4</v>
      </c>
      <c r="I1" s="435">
        <f>SUMIFS(E2:E999,A2:A999,"UNI")</f>
        <v>194800000</v>
      </c>
      <c r="J1" s="436" t="s">
        <v>329</v>
      </c>
      <c r="K1" s="437">
        <f>SUMIFS(E2:E999,A2:A999,"G2B")</f>
        <v>1767291000</v>
      </c>
      <c r="L1" s="439" t="s">
        <v>3</v>
      </c>
      <c r="M1" s="438">
        <f>SUMIFS(E2:E999,A2:A999,"ITO")</f>
        <v>1003909178</v>
      </c>
    </row>
    <row r="2" spans="1:13" ht="15.75">
      <c r="A2" s="405" t="s">
        <v>329</v>
      </c>
      <c r="B2" s="405" t="s">
        <v>552</v>
      </c>
      <c r="C2" s="405" t="s">
        <v>803</v>
      </c>
      <c r="D2" s="405" t="s">
        <v>804</v>
      </c>
      <c r="E2" s="406">
        <v>17500000</v>
      </c>
      <c r="F2" s="409">
        <v>46023</v>
      </c>
      <c r="G2" s="440" t="s">
        <v>27</v>
      </c>
    </row>
    <row r="3" spans="1:13">
      <c r="A3" s="405" t="s">
        <v>4</v>
      </c>
      <c r="B3" s="405" t="s">
        <v>698</v>
      </c>
      <c r="C3" s="405" t="s">
        <v>785</v>
      </c>
      <c r="D3" s="405" t="s">
        <v>789</v>
      </c>
      <c r="E3" s="406">
        <v>40000000</v>
      </c>
      <c r="F3" s="409">
        <v>46023</v>
      </c>
    </row>
    <row r="4" spans="1:13">
      <c r="A4" s="405" t="s">
        <v>4</v>
      </c>
      <c r="B4" s="405" t="s">
        <v>737</v>
      </c>
      <c r="C4" s="405" t="s">
        <v>738</v>
      </c>
      <c r="D4" s="405" t="s">
        <v>805</v>
      </c>
      <c r="E4" s="406">
        <v>15800000</v>
      </c>
      <c r="F4" s="409">
        <v>46028</v>
      </c>
    </row>
    <row r="5" spans="1:13">
      <c r="A5" s="405" t="s">
        <v>4</v>
      </c>
      <c r="B5" s="405" t="s">
        <v>538</v>
      </c>
      <c r="C5" s="405" t="s">
        <v>806</v>
      </c>
      <c r="D5" s="405" t="s">
        <v>807</v>
      </c>
      <c r="E5" s="406">
        <v>26200000</v>
      </c>
      <c r="F5" s="409">
        <v>46041</v>
      </c>
    </row>
    <row r="6" spans="1:13">
      <c r="A6" s="405" t="s">
        <v>4</v>
      </c>
      <c r="B6" s="405" t="s">
        <v>679</v>
      </c>
      <c r="C6" s="405" t="s">
        <v>808</v>
      </c>
      <c r="D6" s="405" t="s">
        <v>807</v>
      </c>
      <c r="E6" s="406">
        <v>37800000</v>
      </c>
      <c r="F6" s="409">
        <v>46042</v>
      </c>
    </row>
    <row r="7" spans="1:13">
      <c r="A7" s="405" t="s">
        <v>4</v>
      </c>
      <c r="B7" s="405" t="s">
        <v>668</v>
      </c>
      <c r="C7" s="405" t="s">
        <v>787</v>
      </c>
      <c r="D7" s="405" t="s">
        <v>788</v>
      </c>
      <c r="E7" s="406">
        <v>75000000</v>
      </c>
      <c r="F7" s="409">
        <v>46052</v>
      </c>
    </row>
    <row r="8" spans="1:13">
      <c r="A8" s="405" t="s">
        <v>329</v>
      </c>
      <c r="B8" s="405" t="s">
        <v>734</v>
      </c>
      <c r="C8" s="405" t="s">
        <v>792</v>
      </c>
      <c r="D8" s="405" t="s">
        <v>793</v>
      </c>
      <c r="E8" s="406">
        <v>296291000</v>
      </c>
      <c r="F8" s="409">
        <v>46052</v>
      </c>
    </row>
    <row r="9" spans="1:13">
      <c r="A9" s="405" t="s">
        <v>3</v>
      </c>
      <c r="B9" s="405" t="s">
        <v>26</v>
      </c>
      <c r="C9" s="405" t="s">
        <v>798</v>
      </c>
      <c r="D9" s="405" t="s">
        <v>799</v>
      </c>
      <c r="E9" s="406">
        <v>1003909178</v>
      </c>
      <c r="F9" s="409">
        <v>46053</v>
      </c>
    </row>
    <row r="10" spans="1:13">
      <c r="A10" s="405" t="s">
        <v>329</v>
      </c>
      <c r="B10" s="405" t="s">
        <v>675</v>
      </c>
      <c r="C10" s="405" t="s">
        <v>801</v>
      </c>
      <c r="D10" s="405" t="s">
        <v>802</v>
      </c>
      <c r="E10" s="406">
        <v>1453500000</v>
      </c>
      <c r="F10" s="409">
        <v>46065</v>
      </c>
    </row>
    <row r="11" spans="1:13">
      <c r="A11" s="405"/>
      <c r="B11" s="405"/>
      <c r="C11" s="405"/>
      <c r="D11" s="405"/>
      <c r="E11" s="406"/>
      <c r="F11" s="409"/>
    </row>
    <row r="12" spans="1:13">
      <c r="A12" s="405"/>
      <c r="B12" s="405"/>
      <c r="C12" s="405"/>
      <c r="D12" s="405"/>
      <c r="E12" s="406"/>
      <c r="F12" s="409"/>
    </row>
    <row r="13" spans="1:13">
      <c r="A13" s="405"/>
      <c r="B13" s="405"/>
      <c r="C13" s="405"/>
      <c r="D13" s="405"/>
      <c r="E13" s="406"/>
      <c r="F13" s="409"/>
    </row>
    <row r="14" spans="1:13">
      <c r="A14" s="405"/>
      <c r="B14" s="405"/>
      <c r="C14" s="405"/>
      <c r="D14" s="405"/>
      <c r="E14" s="406"/>
      <c r="F14" s="409"/>
    </row>
    <row r="15" spans="1:13">
      <c r="A15" s="405"/>
      <c r="B15" s="405"/>
      <c r="C15" s="405"/>
      <c r="D15" s="405"/>
      <c r="E15" s="406"/>
      <c r="F15" s="409"/>
    </row>
    <row r="16" spans="1:13">
      <c r="A16" s="405"/>
      <c r="B16" s="405"/>
      <c r="C16" s="405"/>
      <c r="D16" s="405"/>
      <c r="E16" s="406"/>
      <c r="F16" s="409"/>
    </row>
    <row r="17" spans="1:6">
      <c r="A17" s="405"/>
      <c r="B17" s="405"/>
      <c r="C17" s="405"/>
      <c r="D17" s="405"/>
      <c r="E17" s="406"/>
      <c r="F17" s="409"/>
    </row>
    <row r="18" spans="1:6">
      <c r="A18" s="405"/>
      <c r="B18" s="405"/>
      <c r="C18" s="405"/>
      <c r="D18" s="405"/>
      <c r="E18" s="406"/>
      <c r="F18" s="409"/>
    </row>
    <row r="19" spans="1:6">
      <c r="A19" s="405"/>
      <c r="B19" s="405"/>
      <c r="C19" s="405"/>
      <c r="D19" s="405"/>
      <c r="E19" s="406"/>
      <c r="F19" s="409"/>
    </row>
    <row r="20" spans="1:6">
      <c r="A20" s="405"/>
      <c r="B20" s="405"/>
      <c r="C20" s="405"/>
      <c r="D20" s="405"/>
      <c r="E20" s="406"/>
      <c r="F20" s="409"/>
    </row>
    <row r="21" spans="1:6">
      <c r="A21" s="405"/>
      <c r="B21" s="405"/>
      <c r="C21" s="405"/>
      <c r="D21" s="405"/>
      <c r="E21" s="406"/>
      <c r="F21" s="409"/>
    </row>
    <row r="22" spans="1:6">
      <c r="A22" s="405"/>
      <c r="B22" s="405"/>
      <c r="C22" s="405"/>
      <c r="D22" s="405"/>
      <c r="E22" s="406"/>
      <c r="F22" s="409"/>
    </row>
    <row r="23" spans="1:6">
      <c r="A23" s="407"/>
      <c r="B23" s="407"/>
      <c r="C23" s="407"/>
      <c r="D23" s="407"/>
      <c r="E23" s="407"/>
      <c r="F23" s="407"/>
    </row>
    <row r="24" spans="1:6">
      <c r="A24" s="407"/>
      <c r="B24" s="407"/>
      <c r="C24" s="407"/>
      <c r="D24" s="407"/>
      <c r="E24" s="407"/>
      <c r="F24" s="407"/>
    </row>
    <row r="25" spans="1:6">
      <c r="A25" s="407"/>
      <c r="B25" s="407"/>
      <c r="C25" s="407"/>
      <c r="D25" s="407"/>
      <c r="E25" s="407"/>
      <c r="F25" s="407"/>
    </row>
    <row r="26" spans="1:6">
      <c r="A26" s="407"/>
      <c r="B26" s="407"/>
      <c r="C26" s="407"/>
      <c r="D26" s="407"/>
      <c r="E26" s="407"/>
      <c r="F26" s="407"/>
    </row>
    <row r="27" spans="1:6">
      <c r="A27" s="407"/>
      <c r="B27" s="407"/>
      <c r="C27" s="407"/>
      <c r="D27" s="407"/>
      <c r="E27" s="407"/>
      <c r="F27" s="407"/>
    </row>
    <row r="28" spans="1:6">
      <c r="A28" s="407"/>
      <c r="B28" s="407"/>
      <c r="C28" s="407"/>
      <c r="D28" s="407"/>
      <c r="E28" s="407"/>
      <c r="F28" s="407"/>
    </row>
    <row r="29" spans="1:6">
      <c r="A29" s="407"/>
      <c r="B29" s="407"/>
      <c r="C29" s="407"/>
      <c r="D29" s="407"/>
      <c r="E29" s="407"/>
      <c r="F29" s="407"/>
    </row>
    <row r="30" spans="1:6">
      <c r="A30" s="407"/>
      <c r="B30" s="407"/>
      <c r="C30" s="407"/>
      <c r="D30" s="407"/>
      <c r="E30" s="407"/>
      <c r="F30" s="407"/>
    </row>
    <row r="31" spans="1:6">
      <c r="A31" s="407"/>
      <c r="B31" s="407"/>
      <c r="C31" s="407"/>
      <c r="D31" s="407"/>
      <c r="E31" s="407"/>
      <c r="F31" s="407"/>
    </row>
    <row r="32" spans="1:6">
      <c r="A32" s="407"/>
      <c r="B32" s="407"/>
      <c r="C32" s="407"/>
      <c r="D32" s="407"/>
      <c r="E32" s="407"/>
      <c r="F32" s="407"/>
    </row>
    <row r="33" spans="1:6">
      <c r="A33" s="407"/>
      <c r="B33" s="407"/>
      <c r="C33" s="407"/>
      <c r="D33" s="407"/>
      <c r="E33" s="407"/>
      <c r="F33" s="407"/>
    </row>
    <row r="34" spans="1:6">
      <c r="A34" s="407"/>
      <c r="B34" s="407"/>
      <c r="C34" s="407"/>
      <c r="D34" s="407"/>
      <c r="E34" s="407"/>
      <c r="F34" s="407"/>
    </row>
    <row r="35" spans="1:6">
      <c r="A35" s="407"/>
      <c r="B35" s="407"/>
      <c r="C35" s="407"/>
      <c r="D35" s="407"/>
      <c r="E35" s="407"/>
      <c r="F35" s="407"/>
    </row>
    <row r="36" spans="1:6">
      <c r="A36" s="407"/>
      <c r="B36" s="407"/>
      <c r="C36" s="407"/>
      <c r="D36" s="407"/>
      <c r="E36" s="407"/>
      <c r="F36" s="407"/>
    </row>
    <row r="37" spans="1:6">
      <c r="A37" s="407"/>
      <c r="B37" s="407"/>
      <c r="C37" s="407"/>
      <c r="D37" s="407"/>
      <c r="E37" s="407"/>
      <c r="F37" s="407"/>
    </row>
    <row r="38" spans="1:6">
      <c r="A38" s="407"/>
      <c r="B38" s="407"/>
      <c r="C38" s="407"/>
      <c r="D38" s="407"/>
      <c r="E38" s="407"/>
      <c r="F38" s="407"/>
    </row>
    <row r="39" spans="1:6">
      <c r="A39" s="407"/>
      <c r="B39" s="407"/>
      <c r="C39" s="407"/>
      <c r="D39" s="407"/>
      <c r="E39" s="407"/>
      <c r="F39" s="407"/>
    </row>
    <row r="40" spans="1:6">
      <c r="A40" s="407"/>
      <c r="B40" s="407"/>
      <c r="C40" s="407"/>
      <c r="D40" s="407"/>
      <c r="E40" s="407"/>
      <c r="F40" s="407"/>
    </row>
    <row r="41" spans="1:6">
      <c r="A41" s="407"/>
      <c r="B41" s="407"/>
      <c r="C41" s="407"/>
      <c r="D41" s="407"/>
      <c r="E41" s="407"/>
      <c r="F41" s="407"/>
    </row>
    <row r="42" spans="1:6">
      <c r="A42" s="407"/>
      <c r="B42" s="407"/>
      <c r="C42" s="407"/>
      <c r="D42" s="407"/>
      <c r="E42" s="407"/>
      <c r="F42" s="407"/>
    </row>
    <row r="43" spans="1:6">
      <c r="A43" s="407"/>
      <c r="B43" s="407"/>
      <c r="C43" s="407"/>
      <c r="D43" s="407"/>
      <c r="E43" s="407"/>
      <c r="F43" s="407"/>
    </row>
    <row r="44" spans="1:6">
      <c r="A44" s="407"/>
      <c r="B44" s="407"/>
      <c r="C44" s="407"/>
      <c r="D44" s="407"/>
      <c r="E44" s="407"/>
      <c r="F44" s="407"/>
    </row>
    <row r="45" spans="1:6">
      <c r="A45" s="407"/>
      <c r="B45" s="407"/>
      <c r="C45" s="407"/>
      <c r="D45" s="407"/>
      <c r="E45" s="407"/>
      <c r="F45" s="407"/>
    </row>
    <row r="46" spans="1:6">
      <c r="A46" s="407"/>
      <c r="B46" s="407"/>
      <c r="C46" s="407"/>
      <c r="D46" s="407"/>
      <c r="E46" s="407"/>
      <c r="F46" s="407"/>
    </row>
    <row r="47" spans="1:6">
      <c r="A47" s="407"/>
      <c r="B47" s="407"/>
      <c r="C47" s="407"/>
      <c r="D47" s="407"/>
      <c r="E47" s="407"/>
      <c r="F47" s="407"/>
    </row>
    <row r="48" spans="1:6">
      <c r="A48" s="407"/>
      <c r="B48" s="407"/>
      <c r="C48" s="407"/>
      <c r="D48" s="407"/>
      <c r="E48" s="407"/>
      <c r="F48" s="407"/>
    </row>
    <row r="49" spans="1:6">
      <c r="A49" s="407"/>
      <c r="B49" s="407"/>
      <c r="C49" s="407"/>
      <c r="D49" s="407"/>
      <c r="E49" s="407"/>
      <c r="F49" s="407"/>
    </row>
    <row r="50" spans="1:6">
      <c r="A50" s="407"/>
      <c r="B50" s="407"/>
      <c r="C50" s="407"/>
      <c r="D50" s="407"/>
      <c r="E50" s="407"/>
      <c r="F50" s="407"/>
    </row>
    <row r="51" spans="1:6">
      <c r="A51" s="407"/>
      <c r="B51" s="407"/>
      <c r="C51" s="407"/>
      <c r="D51" s="407"/>
      <c r="E51" s="407"/>
      <c r="F51" s="407"/>
    </row>
    <row r="52" spans="1:6">
      <c r="A52" s="407"/>
      <c r="B52" s="407"/>
      <c r="C52" s="407"/>
      <c r="D52" s="407"/>
      <c r="E52" s="407"/>
      <c r="F52" s="407"/>
    </row>
    <row r="53" spans="1:6">
      <c r="A53" s="407"/>
      <c r="B53" s="407"/>
      <c r="C53" s="407"/>
      <c r="D53" s="407"/>
      <c r="E53" s="407"/>
      <c r="F53" s="407"/>
    </row>
    <row r="54" spans="1:6">
      <c r="A54" s="407"/>
      <c r="B54" s="407"/>
      <c r="C54" s="407"/>
      <c r="D54" s="407"/>
      <c r="E54" s="407"/>
      <c r="F54" s="407"/>
    </row>
    <row r="55" spans="1:6">
      <c r="A55" s="407"/>
      <c r="B55" s="407"/>
      <c r="C55" s="407"/>
      <c r="D55" s="407"/>
      <c r="E55" s="407"/>
      <c r="F55" s="407"/>
    </row>
    <row r="56" spans="1:6">
      <c r="A56" s="407"/>
      <c r="B56" s="407"/>
      <c r="C56" s="407"/>
      <c r="D56" s="407"/>
      <c r="E56" s="407"/>
      <c r="F56" s="407"/>
    </row>
    <row r="57" spans="1:6">
      <c r="A57" s="407"/>
      <c r="B57" s="407"/>
      <c r="C57" s="407"/>
      <c r="D57" s="407"/>
      <c r="E57" s="407"/>
      <c r="F57" s="407"/>
    </row>
    <row r="58" spans="1:6">
      <c r="A58" s="407"/>
      <c r="B58" s="407"/>
      <c r="C58" s="407"/>
      <c r="D58" s="407"/>
      <c r="E58" s="407"/>
      <c r="F58" s="407"/>
    </row>
    <row r="59" spans="1:6">
      <c r="A59" s="407"/>
      <c r="B59" s="407"/>
      <c r="C59" s="407"/>
      <c r="D59" s="407"/>
      <c r="E59" s="407"/>
      <c r="F59" s="407"/>
    </row>
    <row r="60" spans="1:6">
      <c r="A60" s="407"/>
      <c r="B60" s="407"/>
      <c r="C60" s="407"/>
      <c r="D60" s="407"/>
      <c r="E60" s="407"/>
      <c r="F60" s="407"/>
    </row>
    <row r="61" spans="1:6">
      <c r="A61" s="407"/>
      <c r="B61" s="407"/>
      <c r="C61" s="407"/>
      <c r="D61" s="407"/>
      <c r="E61" s="407"/>
      <c r="F61" s="407"/>
    </row>
    <row r="62" spans="1:6">
      <c r="A62" s="407"/>
      <c r="B62" s="407"/>
      <c r="C62" s="407"/>
      <c r="D62" s="407"/>
      <c r="E62" s="407"/>
      <c r="F62" s="407"/>
    </row>
    <row r="63" spans="1:6">
      <c r="A63" s="407"/>
      <c r="B63" s="407"/>
      <c r="C63" s="407"/>
      <c r="D63" s="407"/>
      <c r="E63" s="407"/>
      <c r="F63" s="407"/>
    </row>
    <row r="64" spans="1:6">
      <c r="A64" s="407"/>
      <c r="B64" s="407"/>
      <c r="C64" s="407"/>
      <c r="D64" s="407"/>
      <c r="E64" s="407"/>
      <c r="F64" s="407"/>
    </row>
    <row r="65" spans="1:6">
      <c r="A65" s="407"/>
      <c r="B65" s="407"/>
      <c r="C65" s="407"/>
      <c r="D65" s="407"/>
      <c r="E65" s="407"/>
      <c r="F65" s="407"/>
    </row>
    <row r="66" spans="1:6">
      <c r="A66" s="407"/>
      <c r="B66" s="407"/>
      <c r="C66" s="407"/>
      <c r="D66" s="407"/>
      <c r="E66" s="407"/>
      <c r="F66" s="407"/>
    </row>
    <row r="67" spans="1:6">
      <c r="A67" s="407"/>
      <c r="B67" s="407"/>
      <c r="C67" s="407"/>
      <c r="D67" s="407"/>
      <c r="E67" s="407"/>
      <c r="F67" s="407"/>
    </row>
    <row r="68" spans="1:6">
      <c r="A68" s="407"/>
      <c r="B68" s="407"/>
      <c r="C68" s="407"/>
      <c r="D68" s="407"/>
      <c r="E68" s="407"/>
      <c r="F68" s="407"/>
    </row>
    <row r="69" spans="1:6">
      <c r="A69" s="407"/>
      <c r="B69" s="407"/>
      <c r="C69" s="407"/>
      <c r="D69" s="407"/>
      <c r="E69" s="407"/>
      <c r="F69" s="407"/>
    </row>
    <row r="70" spans="1:6">
      <c r="A70" s="407"/>
      <c r="B70" s="407"/>
      <c r="C70" s="407"/>
      <c r="D70" s="407"/>
      <c r="E70" s="407"/>
      <c r="F70" s="407"/>
    </row>
    <row r="71" spans="1:6">
      <c r="A71" s="407"/>
      <c r="B71" s="407"/>
      <c r="C71" s="407"/>
      <c r="D71" s="407"/>
      <c r="E71" s="407"/>
      <c r="F71" s="407"/>
    </row>
    <row r="72" spans="1:6">
      <c r="A72" s="407"/>
      <c r="B72" s="407"/>
      <c r="C72" s="407"/>
      <c r="D72" s="407"/>
      <c r="E72" s="407"/>
      <c r="F72" s="407"/>
    </row>
    <row r="73" spans="1:6">
      <c r="A73" s="407"/>
      <c r="B73" s="407"/>
      <c r="C73" s="407"/>
      <c r="D73" s="407"/>
      <c r="E73" s="407"/>
      <c r="F73" s="407"/>
    </row>
    <row r="74" spans="1:6">
      <c r="A74" s="407"/>
      <c r="B74" s="407"/>
      <c r="C74" s="407"/>
      <c r="D74" s="407"/>
      <c r="E74" s="407"/>
      <c r="F74" s="407"/>
    </row>
    <row r="75" spans="1:6">
      <c r="A75" s="407"/>
      <c r="B75" s="407"/>
      <c r="C75" s="407"/>
      <c r="D75" s="407"/>
      <c r="E75" s="407"/>
      <c r="F75" s="407"/>
    </row>
    <row r="76" spans="1:6">
      <c r="A76" s="407"/>
      <c r="B76" s="407"/>
      <c r="C76" s="407"/>
      <c r="D76" s="407"/>
      <c r="E76" s="407"/>
      <c r="F76" s="407"/>
    </row>
    <row r="77" spans="1:6">
      <c r="A77" s="407"/>
      <c r="B77" s="407"/>
      <c r="C77" s="407"/>
      <c r="D77" s="407"/>
      <c r="E77" s="407"/>
      <c r="F77" s="407"/>
    </row>
    <row r="78" spans="1:6">
      <c r="A78" s="407"/>
      <c r="B78" s="407"/>
      <c r="C78" s="407"/>
      <c r="D78" s="407"/>
      <c r="E78" s="407"/>
      <c r="F78" s="407"/>
    </row>
    <row r="79" spans="1:6">
      <c r="A79" s="407"/>
      <c r="B79" s="407"/>
      <c r="C79" s="407"/>
      <c r="D79" s="407"/>
      <c r="E79" s="407"/>
      <c r="F79" s="407"/>
    </row>
    <row r="80" spans="1:6">
      <c r="A80" s="407"/>
      <c r="B80" s="407"/>
      <c r="C80" s="407"/>
      <c r="D80" s="407"/>
      <c r="E80" s="407"/>
      <c r="F80" s="407"/>
    </row>
    <row r="81" spans="1:6">
      <c r="A81" s="407"/>
      <c r="B81" s="407"/>
      <c r="C81" s="407"/>
      <c r="D81" s="407"/>
      <c r="E81" s="407"/>
      <c r="F81" s="407"/>
    </row>
    <row r="82" spans="1:6">
      <c r="A82" s="407"/>
      <c r="B82" s="407"/>
      <c r="C82" s="407"/>
      <c r="D82" s="407"/>
      <c r="E82" s="407"/>
      <c r="F82" s="407"/>
    </row>
    <row r="83" spans="1:6">
      <c r="A83" s="407"/>
      <c r="B83" s="407"/>
      <c r="C83" s="407"/>
      <c r="D83" s="407"/>
      <c r="E83" s="407"/>
      <c r="F83" s="407"/>
    </row>
    <row r="84" spans="1:6">
      <c r="A84" s="407"/>
      <c r="B84" s="407"/>
      <c r="C84" s="407"/>
      <c r="D84" s="407"/>
      <c r="E84" s="407"/>
      <c r="F84" s="407"/>
    </row>
    <row r="85" spans="1:6">
      <c r="A85" s="407"/>
      <c r="B85" s="407"/>
      <c r="C85" s="407"/>
      <c r="D85" s="407"/>
      <c r="E85" s="407"/>
      <c r="F85" s="407"/>
    </row>
    <row r="86" spans="1:6">
      <c r="A86" s="407"/>
      <c r="B86" s="407"/>
      <c r="C86" s="407"/>
      <c r="D86" s="407"/>
      <c r="E86" s="407"/>
      <c r="F86" s="407"/>
    </row>
    <row r="87" spans="1:6">
      <c r="A87" s="407"/>
      <c r="B87" s="407"/>
      <c r="C87" s="407"/>
      <c r="D87" s="407"/>
      <c r="E87" s="407"/>
      <c r="F87" s="407"/>
    </row>
    <row r="88" spans="1:6">
      <c r="A88" s="407"/>
      <c r="B88" s="407"/>
      <c r="C88" s="407"/>
      <c r="D88" s="407"/>
      <c r="E88" s="407"/>
      <c r="F88" s="407"/>
    </row>
    <row r="89" spans="1:6">
      <c r="A89" s="407"/>
      <c r="B89" s="407"/>
      <c r="C89" s="407"/>
      <c r="D89" s="407"/>
      <c r="E89" s="407"/>
      <c r="F89" s="407"/>
    </row>
    <row r="90" spans="1:6">
      <c r="A90" s="407"/>
      <c r="B90" s="407"/>
      <c r="C90" s="407"/>
      <c r="D90" s="407"/>
      <c r="E90" s="407"/>
      <c r="F90" s="407"/>
    </row>
    <row r="91" spans="1:6">
      <c r="A91" s="407"/>
      <c r="B91" s="407"/>
      <c r="C91" s="407"/>
      <c r="D91" s="407"/>
      <c r="E91" s="407"/>
      <c r="F91" s="407"/>
    </row>
    <row r="92" spans="1:6">
      <c r="A92" s="407"/>
      <c r="B92" s="407"/>
      <c r="C92" s="407"/>
      <c r="D92" s="407"/>
      <c r="E92" s="407"/>
      <c r="F92" s="407"/>
    </row>
    <row r="93" spans="1:6">
      <c r="A93" s="407"/>
      <c r="B93" s="407"/>
      <c r="C93" s="407"/>
      <c r="D93" s="407"/>
      <c r="E93" s="407"/>
      <c r="F93" s="407"/>
    </row>
    <row r="94" spans="1:6">
      <c r="A94" s="407"/>
      <c r="B94" s="407"/>
      <c r="C94" s="407"/>
      <c r="D94" s="407"/>
      <c r="E94" s="407"/>
      <c r="F94" s="407"/>
    </row>
    <row r="95" spans="1:6">
      <c r="A95" s="407"/>
      <c r="B95" s="407"/>
      <c r="C95" s="407"/>
      <c r="D95" s="407"/>
      <c r="E95" s="407"/>
      <c r="F95" s="407"/>
    </row>
    <row r="96" spans="1:6">
      <c r="A96" s="407"/>
      <c r="B96" s="407"/>
      <c r="C96" s="407"/>
      <c r="D96" s="407"/>
      <c r="E96" s="407"/>
      <c r="F96" s="407"/>
    </row>
    <row r="97" spans="1:7">
      <c r="A97" s="407"/>
      <c r="B97" s="407"/>
      <c r="C97" s="407"/>
      <c r="D97" s="407"/>
      <c r="E97" s="407"/>
      <c r="F97" s="407"/>
    </row>
    <row r="98" spans="1:7">
      <c r="A98" s="407"/>
      <c r="B98" s="407"/>
      <c r="C98" s="407"/>
      <c r="D98" s="407"/>
      <c r="E98" s="407"/>
      <c r="F98" s="407"/>
    </row>
    <row r="99" spans="1:7">
      <c r="A99" s="407"/>
      <c r="B99" s="407"/>
      <c r="C99" s="407"/>
      <c r="D99" s="407"/>
      <c r="E99" s="407"/>
      <c r="F99" s="407"/>
      <c r="G99" t="s">
        <v>740</v>
      </c>
    </row>
  </sheetData>
  <autoFilter ref="A1:F22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K101"/>
  <sheetViews>
    <sheetView zoomScaleNormal="100" workbookViewId="0">
      <selection activeCell="D26" sqref="D26"/>
    </sheetView>
  </sheetViews>
  <sheetFormatPr defaultRowHeight="15"/>
  <cols>
    <col min="1" max="1" width="8.42578125" customWidth="1"/>
    <col min="2" max="2" width="50.7109375" bestFit="1" customWidth="1"/>
    <col min="3" max="3" width="25.7109375" bestFit="1" customWidth="1"/>
    <col min="4" max="4" width="36.7109375" bestFit="1" customWidth="1"/>
    <col min="5" max="5" width="14.28515625" customWidth="1"/>
    <col min="6" max="6" width="16.28515625" customWidth="1"/>
    <col min="7" max="7" width="12.5703125" customWidth="1"/>
    <col min="8" max="8" width="7.85546875" customWidth="1"/>
    <col min="9" max="9" width="13.85546875" customWidth="1"/>
    <col min="11" max="11" width="16.7109375" customWidth="1"/>
    <col min="12" max="12" width="12.7109375" customWidth="1"/>
    <col min="13" max="13" width="9.140625" customWidth="1"/>
  </cols>
  <sheetData>
    <row r="1" spans="1:11">
      <c r="A1" s="419" t="s">
        <v>701</v>
      </c>
      <c r="B1" s="419" t="s">
        <v>699</v>
      </c>
      <c r="C1" s="419" t="s">
        <v>704</v>
      </c>
      <c r="D1" s="419" t="s">
        <v>700</v>
      </c>
      <c r="E1" s="419" t="s">
        <v>702</v>
      </c>
      <c r="F1" s="419" t="s">
        <v>703</v>
      </c>
      <c r="G1" s="432">
        <f>I1+K1</f>
        <v>1167624400</v>
      </c>
      <c r="H1" s="428" t="s">
        <v>4</v>
      </c>
      <c r="I1" s="426">
        <f>SUMIFS(E2:E1000,A2:A1000,"UNI")</f>
        <v>959092000</v>
      </c>
      <c r="J1" s="429" t="s">
        <v>329</v>
      </c>
      <c r="K1" s="427">
        <f>SUMIFS(E2:E1000,A2:A1000,"G2B")</f>
        <v>208532400</v>
      </c>
    </row>
    <row r="2" spans="1:11">
      <c r="A2" s="405" t="s">
        <v>4</v>
      </c>
      <c r="B2" s="405" t="s">
        <v>737</v>
      </c>
      <c r="C2" s="405" t="s">
        <v>738</v>
      </c>
      <c r="D2" s="405" t="s">
        <v>739</v>
      </c>
      <c r="E2" s="406">
        <v>15800000</v>
      </c>
      <c r="F2" s="409">
        <v>46036</v>
      </c>
    </row>
    <row r="3" spans="1:11">
      <c r="A3" s="405" t="s">
        <v>329</v>
      </c>
      <c r="B3" s="405" t="s">
        <v>626</v>
      </c>
      <c r="C3" s="405" t="s">
        <v>670</v>
      </c>
      <c r="D3" s="405" t="s">
        <v>705</v>
      </c>
      <c r="E3" s="406">
        <v>6000000</v>
      </c>
      <c r="F3" s="409">
        <v>46038</v>
      </c>
    </row>
    <row r="4" spans="1:11">
      <c r="A4" s="405" t="s">
        <v>4</v>
      </c>
      <c r="B4" s="405" t="s">
        <v>538</v>
      </c>
      <c r="C4" s="405" t="s">
        <v>785</v>
      </c>
      <c r="D4" s="405" t="s">
        <v>786</v>
      </c>
      <c r="E4" s="406">
        <v>26200000</v>
      </c>
      <c r="F4" s="409">
        <v>46042</v>
      </c>
    </row>
    <row r="5" spans="1:11">
      <c r="A5" s="405" t="s">
        <v>4</v>
      </c>
      <c r="B5" s="405" t="s">
        <v>531</v>
      </c>
      <c r="C5" s="405" t="s">
        <v>694</v>
      </c>
      <c r="D5" s="405" t="s">
        <v>709</v>
      </c>
      <c r="E5" s="406">
        <v>269466000</v>
      </c>
      <c r="F5" s="409">
        <v>46042</v>
      </c>
    </row>
    <row r="6" spans="1:11">
      <c r="A6" s="405" t="s">
        <v>329</v>
      </c>
      <c r="B6" s="405" t="s">
        <v>683</v>
      </c>
      <c r="C6" s="405" t="s">
        <v>684</v>
      </c>
      <c r="D6" s="405" t="s">
        <v>707</v>
      </c>
      <c r="E6" s="406">
        <v>90000000</v>
      </c>
      <c r="F6" s="409">
        <v>46045</v>
      </c>
    </row>
    <row r="7" spans="1:11">
      <c r="A7" s="405" t="s">
        <v>4</v>
      </c>
      <c r="B7" s="405" t="s">
        <v>687</v>
      </c>
      <c r="C7" s="405" t="s">
        <v>688</v>
      </c>
      <c r="D7" s="405" t="s">
        <v>713</v>
      </c>
      <c r="E7" s="406">
        <v>60000000</v>
      </c>
      <c r="F7" s="409">
        <v>46048</v>
      </c>
    </row>
    <row r="8" spans="1:11">
      <c r="A8" s="405" t="s">
        <v>4</v>
      </c>
      <c r="B8" s="405" t="s">
        <v>679</v>
      </c>
      <c r="C8" s="405" t="s">
        <v>680</v>
      </c>
      <c r="D8" s="405" t="s">
        <v>712</v>
      </c>
      <c r="E8" s="406">
        <v>80300000</v>
      </c>
      <c r="F8" s="409">
        <v>46049</v>
      </c>
    </row>
    <row r="9" spans="1:11">
      <c r="A9" s="409" t="s">
        <v>3</v>
      </c>
      <c r="B9" s="409" t="s">
        <v>26</v>
      </c>
      <c r="C9" s="409" t="s">
        <v>798</v>
      </c>
      <c r="D9" s="409" t="s">
        <v>800</v>
      </c>
      <c r="E9" s="406">
        <v>1003909178</v>
      </c>
      <c r="F9" s="409">
        <v>46053</v>
      </c>
    </row>
    <row r="10" spans="1:11">
      <c r="A10" s="405" t="s">
        <v>4</v>
      </c>
      <c r="B10" s="405" t="s">
        <v>679</v>
      </c>
      <c r="C10" s="405" t="s">
        <v>796</v>
      </c>
      <c r="D10" s="405" t="s">
        <v>797</v>
      </c>
      <c r="E10" s="406">
        <v>37800000</v>
      </c>
      <c r="F10" s="409">
        <v>46058</v>
      </c>
    </row>
    <row r="11" spans="1:11">
      <c r="A11" s="405" t="s">
        <v>329</v>
      </c>
      <c r="B11" s="405" t="s">
        <v>668</v>
      </c>
      <c r="C11" s="405" t="s">
        <v>696</v>
      </c>
      <c r="D11" s="405" t="s">
        <v>710</v>
      </c>
      <c r="E11" s="406">
        <v>112532400</v>
      </c>
      <c r="F11" s="409">
        <v>46059</v>
      </c>
    </row>
    <row r="12" spans="1:11">
      <c r="A12" s="405" t="s">
        <v>4</v>
      </c>
      <c r="B12" s="405" t="s">
        <v>668</v>
      </c>
      <c r="C12" s="405" t="s">
        <v>780</v>
      </c>
      <c r="D12" s="405" t="s">
        <v>781</v>
      </c>
      <c r="E12" s="406">
        <v>469526000</v>
      </c>
      <c r="F12" s="409">
        <v>46077</v>
      </c>
    </row>
    <row r="13" spans="1:11">
      <c r="A13" s="405"/>
      <c r="B13" s="405"/>
      <c r="C13" s="405"/>
      <c r="D13" s="405"/>
      <c r="E13" s="406"/>
      <c r="F13" s="409"/>
    </row>
    <row r="14" spans="1:11">
      <c r="A14" s="405"/>
      <c r="B14" s="405"/>
      <c r="C14" s="405"/>
      <c r="D14" s="405"/>
      <c r="E14" s="406"/>
      <c r="F14" s="409"/>
    </row>
    <row r="15" spans="1:11">
      <c r="A15" s="405"/>
      <c r="B15" s="405"/>
      <c r="C15" s="405"/>
      <c r="D15" s="405"/>
      <c r="E15" s="406"/>
      <c r="F15" s="409"/>
    </row>
    <row r="16" spans="1:11">
      <c r="A16" s="405"/>
      <c r="B16" s="405"/>
      <c r="C16" s="405"/>
      <c r="D16" s="405"/>
      <c r="E16" s="406"/>
      <c r="F16" s="409"/>
    </row>
    <row r="17" spans="1:6">
      <c r="A17" s="405"/>
      <c r="B17" s="405"/>
      <c r="C17" s="405"/>
      <c r="D17" s="405"/>
      <c r="E17" s="406"/>
      <c r="F17" s="409"/>
    </row>
    <row r="18" spans="1:6">
      <c r="A18" s="405"/>
      <c r="B18" s="405"/>
      <c r="C18" s="405"/>
      <c r="D18" s="405"/>
      <c r="E18" s="406"/>
      <c r="F18" s="409"/>
    </row>
    <row r="19" spans="1:6">
      <c r="A19" s="405"/>
      <c r="B19" s="405"/>
      <c r="C19" s="405"/>
      <c r="D19" s="405"/>
      <c r="E19" s="406"/>
      <c r="F19" s="409"/>
    </row>
    <row r="20" spans="1:6">
      <c r="A20" s="405"/>
      <c r="B20" s="405"/>
      <c r="C20" s="405"/>
      <c r="D20" s="405"/>
      <c r="E20" s="406"/>
      <c r="F20" s="409"/>
    </row>
    <row r="21" spans="1:6">
      <c r="A21" s="405"/>
      <c r="B21" s="405"/>
      <c r="C21" s="405"/>
      <c r="D21" s="405"/>
      <c r="E21" s="406"/>
      <c r="F21" s="409"/>
    </row>
    <row r="22" spans="1:6">
      <c r="A22" s="405"/>
      <c r="B22" s="405"/>
      <c r="C22" s="405"/>
      <c r="D22" s="405"/>
      <c r="E22" s="406"/>
      <c r="F22" s="409"/>
    </row>
    <row r="23" spans="1:6">
      <c r="A23" s="405"/>
      <c r="B23" s="405"/>
      <c r="C23" s="405"/>
      <c r="D23" s="405"/>
      <c r="E23" s="406"/>
      <c r="F23" s="409"/>
    </row>
    <row r="24" spans="1:6">
      <c r="A24" s="405"/>
      <c r="B24" s="405"/>
      <c r="C24" s="405"/>
      <c r="D24" s="405"/>
      <c r="E24" s="406"/>
      <c r="F24" s="409"/>
    </row>
    <row r="25" spans="1:6">
      <c r="A25" s="405"/>
      <c r="B25" s="405"/>
      <c r="C25" s="405"/>
      <c r="D25" s="405"/>
      <c r="E25" s="406"/>
      <c r="F25" s="409"/>
    </row>
    <row r="26" spans="1:6">
      <c r="A26" s="407"/>
      <c r="B26" s="407"/>
      <c r="C26" s="407"/>
      <c r="D26" s="407"/>
      <c r="E26" s="407"/>
      <c r="F26" s="407"/>
    </row>
    <row r="27" spans="1:6">
      <c r="A27" s="407"/>
      <c r="B27" s="407"/>
      <c r="C27" s="407"/>
      <c r="D27" s="407"/>
      <c r="E27" s="407"/>
      <c r="F27" s="407"/>
    </row>
    <row r="28" spans="1:6">
      <c r="A28" s="407"/>
      <c r="B28" s="407"/>
      <c r="C28" s="407"/>
      <c r="D28" s="407"/>
      <c r="E28" s="407"/>
      <c r="F28" s="407"/>
    </row>
    <row r="29" spans="1:6">
      <c r="A29" s="407"/>
      <c r="B29" s="407"/>
      <c r="C29" s="407"/>
      <c r="D29" s="407"/>
      <c r="E29" s="407"/>
      <c r="F29" s="407"/>
    </row>
    <row r="30" spans="1:6">
      <c r="A30" s="407"/>
      <c r="B30" s="407"/>
      <c r="C30" s="407"/>
      <c r="D30" s="407"/>
      <c r="E30" s="407"/>
      <c r="F30" s="407"/>
    </row>
    <row r="31" spans="1:6">
      <c r="A31" s="407"/>
      <c r="B31" s="407"/>
      <c r="C31" s="407"/>
      <c r="D31" s="407"/>
      <c r="E31" s="407"/>
      <c r="F31" s="407"/>
    </row>
    <row r="32" spans="1:6">
      <c r="A32" s="407"/>
      <c r="B32" s="407"/>
      <c r="C32" s="407"/>
      <c r="D32" s="407"/>
      <c r="E32" s="407"/>
      <c r="F32" s="407"/>
    </row>
    <row r="33" spans="1:6">
      <c r="A33" s="407"/>
      <c r="B33" s="407"/>
      <c r="C33" s="407"/>
      <c r="D33" s="407"/>
      <c r="E33" s="407"/>
      <c r="F33" s="407"/>
    </row>
    <row r="34" spans="1:6">
      <c r="A34" s="407"/>
      <c r="B34" s="407"/>
      <c r="C34" s="407"/>
      <c r="D34" s="407"/>
      <c r="E34" s="407"/>
      <c r="F34" s="407"/>
    </row>
    <row r="35" spans="1:6">
      <c r="A35" s="407"/>
      <c r="B35" s="407"/>
      <c r="C35" s="407"/>
      <c r="D35" s="407"/>
      <c r="E35" s="407"/>
      <c r="F35" s="407"/>
    </row>
    <row r="36" spans="1:6">
      <c r="A36" s="407"/>
      <c r="B36" s="407"/>
      <c r="C36" s="407"/>
      <c r="D36" s="407"/>
      <c r="E36" s="407"/>
      <c r="F36" s="407"/>
    </row>
    <row r="37" spans="1:6">
      <c r="A37" s="407"/>
      <c r="B37" s="407"/>
      <c r="C37" s="407"/>
      <c r="D37" s="407"/>
      <c r="E37" s="407"/>
      <c r="F37" s="407"/>
    </row>
    <row r="38" spans="1:6">
      <c r="A38" s="407"/>
      <c r="B38" s="407"/>
      <c r="C38" s="407"/>
      <c r="D38" s="407"/>
      <c r="E38" s="407"/>
      <c r="F38" s="407"/>
    </row>
    <row r="39" spans="1:6">
      <c r="A39" s="407"/>
      <c r="B39" s="407"/>
      <c r="C39" s="407"/>
      <c r="D39" s="407"/>
      <c r="E39" s="407"/>
      <c r="F39" s="407"/>
    </row>
    <row r="40" spans="1:6">
      <c r="A40" s="407"/>
      <c r="B40" s="407"/>
      <c r="C40" s="407"/>
      <c r="D40" s="407"/>
      <c r="E40" s="407"/>
      <c r="F40" s="407"/>
    </row>
    <row r="41" spans="1:6">
      <c r="A41" s="407"/>
      <c r="B41" s="407"/>
      <c r="C41" s="407"/>
      <c r="D41" s="407"/>
      <c r="E41" s="407"/>
      <c r="F41" s="407"/>
    </row>
    <row r="42" spans="1:6">
      <c r="A42" s="407"/>
      <c r="B42" s="407"/>
      <c r="C42" s="407"/>
      <c r="D42" s="407"/>
      <c r="E42" s="407"/>
      <c r="F42" s="407"/>
    </row>
    <row r="43" spans="1:6">
      <c r="A43" s="407"/>
      <c r="B43" s="407"/>
      <c r="C43" s="407"/>
      <c r="D43" s="407"/>
      <c r="E43" s="407"/>
      <c r="F43" s="407"/>
    </row>
    <row r="44" spans="1:6">
      <c r="A44" s="407"/>
      <c r="B44" s="407"/>
      <c r="C44" s="407"/>
      <c r="D44" s="407"/>
      <c r="E44" s="407"/>
      <c r="F44" s="407"/>
    </row>
    <row r="45" spans="1:6">
      <c r="A45" s="407"/>
      <c r="B45" s="407"/>
      <c r="C45" s="407"/>
      <c r="D45" s="407"/>
      <c r="E45" s="407"/>
      <c r="F45" s="407"/>
    </row>
    <row r="46" spans="1:6">
      <c r="A46" s="407"/>
      <c r="B46" s="407"/>
      <c r="C46" s="407"/>
      <c r="D46" s="407"/>
      <c r="E46" s="407"/>
      <c r="F46" s="407"/>
    </row>
    <row r="47" spans="1:6">
      <c r="A47" s="407"/>
      <c r="B47" s="407"/>
      <c r="C47" s="407"/>
      <c r="D47" s="407"/>
      <c r="E47" s="407"/>
      <c r="F47" s="407"/>
    </row>
    <row r="48" spans="1:6">
      <c r="A48" s="407"/>
      <c r="B48" s="407"/>
      <c r="C48" s="407"/>
      <c r="D48" s="407"/>
      <c r="E48" s="407"/>
      <c r="F48" s="407"/>
    </row>
    <row r="49" spans="1:6">
      <c r="A49" s="407"/>
      <c r="B49" s="407"/>
      <c r="C49" s="407"/>
      <c r="D49" s="407"/>
      <c r="E49" s="407"/>
      <c r="F49" s="407"/>
    </row>
    <row r="50" spans="1:6">
      <c r="A50" s="407"/>
      <c r="B50" s="407"/>
      <c r="C50" s="407"/>
      <c r="D50" s="407"/>
      <c r="E50" s="407"/>
      <c r="F50" s="407"/>
    </row>
    <row r="51" spans="1:6">
      <c r="A51" s="407"/>
      <c r="B51" s="407"/>
      <c r="C51" s="407"/>
      <c r="D51" s="407"/>
      <c r="E51" s="407"/>
      <c r="F51" s="407"/>
    </row>
    <row r="52" spans="1:6">
      <c r="A52" s="407"/>
      <c r="B52" s="407"/>
      <c r="C52" s="407"/>
      <c r="D52" s="407"/>
      <c r="E52" s="407"/>
      <c r="F52" s="407"/>
    </row>
    <row r="53" spans="1:6">
      <c r="A53" s="407"/>
      <c r="B53" s="407"/>
      <c r="C53" s="407"/>
      <c r="D53" s="407"/>
      <c r="E53" s="407"/>
      <c r="F53" s="407"/>
    </row>
    <row r="54" spans="1:6">
      <c r="A54" s="407"/>
      <c r="B54" s="407"/>
      <c r="C54" s="407"/>
      <c r="D54" s="407"/>
      <c r="E54" s="407"/>
      <c r="F54" s="407"/>
    </row>
    <row r="55" spans="1:6">
      <c r="A55" s="407"/>
      <c r="B55" s="407"/>
      <c r="C55" s="407"/>
      <c r="D55" s="407"/>
      <c r="E55" s="407"/>
      <c r="F55" s="407"/>
    </row>
    <row r="56" spans="1:6">
      <c r="A56" s="407"/>
      <c r="B56" s="407"/>
      <c r="C56" s="407"/>
      <c r="D56" s="407"/>
      <c r="E56" s="407"/>
      <c r="F56" s="407"/>
    </row>
    <row r="57" spans="1:6">
      <c r="A57" s="407"/>
      <c r="B57" s="407"/>
      <c r="C57" s="407"/>
      <c r="D57" s="407"/>
      <c r="E57" s="407"/>
      <c r="F57" s="407"/>
    </row>
    <row r="58" spans="1:6">
      <c r="A58" s="407"/>
      <c r="B58" s="407"/>
      <c r="C58" s="407"/>
      <c r="D58" s="407"/>
      <c r="E58" s="407"/>
      <c r="F58" s="407"/>
    </row>
    <row r="59" spans="1:6">
      <c r="A59" s="407"/>
      <c r="B59" s="407"/>
      <c r="C59" s="407"/>
      <c r="D59" s="407"/>
      <c r="E59" s="407"/>
      <c r="F59" s="407"/>
    </row>
    <row r="60" spans="1:6">
      <c r="A60" s="407"/>
      <c r="B60" s="407"/>
      <c r="C60" s="407"/>
      <c r="D60" s="407"/>
      <c r="E60" s="407"/>
      <c r="F60" s="407"/>
    </row>
    <row r="61" spans="1:6">
      <c r="A61" s="407"/>
      <c r="B61" s="407"/>
      <c r="C61" s="407"/>
      <c r="D61" s="407"/>
      <c r="E61" s="407"/>
      <c r="F61" s="407"/>
    </row>
    <row r="62" spans="1:6">
      <c r="A62" s="407"/>
      <c r="B62" s="407"/>
      <c r="C62" s="407"/>
      <c r="D62" s="407"/>
      <c r="E62" s="407"/>
      <c r="F62" s="407"/>
    </row>
    <row r="63" spans="1:6">
      <c r="A63" s="407"/>
      <c r="B63" s="407"/>
      <c r="C63" s="407"/>
      <c r="D63" s="407"/>
      <c r="E63" s="407"/>
      <c r="F63" s="407"/>
    </row>
    <row r="64" spans="1:6">
      <c r="A64" s="407"/>
      <c r="B64" s="407"/>
      <c r="C64" s="407"/>
      <c r="D64" s="407"/>
      <c r="E64" s="407"/>
      <c r="F64" s="407"/>
    </row>
    <row r="65" spans="1:6">
      <c r="A65" s="407"/>
      <c r="B65" s="407"/>
      <c r="C65" s="407"/>
      <c r="D65" s="407"/>
      <c r="E65" s="407"/>
      <c r="F65" s="407"/>
    </row>
    <row r="66" spans="1:6">
      <c r="A66" s="407"/>
      <c r="B66" s="407"/>
      <c r="C66" s="407"/>
      <c r="D66" s="407"/>
      <c r="E66" s="407"/>
      <c r="F66" s="407"/>
    </row>
    <row r="67" spans="1:6">
      <c r="A67" s="407"/>
      <c r="B67" s="407"/>
      <c r="C67" s="407"/>
      <c r="D67" s="407"/>
      <c r="E67" s="407"/>
      <c r="F67" s="407"/>
    </row>
    <row r="68" spans="1:6">
      <c r="A68" s="407"/>
      <c r="B68" s="407"/>
      <c r="C68" s="407"/>
      <c r="D68" s="407"/>
      <c r="E68" s="407"/>
      <c r="F68" s="407"/>
    </row>
    <row r="69" spans="1:6">
      <c r="A69" s="407"/>
      <c r="B69" s="407"/>
      <c r="C69" s="407"/>
      <c r="D69" s="407"/>
      <c r="E69" s="407"/>
      <c r="F69" s="407"/>
    </row>
    <row r="70" spans="1:6">
      <c r="A70" s="407"/>
      <c r="B70" s="407"/>
      <c r="C70" s="407"/>
      <c r="D70" s="407"/>
      <c r="E70" s="407"/>
      <c r="F70" s="407"/>
    </row>
    <row r="71" spans="1:6">
      <c r="A71" s="407"/>
      <c r="B71" s="407"/>
      <c r="C71" s="407"/>
      <c r="D71" s="407"/>
      <c r="E71" s="407"/>
      <c r="F71" s="407"/>
    </row>
    <row r="72" spans="1:6">
      <c r="A72" s="407"/>
      <c r="B72" s="407"/>
      <c r="C72" s="407"/>
      <c r="D72" s="407"/>
      <c r="E72" s="407"/>
      <c r="F72" s="407"/>
    </row>
    <row r="73" spans="1:6">
      <c r="A73" s="407"/>
      <c r="B73" s="407"/>
      <c r="C73" s="407"/>
      <c r="D73" s="407"/>
      <c r="E73" s="407"/>
      <c r="F73" s="407"/>
    </row>
    <row r="74" spans="1:6">
      <c r="A74" s="407"/>
      <c r="B74" s="407"/>
      <c r="C74" s="407"/>
      <c r="D74" s="407"/>
      <c r="E74" s="407"/>
      <c r="F74" s="407"/>
    </row>
    <row r="75" spans="1:6">
      <c r="A75" s="407"/>
      <c r="B75" s="407"/>
      <c r="C75" s="407"/>
      <c r="D75" s="407"/>
      <c r="E75" s="407"/>
      <c r="F75" s="407"/>
    </row>
    <row r="76" spans="1:6">
      <c r="A76" s="407"/>
      <c r="B76" s="407"/>
      <c r="C76" s="407"/>
      <c r="D76" s="407"/>
      <c r="E76" s="407"/>
      <c r="F76" s="407"/>
    </row>
    <row r="77" spans="1:6">
      <c r="A77" s="407"/>
      <c r="B77" s="407"/>
      <c r="C77" s="407"/>
      <c r="D77" s="407"/>
      <c r="E77" s="407"/>
      <c r="F77" s="407"/>
    </row>
    <row r="78" spans="1:6">
      <c r="A78" s="407"/>
      <c r="B78" s="407"/>
      <c r="C78" s="407"/>
      <c r="D78" s="407"/>
      <c r="E78" s="407"/>
      <c r="F78" s="407"/>
    </row>
    <row r="79" spans="1:6">
      <c r="A79" s="407"/>
      <c r="B79" s="407"/>
      <c r="C79" s="407"/>
      <c r="D79" s="407"/>
      <c r="E79" s="407"/>
      <c r="F79" s="407"/>
    </row>
    <row r="80" spans="1:6">
      <c r="A80" s="407"/>
      <c r="B80" s="407"/>
      <c r="C80" s="407"/>
      <c r="D80" s="407"/>
      <c r="E80" s="407"/>
      <c r="F80" s="407"/>
    </row>
    <row r="81" spans="1:6">
      <c r="A81" s="407"/>
      <c r="B81" s="407"/>
      <c r="C81" s="407"/>
      <c r="D81" s="407"/>
      <c r="E81" s="407"/>
      <c r="F81" s="407"/>
    </row>
    <row r="82" spans="1:6">
      <c r="A82" s="407"/>
      <c r="B82" s="407"/>
      <c r="C82" s="407"/>
      <c r="D82" s="407"/>
      <c r="E82" s="407"/>
      <c r="F82" s="407"/>
    </row>
    <row r="83" spans="1:6">
      <c r="A83" s="407"/>
      <c r="B83" s="407"/>
      <c r="C83" s="407"/>
      <c r="D83" s="407"/>
      <c r="E83" s="407"/>
      <c r="F83" s="407"/>
    </row>
    <row r="84" spans="1:6">
      <c r="A84" s="407"/>
      <c r="B84" s="407"/>
      <c r="C84" s="407"/>
      <c r="D84" s="407"/>
      <c r="E84" s="407"/>
      <c r="F84" s="407"/>
    </row>
    <row r="85" spans="1:6">
      <c r="A85" s="407"/>
      <c r="B85" s="407"/>
      <c r="C85" s="407"/>
      <c r="D85" s="407"/>
      <c r="E85" s="407"/>
      <c r="F85" s="407"/>
    </row>
    <row r="86" spans="1:6">
      <c r="A86" s="407"/>
      <c r="B86" s="407"/>
      <c r="C86" s="407"/>
      <c r="D86" s="407"/>
      <c r="E86" s="407"/>
      <c r="F86" s="407"/>
    </row>
    <row r="87" spans="1:6">
      <c r="A87" s="407"/>
      <c r="B87" s="407"/>
      <c r="C87" s="407"/>
      <c r="D87" s="407"/>
      <c r="E87" s="407"/>
      <c r="F87" s="407"/>
    </row>
    <row r="88" spans="1:6">
      <c r="A88" s="407"/>
      <c r="B88" s="407"/>
      <c r="C88" s="407"/>
      <c r="D88" s="407"/>
      <c r="E88" s="407"/>
      <c r="F88" s="407"/>
    </row>
    <row r="89" spans="1:6">
      <c r="A89" s="407"/>
      <c r="B89" s="407"/>
      <c r="C89" s="407"/>
      <c r="D89" s="407"/>
      <c r="E89" s="407"/>
      <c r="F89" s="407"/>
    </row>
    <row r="90" spans="1:6">
      <c r="A90" s="407"/>
      <c r="B90" s="407"/>
      <c r="C90" s="407"/>
      <c r="D90" s="407"/>
      <c r="E90" s="407"/>
      <c r="F90" s="407"/>
    </row>
    <row r="91" spans="1:6">
      <c r="A91" s="407"/>
      <c r="B91" s="407"/>
      <c r="C91" s="407"/>
      <c r="D91" s="407"/>
      <c r="E91" s="407"/>
      <c r="F91" s="407"/>
    </row>
    <row r="92" spans="1:6">
      <c r="A92" s="407"/>
      <c r="B92" s="407"/>
      <c r="C92" s="407"/>
      <c r="D92" s="407"/>
      <c r="E92" s="407"/>
      <c r="F92" s="407"/>
    </row>
    <row r="93" spans="1:6">
      <c r="A93" s="407"/>
      <c r="B93" s="407"/>
      <c r="C93" s="407"/>
      <c r="D93" s="407"/>
      <c r="E93" s="407"/>
      <c r="F93" s="407"/>
    </row>
    <row r="94" spans="1:6">
      <c r="A94" s="407"/>
      <c r="B94" s="407"/>
      <c r="C94" s="407"/>
      <c r="D94" s="407"/>
      <c r="E94" s="407"/>
      <c r="F94" s="407"/>
    </row>
    <row r="95" spans="1:6">
      <c r="A95" s="407"/>
      <c r="B95" s="407"/>
      <c r="C95" s="407"/>
      <c r="D95" s="407"/>
      <c r="E95" s="407"/>
      <c r="F95" s="407"/>
    </row>
    <row r="96" spans="1:6">
      <c r="A96" s="407"/>
      <c r="B96" s="407"/>
      <c r="C96" s="407"/>
      <c r="D96" s="407"/>
      <c r="E96" s="407"/>
      <c r="F96" s="407"/>
    </row>
    <row r="97" spans="1:7">
      <c r="A97" s="407"/>
      <c r="B97" s="407"/>
      <c r="C97" s="407"/>
      <c r="D97" s="407"/>
      <c r="E97" s="407"/>
      <c r="F97" s="407"/>
    </row>
    <row r="98" spans="1:7">
      <c r="A98" s="407"/>
      <c r="B98" s="407"/>
      <c r="C98" s="407"/>
      <c r="D98" s="407"/>
      <c r="E98" s="407"/>
      <c r="F98" s="407"/>
    </row>
    <row r="99" spans="1:7">
      <c r="A99" s="407"/>
      <c r="B99" s="407"/>
      <c r="C99" s="407"/>
      <c r="D99" s="407"/>
      <c r="E99" s="407"/>
      <c r="F99" s="407"/>
    </row>
    <row r="100" spans="1:7">
      <c r="A100" s="407"/>
      <c r="B100" s="407"/>
      <c r="C100" s="407"/>
      <c r="D100" s="407"/>
      <c r="E100" s="407"/>
      <c r="F100" s="407"/>
    </row>
    <row r="101" spans="1:7">
      <c r="A101" s="407"/>
      <c r="B101" s="407"/>
      <c r="C101" s="407"/>
      <c r="D101" s="407"/>
      <c r="E101" s="407"/>
      <c r="F101" s="407"/>
      <c r="G101" s="418" t="s">
        <v>740</v>
      </c>
    </row>
  </sheetData>
  <autoFilter ref="A1:F25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selection activeCell="G31" sqref="G31"/>
    </sheetView>
  </sheetViews>
  <sheetFormatPr defaultRowHeight="15"/>
  <cols>
    <col min="1" max="1" width="8.42578125" customWidth="1"/>
    <col min="2" max="2" width="50.7109375" bestFit="1" customWidth="1"/>
    <col min="3" max="3" width="25.7109375" bestFit="1" customWidth="1"/>
    <col min="4" max="4" width="47" bestFit="1" customWidth="1"/>
    <col min="5" max="5" width="14.28515625" customWidth="1"/>
    <col min="6" max="7" width="16.28515625" customWidth="1"/>
    <col min="8" max="8" width="6.7109375" customWidth="1"/>
    <col min="9" max="9" width="14" customWidth="1"/>
    <col min="10" max="10" width="7.28515625" customWidth="1"/>
    <col min="11" max="11" width="15.42578125" customWidth="1"/>
    <col min="12" max="12" width="8.28515625" customWidth="1"/>
    <col min="13" max="13" width="9.28515625" customWidth="1"/>
  </cols>
  <sheetData>
    <row r="1" spans="1:11">
      <c r="A1" s="408" t="s">
        <v>701</v>
      </c>
      <c r="B1" s="408" t="s">
        <v>699</v>
      </c>
      <c r="C1" s="408" t="s">
        <v>704</v>
      </c>
      <c r="D1" s="408" t="s">
        <v>700</v>
      </c>
      <c r="E1" s="408" t="s">
        <v>702</v>
      </c>
      <c r="F1" s="408" t="s">
        <v>703</v>
      </c>
      <c r="G1" s="432">
        <f>I1+K1</f>
        <v>4898352856</v>
      </c>
      <c r="H1" s="428" t="s">
        <v>4</v>
      </c>
      <c r="I1" s="426">
        <f>SUMIFS(E2:E999,A2:A999,"UNI")</f>
        <v>2181868188</v>
      </c>
      <c r="J1" s="429" t="s">
        <v>329</v>
      </c>
      <c r="K1" s="427">
        <f>SUMIFS(E2:E999,A2:A999,"G2B")</f>
        <v>2716484668</v>
      </c>
    </row>
    <row r="2" spans="1:11">
      <c r="A2" s="407" t="s">
        <v>329</v>
      </c>
      <c r="B2" s="407" t="s">
        <v>671</v>
      </c>
      <c r="C2" s="407" t="s">
        <v>672</v>
      </c>
      <c r="D2" s="407" t="s">
        <v>706</v>
      </c>
      <c r="E2" s="406">
        <v>87780000</v>
      </c>
      <c r="F2" s="441">
        <v>46037</v>
      </c>
      <c r="G2" s="425"/>
      <c r="H2" s="424"/>
    </row>
    <row r="3" spans="1:11">
      <c r="A3" s="407" t="s">
        <v>4</v>
      </c>
      <c r="B3" s="407" t="s">
        <v>692</v>
      </c>
      <c r="C3" s="407" t="s">
        <v>693</v>
      </c>
      <c r="D3" s="407" t="s">
        <v>708</v>
      </c>
      <c r="E3" s="406">
        <v>258590000</v>
      </c>
      <c r="F3" s="441">
        <v>46043</v>
      </c>
      <c r="G3" s="425"/>
      <c r="H3" s="424"/>
    </row>
    <row r="4" spans="1:11">
      <c r="A4" s="407" t="s">
        <v>4</v>
      </c>
      <c r="B4" s="407" t="s">
        <v>687</v>
      </c>
      <c r="C4" s="407" t="s">
        <v>691</v>
      </c>
      <c r="D4" s="407" t="s">
        <v>711</v>
      </c>
      <c r="E4" s="406">
        <v>42000000</v>
      </c>
      <c r="F4" s="441">
        <v>46052</v>
      </c>
      <c r="G4" s="425"/>
      <c r="H4" s="424"/>
    </row>
    <row r="5" spans="1:11">
      <c r="A5" s="407" t="s">
        <v>4</v>
      </c>
      <c r="B5" s="407" t="s">
        <v>668</v>
      </c>
      <c r="C5" s="407" t="s">
        <v>780</v>
      </c>
      <c r="D5" s="407" t="s">
        <v>781</v>
      </c>
      <c r="E5" s="406">
        <v>469526000</v>
      </c>
      <c r="F5" s="441">
        <v>46052</v>
      </c>
      <c r="G5" s="425"/>
      <c r="H5" s="424"/>
    </row>
    <row r="6" spans="1:11">
      <c r="A6" s="407" t="s">
        <v>4</v>
      </c>
      <c r="B6" s="407" t="s">
        <v>668</v>
      </c>
      <c r="C6" s="407" t="s">
        <v>787</v>
      </c>
      <c r="D6" s="407" t="s">
        <v>790</v>
      </c>
      <c r="E6" s="406">
        <v>30000000</v>
      </c>
      <c r="F6" s="441">
        <v>46065</v>
      </c>
      <c r="G6" s="425"/>
      <c r="H6" s="424"/>
    </row>
    <row r="7" spans="1:11">
      <c r="A7" s="407" t="s">
        <v>329</v>
      </c>
      <c r="B7" s="407" t="s">
        <v>734</v>
      </c>
      <c r="C7" s="407" t="s">
        <v>792</v>
      </c>
      <c r="D7" s="407" t="s">
        <v>794</v>
      </c>
      <c r="E7" s="406">
        <v>148145500</v>
      </c>
      <c r="F7" s="441">
        <v>46081</v>
      </c>
      <c r="G7" s="425"/>
      <c r="H7" s="424"/>
    </row>
    <row r="8" spans="1:11">
      <c r="A8" s="407" t="s">
        <v>329</v>
      </c>
      <c r="B8" s="407" t="s">
        <v>677</v>
      </c>
      <c r="C8" s="407" t="s">
        <v>695</v>
      </c>
      <c r="D8" s="407" t="s">
        <v>714</v>
      </c>
      <c r="E8" s="406">
        <v>105000000</v>
      </c>
      <c r="F8" s="441">
        <v>46081</v>
      </c>
      <c r="G8" s="425"/>
      <c r="H8" s="424"/>
    </row>
    <row r="9" spans="1:11">
      <c r="A9" s="407" t="s">
        <v>4</v>
      </c>
      <c r="B9" s="407" t="s">
        <v>531</v>
      </c>
      <c r="C9" s="407" t="s">
        <v>697</v>
      </c>
      <c r="D9" s="407" t="s">
        <v>715</v>
      </c>
      <c r="E9" s="406">
        <v>70000000</v>
      </c>
      <c r="F9" s="441">
        <v>46094</v>
      </c>
      <c r="G9" s="425"/>
      <c r="H9" s="424"/>
    </row>
    <row r="10" spans="1:11">
      <c r="A10" s="407" t="s">
        <v>329</v>
      </c>
      <c r="B10" s="407" t="s">
        <v>675</v>
      </c>
      <c r="C10" s="407" t="s">
        <v>801</v>
      </c>
      <c r="D10" s="407" t="s">
        <v>810</v>
      </c>
      <c r="E10" s="406">
        <v>581400000</v>
      </c>
      <c r="F10" s="441">
        <v>46101</v>
      </c>
      <c r="G10" s="425"/>
      <c r="H10" s="424"/>
    </row>
    <row r="11" spans="1:11">
      <c r="A11" s="407" t="s">
        <v>329</v>
      </c>
      <c r="B11" s="407" t="s">
        <v>685</v>
      </c>
      <c r="C11" s="407" t="s">
        <v>686</v>
      </c>
      <c r="D11" s="407" t="s">
        <v>716</v>
      </c>
      <c r="E11" s="406">
        <v>390000000</v>
      </c>
      <c r="F11" s="441">
        <v>46115</v>
      </c>
      <c r="G11" s="425"/>
      <c r="H11" s="424"/>
    </row>
    <row r="12" spans="1:11">
      <c r="A12" s="407" t="s">
        <v>4</v>
      </c>
      <c r="B12" s="407" t="s">
        <v>668</v>
      </c>
      <c r="C12" s="407" t="s">
        <v>787</v>
      </c>
      <c r="D12" s="407" t="s">
        <v>791</v>
      </c>
      <c r="E12" s="406">
        <v>45000000</v>
      </c>
      <c r="F12" s="441">
        <v>46157</v>
      </c>
      <c r="G12" s="425"/>
      <c r="H12" s="424"/>
    </row>
    <row r="13" spans="1:11">
      <c r="A13" s="407" t="s">
        <v>329</v>
      </c>
      <c r="B13" s="407" t="s">
        <v>675</v>
      </c>
      <c r="C13" s="407" t="s">
        <v>801</v>
      </c>
      <c r="D13" s="407" t="s">
        <v>810</v>
      </c>
      <c r="E13" s="406">
        <v>872100000</v>
      </c>
      <c r="F13" s="441">
        <v>46167</v>
      </c>
      <c r="G13" s="425"/>
      <c r="H13" s="424"/>
    </row>
    <row r="14" spans="1:11">
      <c r="A14" s="407" t="s">
        <v>329</v>
      </c>
      <c r="B14" s="407" t="s">
        <v>673</v>
      </c>
      <c r="C14" s="407" t="s">
        <v>674</v>
      </c>
      <c r="D14" s="407" t="s">
        <v>717</v>
      </c>
      <c r="E14" s="406">
        <v>35000000</v>
      </c>
      <c r="F14" s="441">
        <v>46183</v>
      </c>
      <c r="G14" s="425"/>
      <c r="H14" s="424"/>
    </row>
    <row r="15" spans="1:11">
      <c r="A15" s="407" t="s">
        <v>329</v>
      </c>
      <c r="B15" s="407" t="s">
        <v>675</v>
      </c>
      <c r="C15" s="407" t="s">
        <v>676</v>
      </c>
      <c r="D15" s="407" t="s">
        <v>718</v>
      </c>
      <c r="E15" s="406">
        <v>126115068</v>
      </c>
      <c r="F15" s="441">
        <v>46190</v>
      </c>
      <c r="G15" s="425"/>
      <c r="H15" s="424"/>
    </row>
    <row r="16" spans="1:11">
      <c r="A16" s="407" t="s">
        <v>4</v>
      </c>
      <c r="B16" s="407" t="s">
        <v>668</v>
      </c>
      <c r="C16" s="407" t="s">
        <v>669</v>
      </c>
      <c r="D16" s="407" t="s">
        <v>719</v>
      </c>
      <c r="E16" s="406">
        <v>484461600</v>
      </c>
      <c r="F16" s="441">
        <v>46192</v>
      </c>
      <c r="G16" s="425"/>
      <c r="H16" s="424"/>
    </row>
    <row r="17" spans="1:8">
      <c r="A17" s="407" t="s">
        <v>329</v>
      </c>
      <c r="B17" s="407" t="s">
        <v>677</v>
      </c>
      <c r="C17" s="407" t="s">
        <v>678</v>
      </c>
      <c r="D17" s="407" t="s">
        <v>720</v>
      </c>
      <c r="E17" s="406">
        <v>54000000</v>
      </c>
      <c r="F17" s="441">
        <v>46193</v>
      </c>
      <c r="G17" s="425"/>
      <c r="H17" s="424"/>
    </row>
    <row r="18" spans="1:8">
      <c r="A18" s="407" t="s">
        <v>329</v>
      </c>
      <c r="B18" s="407" t="s">
        <v>734</v>
      </c>
      <c r="C18" s="407" t="s">
        <v>792</v>
      </c>
      <c r="D18" s="407" t="s">
        <v>795</v>
      </c>
      <c r="E18" s="406">
        <v>148145500</v>
      </c>
      <c r="F18" s="441">
        <v>46264</v>
      </c>
      <c r="G18" s="425"/>
      <c r="H18" s="424"/>
    </row>
    <row r="19" spans="1:8">
      <c r="A19" s="407" t="s">
        <v>4</v>
      </c>
      <c r="B19" s="407" t="s">
        <v>681</v>
      </c>
      <c r="C19" s="407" t="s">
        <v>682</v>
      </c>
      <c r="D19" s="407" t="s">
        <v>721</v>
      </c>
      <c r="E19" s="406">
        <v>25500000</v>
      </c>
      <c r="F19" s="441">
        <v>46269</v>
      </c>
      <c r="G19" s="425"/>
      <c r="H19" s="424"/>
    </row>
    <row r="20" spans="1:8">
      <c r="A20" s="407" t="s">
        <v>4</v>
      </c>
      <c r="B20" s="407" t="s">
        <v>689</v>
      </c>
      <c r="C20" s="407" t="s">
        <v>690</v>
      </c>
      <c r="D20" s="407" t="s">
        <v>722</v>
      </c>
      <c r="E20" s="406">
        <v>12500000</v>
      </c>
      <c r="F20" s="441">
        <v>46318</v>
      </c>
      <c r="G20" s="425"/>
      <c r="H20" s="424"/>
    </row>
    <row r="21" spans="1:8">
      <c r="A21" s="407" t="s">
        <v>329</v>
      </c>
      <c r="B21" s="407" t="s">
        <v>668</v>
      </c>
      <c r="C21" s="407" t="s">
        <v>696</v>
      </c>
      <c r="D21" s="407" t="s">
        <v>723</v>
      </c>
      <c r="E21" s="406">
        <v>168798600</v>
      </c>
      <c r="F21" s="441">
        <v>46356</v>
      </c>
      <c r="G21" s="425"/>
      <c r="H21" s="424"/>
    </row>
    <row r="22" spans="1:8">
      <c r="A22" s="407" t="s">
        <v>4</v>
      </c>
      <c r="B22" s="407" t="s">
        <v>698</v>
      </c>
      <c r="C22" s="407" t="s">
        <v>785</v>
      </c>
      <c r="D22" s="407" t="s">
        <v>724</v>
      </c>
      <c r="E22" s="406">
        <v>40000000</v>
      </c>
      <c r="F22" s="441">
        <v>46372</v>
      </c>
      <c r="G22" s="425"/>
      <c r="H22" s="424"/>
    </row>
    <row r="23" spans="1:8">
      <c r="A23" s="407" t="s">
        <v>4</v>
      </c>
      <c r="B23" s="407" t="s">
        <v>668</v>
      </c>
      <c r="C23" s="407" t="s">
        <v>780</v>
      </c>
      <c r="D23" s="407" t="s">
        <v>782</v>
      </c>
      <c r="E23" s="406">
        <v>704290588</v>
      </c>
      <c r="F23" s="441">
        <v>46381</v>
      </c>
      <c r="G23" s="425"/>
      <c r="H23" s="425"/>
    </row>
    <row r="24" spans="1:8">
      <c r="A24" s="407"/>
      <c r="B24" s="407"/>
      <c r="C24" s="407"/>
      <c r="D24" s="407"/>
      <c r="E24" s="406"/>
      <c r="F24" s="407"/>
      <c r="G24" s="425"/>
      <c r="H24" s="425"/>
    </row>
    <row r="25" spans="1:8">
      <c r="A25" s="407"/>
      <c r="B25" s="407"/>
      <c r="C25" s="407"/>
      <c r="D25" s="407"/>
      <c r="E25" s="406"/>
      <c r="F25" s="407"/>
      <c r="G25" s="425"/>
      <c r="H25" s="425"/>
    </row>
    <row r="26" spans="1:8">
      <c r="A26" s="407"/>
      <c r="B26" s="407"/>
      <c r="C26" s="407"/>
      <c r="D26" s="407"/>
      <c r="E26" s="406"/>
      <c r="F26" s="407"/>
      <c r="G26" s="425"/>
      <c r="H26" s="425"/>
    </row>
    <row r="27" spans="1:8">
      <c r="A27" s="407"/>
      <c r="B27" s="407"/>
      <c r="C27" s="407"/>
      <c r="D27" s="407"/>
      <c r="E27" s="406"/>
      <c r="F27" s="407"/>
      <c r="G27" s="425"/>
      <c r="H27" s="425"/>
    </row>
    <row r="28" spans="1:8">
      <c r="A28" s="407"/>
      <c r="B28" s="407"/>
      <c r="C28" s="407"/>
      <c r="D28" s="407"/>
      <c r="E28" s="406"/>
      <c r="F28" s="407"/>
      <c r="G28" s="425"/>
      <c r="H28" s="425"/>
    </row>
    <row r="29" spans="1:8">
      <c r="A29" s="407"/>
      <c r="B29" s="407"/>
      <c r="C29" s="407"/>
      <c r="D29" s="407"/>
      <c r="E29" s="406"/>
      <c r="F29" s="407"/>
      <c r="G29" s="425"/>
      <c r="H29" s="425"/>
    </row>
    <row r="30" spans="1:8">
      <c r="A30" s="407"/>
      <c r="B30" s="407"/>
      <c r="C30" s="407"/>
      <c r="D30" s="407"/>
      <c r="E30" s="406"/>
      <c r="F30" s="407"/>
      <c r="G30" s="425"/>
      <c r="H30" s="425"/>
    </row>
    <row r="31" spans="1:8">
      <c r="A31" s="407"/>
      <c r="B31" s="407"/>
      <c r="C31" s="407"/>
      <c r="D31" s="407"/>
      <c r="E31" s="406"/>
      <c r="F31" s="407"/>
      <c r="G31" s="425"/>
      <c r="H31" s="425"/>
    </row>
    <row r="32" spans="1:8">
      <c r="A32" s="407"/>
      <c r="B32" s="407"/>
      <c r="C32" s="407"/>
      <c r="D32" s="407"/>
      <c r="E32" s="406"/>
      <c r="F32" s="407"/>
      <c r="G32" s="425"/>
      <c r="H32" s="425"/>
    </row>
    <row r="33" spans="1:8">
      <c r="A33" s="407"/>
      <c r="B33" s="407"/>
      <c r="C33" s="407"/>
      <c r="D33" s="407"/>
      <c r="E33" s="406"/>
      <c r="F33" s="407"/>
      <c r="G33" s="425"/>
      <c r="H33" s="425"/>
    </row>
    <row r="34" spans="1:8">
      <c r="A34" s="407"/>
      <c r="B34" s="407"/>
      <c r="C34" s="407"/>
      <c r="D34" s="407"/>
      <c r="E34" s="406"/>
      <c r="F34" s="407"/>
      <c r="G34" s="425"/>
      <c r="H34" s="425"/>
    </row>
    <row r="35" spans="1:8">
      <c r="A35" s="407"/>
      <c r="B35" s="407"/>
      <c r="C35" s="407"/>
      <c r="D35" s="407"/>
      <c r="E35" s="407"/>
      <c r="F35" s="407"/>
      <c r="G35" s="425"/>
      <c r="H35" s="425"/>
    </row>
    <row r="36" spans="1:8">
      <c r="A36" s="407"/>
      <c r="B36" s="407"/>
      <c r="C36" s="407"/>
      <c r="D36" s="407"/>
      <c r="E36" s="407"/>
      <c r="F36" s="407"/>
      <c r="G36" s="425"/>
      <c r="H36" s="425"/>
    </row>
    <row r="37" spans="1:8">
      <c r="A37" s="407"/>
      <c r="B37" s="407"/>
      <c r="C37" s="407"/>
      <c r="D37" s="407"/>
      <c r="E37" s="407"/>
      <c r="F37" s="407"/>
      <c r="G37" s="425"/>
      <c r="H37" s="425"/>
    </row>
    <row r="38" spans="1:8">
      <c r="A38" s="407"/>
      <c r="B38" s="407"/>
      <c r="C38" s="407"/>
      <c r="D38" s="407"/>
      <c r="E38" s="407"/>
      <c r="F38" s="407"/>
      <c r="G38" s="425"/>
      <c r="H38" s="425"/>
    </row>
    <row r="39" spans="1:8">
      <c r="A39" s="407"/>
      <c r="B39" s="407"/>
      <c r="C39" s="407"/>
      <c r="D39" s="407"/>
      <c r="E39" s="407"/>
      <c r="F39" s="407"/>
      <c r="G39" s="425"/>
      <c r="H39" s="425"/>
    </row>
    <row r="40" spans="1:8">
      <c r="A40" s="407"/>
      <c r="B40" s="407"/>
      <c r="C40" s="407"/>
      <c r="D40" s="407"/>
      <c r="E40" s="407"/>
      <c r="F40" s="407"/>
      <c r="G40" s="425"/>
      <c r="H40" s="425"/>
    </row>
    <row r="41" spans="1:8">
      <c r="A41" s="407"/>
      <c r="B41" s="407"/>
      <c r="C41" s="407"/>
      <c r="D41" s="407"/>
      <c r="E41" s="407"/>
      <c r="F41" s="407"/>
      <c r="G41" s="425"/>
      <c r="H41" s="425"/>
    </row>
    <row r="42" spans="1:8">
      <c r="A42" s="407"/>
      <c r="B42" s="407"/>
      <c r="C42" s="407"/>
      <c r="D42" s="407"/>
      <c r="E42" s="407"/>
      <c r="F42" s="407"/>
      <c r="G42" s="425"/>
      <c r="H42" s="425"/>
    </row>
    <row r="43" spans="1:8">
      <c r="A43" s="407"/>
      <c r="B43" s="407"/>
      <c r="C43" s="407"/>
      <c r="D43" s="407"/>
      <c r="E43" s="407"/>
      <c r="F43" s="407"/>
      <c r="G43" s="425"/>
      <c r="H43" s="425"/>
    </row>
    <row r="44" spans="1:8">
      <c r="A44" s="407"/>
      <c r="B44" s="407"/>
      <c r="C44" s="407"/>
      <c r="D44" s="407"/>
      <c r="E44" s="407"/>
      <c r="F44" s="407"/>
      <c r="G44" s="425"/>
      <c r="H44" s="425"/>
    </row>
    <row r="45" spans="1:8">
      <c r="A45" s="407"/>
      <c r="B45" s="407"/>
      <c r="C45" s="407"/>
      <c r="D45" s="407"/>
      <c r="E45" s="407"/>
      <c r="F45" s="407"/>
      <c r="G45" s="425"/>
      <c r="H45" s="425"/>
    </row>
    <row r="46" spans="1:8">
      <c r="A46" s="407"/>
      <c r="B46" s="407"/>
      <c r="C46" s="407"/>
      <c r="D46" s="407"/>
      <c r="E46" s="407"/>
      <c r="F46" s="407"/>
      <c r="G46" s="425"/>
      <c r="H46" s="425"/>
    </row>
    <row r="47" spans="1:8">
      <c r="A47" s="407"/>
      <c r="B47" s="407"/>
      <c r="C47" s="407"/>
      <c r="D47" s="407"/>
      <c r="E47" s="407"/>
      <c r="F47" s="407"/>
      <c r="G47" s="425"/>
      <c r="H47" s="425"/>
    </row>
    <row r="48" spans="1:8">
      <c r="A48" s="407"/>
      <c r="B48" s="407"/>
      <c r="C48" s="407"/>
      <c r="D48" s="407"/>
      <c r="E48" s="407"/>
      <c r="F48" s="407"/>
      <c r="G48" s="425"/>
      <c r="H48" s="425"/>
    </row>
    <row r="49" spans="1:8">
      <c r="A49" s="407"/>
      <c r="B49" s="407"/>
      <c r="C49" s="407"/>
      <c r="D49" s="407"/>
      <c r="E49" s="407"/>
      <c r="F49" s="407"/>
      <c r="G49" s="425"/>
      <c r="H49" s="425"/>
    </row>
    <row r="50" spans="1:8">
      <c r="A50" s="407"/>
      <c r="B50" s="407"/>
      <c r="C50" s="407"/>
      <c r="D50" s="407"/>
      <c r="E50" s="407"/>
      <c r="F50" s="407"/>
      <c r="G50" s="425"/>
      <c r="H50" s="425"/>
    </row>
    <row r="51" spans="1:8">
      <c r="A51" s="407"/>
      <c r="B51" s="407"/>
      <c r="C51" s="407"/>
      <c r="D51" s="407"/>
      <c r="E51" s="407"/>
      <c r="F51" s="407"/>
      <c r="G51" s="425"/>
      <c r="H51" s="425"/>
    </row>
    <row r="52" spans="1:8">
      <c r="A52" s="407"/>
      <c r="B52" s="407"/>
      <c r="C52" s="407"/>
      <c r="D52" s="407"/>
      <c r="E52" s="407"/>
      <c r="F52" s="407"/>
      <c r="G52" s="425"/>
      <c r="H52" s="425"/>
    </row>
    <row r="53" spans="1:8">
      <c r="A53" s="407"/>
      <c r="B53" s="407"/>
      <c r="C53" s="407"/>
      <c r="D53" s="407"/>
      <c r="E53" s="407"/>
      <c r="F53" s="407"/>
      <c r="G53" s="425"/>
      <c r="H53" s="425"/>
    </row>
    <row r="54" spans="1:8">
      <c r="A54" s="407"/>
      <c r="B54" s="407"/>
      <c r="C54" s="407"/>
      <c r="D54" s="407"/>
      <c r="E54" s="407"/>
      <c r="F54" s="407"/>
      <c r="G54" s="425"/>
      <c r="H54" s="425"/>
    </row>
    <row r="55" spans="1:8">
      <c r="A55" s="407"/>
      <c r="B55" s="407"/>
      <c r="C55" s="407"/>
      <c r="D55" s="407"/>
      <c r="E55" s="407"/>
      <c r="F55" s="407"/>
      <c r="G55" s="425"/>
      <c r="H55" s="425"/>
    </row>
    <row r="56" spans="1:8">
      <c r="A56" s="407"/>
      <c r="B56" s="407"/>
      <c r="C56" s="407"/>
      <c r="D56" s="407"/>
      <c r="E56" s="407"/>
      <c r="F56" s="407"/>
      <c r="G56" s="425"/>
      <c r="H56" s="425"/>
    </row>
    <row r="57" spans="1:8">
      <c r="A57" s="407"/>
      <c r="B57" s="407"/>
      <c r="C57" s="407"/>
      <c r="D57" s="407"/>
      <c r="E57" s="407"/>
      <c r="F57" s="407"/>
      <c r="G57" s="425"/>
      <c r="H57" s="425"/>
    </row>
    <row r="58" spans="1:8">
      <c r="A58" s="407"/>
      <c r="B58" s="407"/>
      <c r="C58" s="407"/>
      <c r="D58" s="407"/>
      <c r="E58" s="407"/>
      <c r="F58" s="407"/>
      <c r="G58" s="425"/>
      <c r="H58" s="425"/>
    </row>
  </sheetData>
  <autoFilter ref="A1:F2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zoomScale="85" zoomScaleNormal="85" workbookViewId="0">
      <selection activeCell="G37" sqref="G37"/>
    </sheetView>
  </sheetViews>
  <sheetFormatPr defaultColWidth="9.140625" defaultRowHeight="18.75"/>
  <cols>
    <col min="1" max="1" width="7" style="248" customWidth="1"/>
    <col min="2" max="2" width="11.5703125" style="248" bestFit="1" customWidth="1"/>
    <col min="3" max="10" width="18.140625" style="248" bestFit="1" customWidth="1"/>
    <col min="11" max="12" width="23.140625" style="248" bestFit="1" customWidth="1"/>
    <col min="13" max="13" width="22.5703125" style="248" bestFit="1" customWidth="1"/>
    <col min="14" max="14" width="23.140625" style="248" bestFit="1" customWidth="1"/>
    <col min="15" max="15" width="22.5703125" style="248" bestFit="1" customWidth="1"/>
    <col min="16" max="17" width="23.140625" style="248" bestFit="1" customWidth="1"/>
    <col min="18" max="18" width="22.5703125" style="248" bestFit="1" customWidth="1"/>
    <col min="19" max="19" width="23.140625" style="248" bestFit="1" customWidth="1"/>
    <col min="20" max="20" width="24.7109375" style="248" customWidth="1"/>
    <col min="21" max="22" width="23.7109375" style="248" customWidth="1"/>
    <col min="23" max="23" width="12" style="248" bestFit="1" customWidth="1"/>
    <col min="24" max="24" width="20.140625" style="248" customWidth="1"/>
    <col min="25" max="25" width="20.5703125" style="248" customWidth="1"/>
    <col min="26" max="26" width="20.7109375" style="248" customWidth="1"/>
    <col min="27" max="27" width="21.140625" style="248" bestFit="1" customWidth="1"/>
    <col min="28" max="16384" width="9.140625" style="248"/>
  </cols>
  <sheetData>
    <row r="1" spans="1:19">
      <c r="A1" s="73" t="s">
        <v>511</v>
      </c>
    </row>
    <row r="2" spans="1:19">
      <c r="A2" s="247" t="s">
        <v>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>
      <c r="A3" s="249"/>
      <c r="B3" s="250"/>
      <c r="C3" s="523" t="s">
        <v>5</v>
      </c>
      <c r="D3" s="524"/>
      <c r="E3" s="524"/>
      <c r="F3" s="525"/>
      <c r="G3" s="526" t="s">
        <v>809</v>
      </c>
      <c r="H3" s="527"/>
      <c r="I3" s="527"/>
      <c r="J3" s="528"/>
      <c r="K3" s="521" t="s">
        <v>4</v>
      </c>
      <c r="L3" s="522"/>
      <c r="M3" s="333"/>
      <c r="N3" s="521" t="s">
        <v>329</v>
      </c>
      <c r="O3" s="522"/>
      <c r="P3" s="333"/>
      <c r="Q3" s="521" t="s">
        <v>27</v>
      </c>
      <c r="R3" s="522"/>
      <c r="S3" s="332"/>
    </row>
    <row r="4" spans="1:19">
      <c r="A4" s="183" t="s">
        <v>435</v>
      </c>
      <c r="B4" s="251" t="s">
        <v>28</v>
      </c>
      <c r="C4" s="413" t="s">
        <v>3</v>
      </c>
      <c r="D4" s="413" t="s">
        <v>4</v>
      </c>
      <c r="E4" s="413" t="s">
        <v>329</v>
      </c>
      <c r="F4" s="413" t="s">
        <v>27</v>
      </c>
      <c r="G4" s="416" t="s">
        <v>3</v>
      </c>
      <c r="H4" s="416" t="s">
        <v>4</v>
      </c>
      <c r="I4" s="416" t="s">
        <v>329</v>
      </c>
      <c r="J4" s="416" t="s">
        <v>27</v>
      </c>
      <c r="K4" s="315" t="s">
        <v>433</v>
      </c>
      <c r="L4" s="315" t="s">
        <v>432</v>
      </c>
      <c r="M4" s="315" t="s">
        <v>434</v>
      </c>
      <c r="N4" s="315" t="s">
        <v>433</v>
      </c>
      <c r="O4" s="315" t="s">
        <v>432</v>
      </c>
      <c r="P4" s="315" t="s">
        <v>434</v>
      </c>
      <c r="Q4" s="315" t="s">
        <v>433</v>
      </c>
      <c r="R4" s="315" t="s">
        <v>432</v>
      </c>
      <c r="S4" s="315" t="s">
        <v>434</v>
      </c>
    </row>
    <row r="5" spans="1:19">
      <c r="A5" s="256">
        <v>1</v>
      </c>
      <c r="B5" s="257" t="s">
        <v>19</v>
      </c>
      <c r="C5" s="414">
        <v>950000000</v>
      </c>
      <c r="D5" s="414">
        <v>42200000</v>
      </c>
      <c r="E5" s="414">
        <v>66000000</v>
      </c>
      <c r="F5" s="414">
        <f>SUM(C5:E5)</f>
        <v>1058200000</v>
      </c>
      <c r="G5" s="268">
        <v>950000000</v>
      </c>
      <c r="H5" s="268">
        <f>SUM(K5:M5)</f>
        <v>42200000</v>
      </c>
      <c r="I5" s="268">
        <f>SUM(N5:P5)</f>
        <v>66000000</v>
      </c>
      <c r="J5" s="268">
        <f>SUM(G5:I5)</f>
        <v>1058200000</v>
      </c>
      <c r="K5" s="258">
        <f>SUMPRODUCT(
 (KH_CoHoi!$A$2:$A$998="UNI")*
 (KH_CoHoi!$E$2:$E$998=K$4)*
 (KH_CoHoi!$F$2:$F$998=$B5)*
 (KH_CoHoi!$G$2:$G$998)
)</f>
        <v>42200000</v>
      </c>
      <c r="L5" s="258">
        <f>SUMPRODUCT(
 (KH_CoHoi!$A$2:$A$998="UNI")*
 (KH_CoHoi!$E$2:$E$998=L$4)*
 (KH_CoHoi!$F$2:$F$998=$B5)*
 (KH_CoHoi!$G$2:$G$998)
)</f>
        <v>0</v>
      </c>
      <c r="M5" s="258">
        <f>SUMPRODUCT(
 (KH_CoHoi!$A$2:$A$998="UNI")*
 (KH_CoHoi!$E$2:$E$998=M$4)*
 (KH_CoHoi!$F$2:$F$998=$B5)*
 (KH_CoHoi!$G$2:$G$998)
)</f>
        <v>0</v>
      </c>
      <c r="N5" s="258">
        <f>SUMPRODUCT(
 (KH_CoHoi!$A$2:$A$998="G2B")*
 (KH_CoHoi!$E$2:$E$998=N$4)*
 (KH_CoHoi!$F$2:$F$998=$B5)*
 (KH_CoHoi!$G$2:$G$998)
)</f>
        <v>66000000</v>
      </c>
      <c r="O5" s="258">
        <f>SUMPRODUCT(
 (KH_CoHoi!$A$2:$A$998="G2B")*
 (KH_CoHoi!$E$2:$E$998=O$4)*
 (KH_CoHoi!$F$2:$F$998=$B5)*
 (KH_CoHoi!$G$2:$G$998)
)</f>
        <v>0</v>
      </c>
      <c r="P5" s="258">
        <f>SUMPRODUCT(
 (KH_CoHoi!$A$2:$A$998="G2B")*
 (KH_CoHoi!$E$2:$E$998=P$4)*
 (KH_CoHoi!$F$2:$F$998=$B5)*
 (KH_CoHoi!$G$2:$G$998)
)</f>
        <v>0</v>
      </c>
      <c r="Q5" s="258">
        <f>G5+K5+N5</f>
        <v>1058200000</v>
      </c>
      <c r="R5" s="258">
        <f>L5+O5</f>
        <v>0</v>
      </c>
      <c r="S5" s="258">
        <f>M5+P5</f>
        <v>0</v>
      </c>
    </row>
    <row r="6" spans="1:19">
      <c r="A6" s="256">
        <v>2</v>
      </c>
      <c r="B6" s="257" t="s">
        <v>20</v>
      </c>
      <c r="C6" s="414">
        <v>950000000</v>
      </c>
      <c r="D6" s="414">
        <v>200000000</v>
      </c>
      <c r="E6" s="414">
        <v>1500000000</v>
      </c>
      <c r="F6" s="414">
        <f t="shared" ref="F6:F16" si="0">SUM(C6:E6)</f>
        <v>2650000000</v>
      </c>
      <c r="G6" s="268">
        <v>950000000</v>
      </c>
      <c r="H6" s="268">
        <f t="shared" ref="H6:H16" si="1">SUM(K6:M6)</f>
        <v>200000000</v>
      </c>
      <c r="I6" s="268">
        <f t="shared" ref="I6:I16" si="2">SUM(N6:P6)</f>
        <v>0</v>
      </c>
      <c r="J6" s="268">
        <f t="shared" ref="J6:J16" si="3">SUM(G6:I6)</f>
        <v>1150000000</v>
      </c>
      <c r="K6" s="258">
        <f>SUMPRODUCT(
 (KH_CoHoi!$A$2:$A$998="UNI")*
 (KH_CoHoi!$E$2:$E$998=K$4)*
 (KH_CoHoi!$F$2:$F$998=$B6)*
 (KH_CoHoi!$G$2:$G$998)
)</f>
        <v>0</v>
      </c>
      <c r="L6" s="258">
        <f>SUMPRODUCT(
 (KH_CoHoi!$A$2:$A$998="UNI")*
 (KH_CoHoi!$E$2:$E$998=L$4)*
 (KH_CoHoi!$F$2:$F$998=$B6)*
 (KH_CoHoi!$G$2:$G$998)
)</f>
        <v>200000000</v>
      </c>
      <c r="M6" s="258">
        <f>SUMPRODUCT(
 (KH_CoHoi!$A$2:$A$998="UNI")*
 (KH_CoHoi!$E$2:$E$998=M$4)*
 (KH_CoHoi!$F$2:$F$998=$B6)*
 (KH_CoHoi!$G$2:$G$998)
)</f>
        <v>0</v>
      </c>
      <c r="N6" s="258">
        <f>SUMPRODUCT(
 (KH_CoHoi!$A$2:$A$998="G2B")*
 (KH_CoHoi!$E$2:$E$998=N$4)*
 (KH_CoHoi!$F$2:$F$998=$B6)*
 (KH_CoHoi!$G$2:$G$998)
)</f>
        <v>0</v>
      </c>
      <c r="O6" s="258">
        <f>SUMPRODUCT(
 (KH_CoHoi!$A$2:$A$998="G2B")*
 (KH_CoHoi!$E$2:$E$998=O$4)*
 (KH_CoHoi!$F$2:$F$998=$B6)*
 (KH_CoHoi!$G$2:$G$998)
)</f>
        <v>0</v>
      </c>
      <c r="P6" s="258">
        <f>SUMPRODUCT(
 (KH_CoHoi!$A$2:$A$998="G2B")*
 (KH_CoHoi!$E$2:$E$998=P$4)*
 (KH_CoHoi!$F$2:$F$998=$B6)*
 (KH_CoHoi!$G$2:$G$998)
)</f>
        <v>0</v>
      </c>
      <c r="Q6" s="258">
        <f t="shared" ref="Q6:Q16" si="4">G6+K6+N6</f>
        <v>950000000</v>
      </c>
      <c r="R6" s="258">
        <f t="shared" ref="R6:R16" si="5">L6+O6</f>
        <v>200000000</v>
      </c>
      <c r="S6" s="258">
        <f t="shared" ref="S6:S16" si="6">M6+P6</f>
        <v>0</v>
      </c>
    </row>
    <row r="7" spans="1:19">
      <c r="A7" s="256">
        <v>3</v>
      </c>
      <c r="B7" s="257" t="s">
        <v>21</v>
      </c>
      <c r="C7" s="414">
        <v>950000000</v>
      </c>
      <c r="D7" s="414">
        <v>1000000000</v>
      </c>
      <c r="E7" s="414">
        <v>500000000</v>
      </c>
      <c r="F7" s="414">
        <f t="shared" si="0"/>
        <v>2450000000</v>
      </c>
      <c r="G7" s="268">
        <v>950000000</v>
      </c>
      <c r="H7" s="268">
        <f t="shared" si="1"/>
        <v>3115740000</v>
      </c>
      <c r="I7" s="268">
        <f t="shared" si="2"/>
        <v>0</v>
      </c>
      <c r="J7" s="268">
        <f t="shared" si="3"/>
        <v>4065740000</v>
      </c>
      <c r="K7" s="258">
        <f>SUMPRODUCT(
 (KH_CoHoi!$A$2:$A$998="UNI")*
 (KH_CoHoi!$E$2:$E$998=K$4)*
 (KH_CoHoi!$F$2:$F$998=$B7)*
 (KH_CoHoi!$G$2:$G$998)
)</f>
        <v>39540000</v>
      </c>
      <c r="L7" s="258">
        <f>SUMPRODUCT(
 (KH_CoHoi!$A$2:$A$998="UNI")*
 (KH_CoHoi!$E$2:$E$998=L$4)*
 (KH_CoHoi!$F$2:$F$998=$B7)*
 (KH_CoHoi!$G$2:$G$998)
)</f>
        <v>3076200000</v>
      </c>
      <c r="M7" s="258">
        <f>SUMPRODUCT(
 (KH_CoHoi!$A$2:$A$998="UNI")*
 (KH_CoHoi!$E$2:$E$998=M$4)*
 (KH_CoHoi!$F$2:$F$998=$B7)*
 (KH_CoHoi!$G$2:$G$998)
)</f>
        <v>0</v>
      </c>
      <c r="N7" s="258">
        <f>SUMPRODUCT(
 (KH_CoHoi!$A$2:$A$998="G2B")*
 (KH_CoHoi!$E$2:$E$998=N$4)*
 (KH_CoHoi!$F$2:$F$998=$B7)*
 (KH_CoHoi!$G$2:$G$998)
)</f>
        <v>0</v>
      </c>
      <c r="O7" s="258">
        <f>SUMPRODUCT(
 (KH_CoHoi!$A$2:$A$998="G2B")*
 (KH_CoHoi!$E$2:$E$998=O$4)*
 (KH_CoHoi!$F$2:$F$998=$B7)*
 (KH_CoHoi!$G$2:$G$998)
)</f>
        <v>0</v>
      </c>
      <c r="P7" s="258">
        <f>SUMPRODUCT(
 (KH_CoHoi!$A$2:$A$998="G2B")*
 (KH_CoHoi!$E$2:$E$998=P$4)*
 (KH_CoHoi!$F$2:$F$998=$B7)*
 (KH_CoHoi!$G$2:$G$998)
)</f>
        <v>0</v>
      </c>
      <c r="Q7" s="258">
        <f t="shared" si="4"/>
        <v>989540000</v>
      </c>
      <c r="R7" s="258">
        <f t="shared" si="5"/>
        <v>3076200000</v>
      </c>
      <c r="S7" s="258">
        <f t="shared" si="6"/>
        <v>0</v>
      </c>
    </row>
    <row r="8" spans="1:19">
      <c r="A8" s="256">
        <v>4</v>
      </c>
      <c r="B8" s="257" t="s">
        <v>22</v>
      </c>
      <c r="C8" s="414">
        <v>950000000</v>
      </c>
      <c r="D8" s="414">
        <v>800800000</v>
      </c>
      <c r="E8" s="414">
        <v>1000000000</v>
      </c>
      <c r="F8" s="414">
        <f t="shared" si="0"/>
        <v>2750800000</v>
      </c>
      <c r="G8" s="268">
        <v>950000000</v>
      </c>
      <c r="H8" s="268">
        <f t="shared" si="1"/>
        <v>2230600000</v>
      </c>
      <c r="I8" s="268">
        <f t="shared" si="2"/>
        <v>2690500000</v>
      </c>
      <c r="J8" s="268">
        <f t="shared" si="3"/>
        <v>5871100000</v>
      </c>
      <c r="K8" s="258">
        <f>SUMPRODUCT(
 (KH_CoHoi!$A$2:$A$998="UNI")*
 (KH_CoHoi!$E$2:$E$998=K$4)*
 (KH_CoHoi!$F$2:$F$998=$B8)*
 (KH_CoHoi!$G$2:$G$998)
)</f>
        <v>30600000</v>
      </c>
      <c r="L8" s="258">
        <f>SUMPRODUCT(
 (KH_CoHoi!$A$2:$A$998="UNI")*
 (KH_CoHoi!$E$2:$E$998=L$4)*
 (KH_CoHoi!$F$2:$F$998=$B8)*
 (KH_CoHoi!$G$2:$G$998)
)</f>
        <v>2200000000</v>
      </c>
      <c r="M8" s="258">
        <f>SUMPRODUCT(
 (KH_CoHoi!$A$2:$A$998="UNI")*
 (KH_CoHoi!$E$2:$E$998=M$4)*
 (KH_CoHoi!$F$2:$F$998=$B8)*
 (KH_CoHoi!$G$2:$G$998)
)</f>
        <v>0</v>
      </c>
      <c r="N8" s="258">
        <f>SUMPRODUCT(
 (KH_CoHoi!$A$2:$A$998="G2B")*
 (KH_CoHoi!$E$2:$E$998=N$4)*
 (KH_CoHoi!$F$2:$F$998=$B8)*
 (KH_CoHoi!$G$2:$G$998)
)</f>
        <v>0</v>
      </c>
      <c r="O8" s="258">
        <f>SUMPRODUCT(
 (KH_CoHoi!$A$2:$A$998="G2B")*
 (KH_CoHoi!$E$2:$E$998=O$4)*
 (KH_CoHoi!$F$2:$F$998=$B8)*
 (KH_CoHoi!$G$2:$G$998)
)</f>
        <v>2690500000</v>
      </c>
      <c r="P8" s="258">
        <f>SUMPRODUCT(
 (KH_CoHoi!$A$2:$A$998="G2B")*
 (KH_CoHoi!$E$2:$E$998=P$4)*
 (KH_CoHoi!$F$2:$F$998=$B8)*
 (KH_CoHoi!$G$2:$G$998)
)</f>
        <v>0</v>
      </c>
      <c r="Q8" s="258">
        <f t="shared" si="4"/>
        <v>980600000</v>
      </c>
      <c r="R8" s="258">
        <f t="shared" si="5"/>
        <v>4890500000</v>
      </c>
      <c r="S8" s="258">
        <f t="shared" si="6"/>
        <v>0</v>
      </c>
    </row>
    <row r="9" spans="1:19">
      <c r="A9" s="256">
        <v>5</v>
      </c>
      <c r="B9" s="257" t="s">
        <v>23</v>
      </c>
      <c r="C9" s="414">
        <v>950000000</v>
      </c>
      <c r="D9" s="414">
        <v>1357000000</v>
      </c>
      <c r="E9" s="414">
        <v>600000000</v>
      </c>
      <c r="F9" s="414">
        <f t="shared" si="0"/>
        <v>2907000000</v>
      </c>
      <c r="G9" s="268">
        <v>950000000</v>
      </c>
      <c r="H9" s="268">
        <f t="shared" si="1"/>
        <v>6049200000</v>
      </c>
      <c r="I9" s="268">
        <f t="shared" si="2"/>
        <v>2800800000</v>
      </c>
      <c r="J9" s="268">
        <f t="shared" si="3"/>
        <v>9800000000</v>
      </c>
      <c r="K9" s="258">
        <f>SUMPRODUCT(
 (KH_CoHoi!$A$2:$A$998="UNI")*
 (KH_CoHoi!$E$2:$E$998=K$4)*
 (KH_CoHoi!$F$2:$F$998=$B9)*
 (KH_CoHoi!$G$2:$G$998)
)</f>
        <v>49200000</v>
      </c>
      <c r="L9" s="258">
        <f>SUMPRODUCT(
 (KH_CoHoi!$A$2:$A$998="UNI")*
 (KH_CoHoi!$E$2:$E$998=L$4)*
 (KH_CoHoi!$F$2:$F$998=$B9)*
 (KH_CoHoi!$G$2:$G$998)
)</f>
        <v>6000000000</v>
      </c>
      <c r="M9" s="258">
        <f>SUMPRODUCT(
 (KH_CoHoi!$A$2:$A$998="UNI")*
 (KH_CoHoi!$E$2:$E$998=M$4)*
 (KH_CoHoi!$F$2:$F$998=$B9)*
 (KH_CoHoi!$G$2:$G$998)
)</f>
        <v>0</v>
      </c>
      <c r="N9" s="258">
        <f>SUMPRODUCT(
 (KH_CoHoi!$A$2:$A$998="G2B")*
 (KH_CoHoi!$E$2:$E$998=N$4)*
 (KH_CoHoi!$F$2:$F$998=$B9)*
 (KH_CoHoi!$G$2:$G$998)
)</f>
        <v>13600000</v>
      </c>
      <c r="O9" s="258">
        <f>SUMPRODUCT(
 (KH_CoHoi!$A$2:$A$998="G2B")*
 (KH_CoHoi!$E$2:$E$998=O$4)*
 (KH_CoHoi!$F$2:$F$998=$B9)*
 (KH_CoHoi!$G$2:$G$998)
)</f>
        <v>2787200000</v>
      </c>
      <c r="P9" s="258">
        <f>SUMPRODUCT(
 (KH_CoHoi!$A$2:$A$998="G2B")*
 (KH_CoHoi!$E$2:$E$998=P$4)*
 (KH_CoHoi!$F$2:$F$998=$B9)*
 (KH_CoHoi!$G$2:$G$998)
)</f>
        <v>0</v>
      </c>
      <c r="Q9" s="258">
        <f t="shared" si="4"/>
        <v>1012800000</v>
      </c>
      <c r="R9" s="258">
        <f t="shared" si="5"/>
        <v>8787200000</v>
      </c>
      <c r="S9" s="258">
        <f t="shared" si="6"/>
        <v>0</v>
      </c>
    </row>
    <row r="10" spans="1:19">
      <c r="A10" s="256">
        <v>6</v>
      </c>
      <c r="B10" s="257" t="s">
        <v>24</v>
      </c>
      <c r="C10" s="414">
        <v>950000000</v>
      </c>
      <c r="D10" s="414">
        <v>1200000000</v>
      </c>
      <c r="E10" s="414">
        <v>500000000</v>
      </c>
      <c r="F10" s="414">
        <f t="shared" si="0"/>
        <v>2650000000</v>
      </c>
      <c r="G10" s="268">
        <v>950000000</v>
      </c>
      <c r="H10" s="268">
        <f>SUM(K10:M10)</f>
        <v>1900000000</v>
      </c>
      <c r="I10" s="268">
        <f t="shared" si="2"/>
        <v>1891700000</v>
      </c>
      <c r="J10" s="268">
        <f t="shared" si="3"/>
        <v>4741700000</v>
      </c>
      <c r="K10" s="258">
        <f>SUMPRODUCT(
 (KH_CoHoi!$A$2:$A$998="UNI")*
 (KH_CoHoi!$E$2:$E$998=K$4)*
 (KH_CoHoi!$F$2:$F$998=$B10)*
 (KH_CoHoi!$G$2:$G$998)
)</f>
        <v>0</v>
      </c>
      <c r="L10" s="258">
        <f>SUMPRODUCT(
 (KH_CoHoi!$A$2:$A$998="UNI")*
 (KH_CoHoi!$E$2:$E$998=L$4)*
 (KH_CoHoi!$F$2:$F$998=$B10)*
 (KH_CoHoi!$G$2:$G$998)
)</f>
        <v>1900000000</v>
      </c>
      <c r="M10" s="258">
        <f>SUMPRODUCT(
 (KH_CoHoi!$A$2:$A$998="UNI")*
 (KH_CoHoi!$E$2:$E$998=M$4)*
 (KH_CoHoi!$F$2:$F$998=$B10)*
 (KH_CoHoi!$G$2:$G$998)
)</f>
        <v>0</v>
      </c>
      <c r="N10" s="258">
        <f>SUMPRODUCT(
 (KH_CoHoi!$A$2:$A$998="G2B")*
 (KH_CoHoi!$E$2:$E$998=N$4)*
 (KH_CoHoi!$F$2:$F$998=$B10)*
 (KH_CoHoi!$G$2:$G$998)
)</f>
        <v>363000000</v>
      </c>
      <c r="O10" s="258">
        <f>SUMPRODUCT(
 (KH_CoHoi!$A$2:$A$998="G2B")*
 (KH_CoHoi!$E$2:$E$998=O$4)*
 (KH_CoHoi!$F$2:$F$998=$B10)*
 (KH_CoHoi!$G$2:$G$998)
)</f>
        <v>0</v>
      </c>
      <c r="P10" s="258">
        <f>SUMPRODUCT(
 (KH_CoHoi!$A$2:$A$998="G2B")*
 (KH_CoHoi!$E$2:$E$998=P$4)*
 (KH_CoHoi!$F$2:$F$998=$B10)*
 (KH_CoHoi!$G$2:$G$998)
)</f>
        <v>1528700000</v>
      </c>
      <c r="Q10" s="258">
        <f t="shared" si="4"/>
        <v>1313000000</v>
      </c>
      <c r="R10" s="258">
        <f t="shared" si="5"/>
        <v>1900000000</v>
      </c>
      <c r="S10" s="258">
        <f t="shared" si="6"/>
        <v>1528700000</v>
      </c>
    </row>
    <row r="11" spans="1:19">
      <c r="A11" s="256">
        <v>7</v>
      </c>
      <c r="B11" s="257" t="s">
        <v>12</v>
      </c>
      <c r="C11" s="414">
        <v>950000000</v>
      </c>
      <c r="D11" s="414">
        <v>900000000</v>
      </c>
      <c r="E11" s="414">
        <v>500000000</v>
      </c>
      <c r="F11" s="414">
        <f t="shared" si="0"/>
        <v>2350000000</v>
      </c>
      <c r="G11" s="268">
        <v>950000000</v>
      </c>
      <c r="H11" s="268">
        <f t="shared" si="1"/>
        <v>114240000</v>
      </c>
      <c r="I11" s="268">
        <f t="shared" si="2"/>
        <v>0</v>
      </c>
      <c r="J11" s="268">
        <f t="shared" si="3"/>
        <v>1064240000</v>
      </c>
      <c r="K11" s="258">
        <f>SUMPRODUCT(
 (KH_CoHoi!$A$2:$A$998="UNI")*
 (KH_CoHoi!$E$2:$E$998=K$4)*
 (KH_CoHoi!$F$2:$F$998=$B11)*
 (KH_CoHoi!$G$2:$G$998)
)</f>
        <v>0</v>
      </c>
      <c r="L11" s="258">
        <f>SUMPRODUCT(
 (KH_CoHoi!$A$2:$A$998="UNI")*
 (KH_CoHoi!$E$2:$E$998=L$4)*
 (KH_CoHoi!$F$2:$F$998=$B11)*
 (KH_CoHoi!$G$2:$G$998)
)</f>
        <v>114240000</v>
      </c>
      <c r="M11" s="258">
        <f>SUMPRODUCT(
 (KH_CoHoi!$A$2:$A$998="UNI")*
 (KH_CoHoi!$E$2:$E$998=M$4)*
 (KH_CoHoi!$F$2:$F$998=$B11)*
 (KH_CoHoi!$G$2:$G$998)
)</f>
        <v>0</v>
      </c>
      <c r="N11" s="258">
        <f>SUMPRODUCT(
 (KH_CoHoi!$A$2:$A$998="G2B")*
 (KH_CoHoi!$E$2:$E$998=N$4)*
 (KH_CoHoi!$F$2:$F$998=$B11)*
 (KH_CoHoi!$G$2:$G$998)
)</f>
        <v>0</v>
      </c>
      <c r="O11" s="258">
        <f>SUMPRODUCT(
 (KH_CoHoi!$A$2:$A$998="G2B")*
 (KH_CoHoi!$E$2:$E$998=O$4)*
 (KH_CoHoi!$F$2:$F$998=$B11)*
 (KH_CoHoi!$G$2:$G$998)
)</f>
        <v>0</v>
      </c>
      <c r="P11" s="258">
        <f>SUMPRODUCT(
 (KH_CoHoi!$A$2:$A$998="G2B")*
 (KH_CoHoi!$E$2:$E$998=P$4)*
 (KH_CoHoi!$F$2:$F$998=$B11)*
 (KH_CoHoi!$G$2:$G$998)
)</f>
        <v>0</v>
      </c>
      <c r="Q11" s="258">
        <f t="shared" si="4"/>
        <v>950000000</v>
      </c>
      <c r="R11" s="258">
        <f t="shared" si="5"/>
        <v>114240000</v>
      </c>
      <c r="S11" s="258">
        <f t="shared" si="6"/>
        <v>0</v>
      </c>
    </row>
    <row r="12" spans="1:19">
      <c r="A12" s="256">
        <v>8</v>
      </c>
      <c r="B12" s="257" t="s">
        <v>13</v>
      </c>
      <c r="C12" s="414">
        <v>950000000</v>
      </c>
      <c r="D12" s="414">
        <v>800000000</v>
      </c>
      <c r="E12" s="414">
        <v>1300000000</v>
      </c>
      <c r="F12" s="414">
        <f t="shared" si="0"/>
        <v>3050000000</v>
      </c>
      <c r="G12" s="268">
        <v>950000000</v>
      </c>
      <c r="H12" s="268">
        <f t="shared" si="1"/>
        <v>57300000</v>
      </c>
      <c r="I12" s="268">
        <f t="shared" si="2"/>
        <v>0</v>
      </c>
      <c r="J12" s="268">
        <f t="shared" si="3"/>
        <v>1007300000</v>
      </c>
      <c r="K12" s="258">
        <f>SUMPRODUCT(
 (KH_CoHoi!$A$2:$A$998="UNI")*
 (KH_CoHoi!$E$2:$E$998=K$4)*
 (KH_CoHoi!$F$2:$F$998=$B12)*
 (KH_CoHoi!$G$2:$G$998)
)</f>
        <v>57300000</v>
      </c>
      <c r="L12" s="258">
        <f>SUMPRODUCT(
 (KH_CoHoi!$A$2:$A$998="UNI")*
 (KH_CoHoi!$E$2:$E$998=L$4)*
 (KH_CoHoi!$F$2:$F$998=$B12)*
 (KH_CoHoi!$G$2:$G$998)
)</f>
        <v>0</v>
      </c>
      <c r="M12" s="258">
        <f>SUMPRODUCT(
 (KH_CoHoi!$A$2:$A$998="UNI")*
 (KH_CoHoi!$E$2:$E$998=M$4)*
 (KH_CoHoi!$F$2:$F$998=$B12)*
 (KH_CoHoi!$G$2:$G$998)
)</f>
        <v>0</v>
      </c>
      <c r="N12" s="258">
        <f>SUMPRODUCT(
 (KH_CoHoi!$A$2:$A$998="G2B")*
 (KH_CoHoi!$E$2:$E$998=N$4)*
 (KH_CoHoi!$F$2:$F$998=$B12)*
 (KH_CoHoi!$G$2:$G$998)
)</f>
        <v>0</v>
      </c>
      <c r="O12" s="258">
        <f>SUMPRODUCT(
 (KH_CoHoi!$A$2:$A$998="G2B")*
 (KH_CoHoi!$E$2:$E$998=O$4)*
 (KH_CoHoi!$F$2:$F$998=$B12)*
 (KH_CoHoi!$G$2:$G$998)
)</f>
        <v>0</v>
      </c>
      <c r="P12" s="258">
        <f>SUMPRODUCT(
 (KH_CoHoi!$A$2:$A$998="G2B")*
 (KH_CoHoi!$E$2:$E$998=P$4)*
 (KH_CoHoi!$F$2:$F$998=$B12)*
 (KH_CoHoi!$G$2:$G$998)
)</f>
        <v>0</v>
      </c>
      <c r="Q12" s="258">
        <f t="shared" si="4"/>
        <v>1007300000</v>
      </c>
      <c r="R12" s="258">
        <f t="shared" si="5"/>
        <v>0</v>
      </c>
      <c r="S12" s="258">
        <f t="shared" si="6"/>
        <v>0</v>
      </c>
    </row>
    <row r="13" spans="1:19">
      <c r="A13" s="256">
        <v>9</v>
      </c>
      <c r="B13" s="257" t="s">
        <v>14</v>
      </c>
      <c r="C13" s="414">
        <v>950000000</v>
      </c>
      <c r="D13" s="414">
        <v>1100000000</v>
      </c>
      <c r="E13" s="414">
        <v>1334000000</v>
      </c>
      <c r="F13" s="414">
        <f t="shared" si="0"/>
        <v>3384000000</v>
      </c>
      <c r="G13" s="268">
        <v>950000000</v>
      </c>
      <c r="H13" s="268">
        <f t="shared" si="1"/>
        <v>367732000</v>
      </c>
      <c r="I13" s="268">
        <f t="shared" si="2"/>
        <v>0</v>
      </c>
      <c r="J13" s="268">
        <f t="shared" si="3"/>
        <v>1317732000</v>
      </c>
      <c r="K13" s="258">
        <f>SUMPRODUCT(
 (KH_CoHoi!$A$2:$A$998="UNI")*
 (KH_CoHoi!$E$2:$E$998=K$4)*
 (KH_CoHoi!$F$2:$F$998=$B13)*
 (KH_CoHoi!$G$2:$G$998)
)</f>
        <v>12500000</v>
      </c>
      <c r="L13" s="258">
        <f>SUMPRODUCT(
 (KH_CoHoi!$A$2:$A$998="UNI")*
 (KH_CoHoi!$E$2:$E$998=L$4)*
 (KH_CoHoi!$F$2:$F$998=$B13)*
 (KH_CoHoi!$G$2:$G$998)
)</f>
        <v>0</v>
      </c>
      <c r="M13" s="258">
        <f>SUMPRODUCT(
 (KH_CoHoi!$A$2:$A$998="UNI")*
 (KH_CoHoi!$E$2:$E$998=M$4)*
 (KH_CoHoi!$F$2:$F$998=$B13)*
 (KH_CoHoi!$G$2:$G$998)
)</f>
        <v>355232000</v>
      </c>
      <c r="N13" s="258">
        <f>SUMPRODUCT(
 (KH_CoHoi!$A$2:$A$998="G2B")*
 (KH_CoHoi!$E$2:$E$998=N$4)*
 (KH_CoHoi!$F$2:$F$998=$B13)*
 (KH_CoHoi!$G$2:$G$998)
)</f>
        <v>0</v>
      </c>
      <c r="O13" s="258">
        <f>SUMPRODUCT(
 (KH_CoHoi!$A$2:$A$998="G2B")*
 (KH_CoHoi!$E$2:$E$998=O$4)*
 (KH_CoHoi!$F$2:$F$998=$B13)*
 (KH_CoHoi!$G$2:$G$998)
)</f>
        <v>0</v>
      </c>
      <c r="P13" s="258">
        <f>SUMPRODUCT(
 (KH_CoHoi!$A$2:$A$998="G2B")*
 (KH_CoHoi!$E$2:$E$998=P$4)*
 (KH_CoHoi!$F$2:$F$998=$B13)*
 (KH_CoHoi!$G$2:$G$998)
)</f>
        <v>0</v>
      </c>
      <c r="Q13" s="258">
        <f t="shared" si="4"/>
        <v>962500000</v>
      </c>
      <c r="R13" s="258">
        <f t="shared" si="5"/>
        <v>0</v>
      </c>
      <c r="S13" s="258">
        <f t="shared" si="6"/>
        <v>355232000</v>
      </c>
    </row>
    <row r="14" spans="1:19">
      <c r="A14" s="256">
        <v>10</v>
      </c>
      <c r="B14" s="257" t="s">
        <v>15</v>
      </c>
      <c r="C14" s="414">
        <v>950000000</v>
      </c>
      <c r="D14" s="414">
        <v>800000000</v>
      </c>
      <c r="E14" s="414">
        <v>800000000</v>
      </c>
      <c r="F14" s="414">
        <f t="shared" si="0"/>
        <v>2550000000</v>
      </c>
      <c r="G14" s="268">
        <v>950000000</v>
      </c>
      <c r="H14" s="268">
        <f t="shared" si="1"/>
        <v>12500000</v>
      </c>
      <c r="I14" s="268">
        <f t="shared" si="2"/>
        <v>0</v>
      </c>
      <c r="J14" s="268">
        <f t="shared" si="3"/>
        <v>962500000</v>
      </c>
      <c r="K14" s="258">
        <f>SUMPRODUCT(
 (KH_CoHoi!$A$2:$A$998="UNI")*
 (KH_CoHoi!$E$2:$E$998=K$4)*
 (KH_CoHoi!$F$2:$F$998=$B14)*
 (KH_CoHoi!$G$2:$G$998)
)</f>
        <v>12500000</v>
      </c>
      <c r="L14" s="258">
        <f>SUMPRODUCT(
 (KH_CoHoi!$A$2:$A$998="UNI")*
 (KH_CoHoi!$E$2:$E$998=L$4)*
 (KH_CoHoi!$F$2:$F$998=$B14)*
 (KH_CoHoi!$G$2:$G$998)
)</f>
        <v>0</v>
      </c>
      <c r="M14" s="258">
        <f>SUMPRODUCT(
 (KH_CoHoi!$A$2:$A$998="UNI")*
 (KH_CoHoi!$E$2:$E$998=M$4)*
 (KH_CoHoi!$F$2:$F$998=$B14)*
 (KH_CoHoi!$G$2:$G$998)
)</f>
        <v>0</v>
      </c>
      <c r="N14" s="258">
        <f>SUMPRODUCT(
 (KH_CoHoi!$A$2:$A$998="G2B")*
 (KH_CoHoi!$E$2:$E$998=N$4)*
 (KH_CoHoi!$F$2:$F$998=$B14)*
 (KH_CoHoi!$G$2:$G$998)
)</f>
        <v>0</v>
      </c>
      <c r="O14" s="258">
        <f>SUMPRODUCT(
 (KH_CoHoi!$A$2:$A$998="G2B")*
 (KH_CoHoi!$E$2:$E$998=O$4)*
 (KH_CoHoi!$F$2:$F$998=$B14)*
 (KH_CoHoi!$G$2:$G$998)
)</f>
        <v>0</v>
      </c>
      <c r="P14" s="258">
        <f>SUMPRODUCT(
 (KH_CoHoi!$A$2:$A$998="G2B")*
 (KH_CoHoi!$E$2:$E$998=P$4)*
 (KH_CoHoi!$F$2:$F$998=$B14)*
 (KH_CoHoi!$G$2:$G$998)
)</f>
        <v>0</v>
      </c>
      <c r="Q14" s="258">
        <f t="shared" si="4"/>
        <v>962500000</v>
      </c>
      <c r="R14" s="258">
        <f t="shared" si="5"/>
        <v>0</v>
      </c>
      <c r="S14" s="258">
        <f t="shared" si="6"/>
        <v>0</v>
      </c>
    </row>
    <row r="15" spans="1:19">
      <c r="A15" s="256">
        <v>11</v>
      </c>
      <c r="B15" s="257" t="s">
        <v>16</v>
      </c>
      <c r="C15" s="414">
        <v>950000000</v>
      </c>
      <c r="D15" s="414">
        <v>900000000</v>
      </c>
      <c r="E15" s="414">
        <v>900000000</v>
      </c>
      <c r="F15" s="414">
        <f t="shared" si="0"/>
        <v>2750000000</v>
      </c>
      <c r="G15" s="268">
        <v>950000000</v>
      </c>
      <c r="H15" s="268">
        <f t="shared" si="1"/>
        <v>60000000</v>
      </c>
      <c r="I15" s="268">
        <f t="shared" si="2"/>
        <v>3300000</v>
      </c>
      <c r="J15" s="268">
        <f t="shared" si="3"/>
        <v>1013300000</v>
      </c>
      <c r="K15" s="258">
        <f>SUMPRODUCT(
 (KH_CoHoi!$A$2:$A$998="UNI")*
 (KH_CoHoi!$E$2:$E$998=K$4)*
 (KH_CoHoi!$F$2:$F$998=$B15)*
 (KH_CoHoi!$G$2:$G$998)
)</f>
        <v>0</v>
      </c>
      <c r="L15" s="258">
        <f>SUMPRODUCT(
 (KH_CoHoi!$A$2:$A$998="UNI")*
 (KH_CoHoi!$E$2:$E$998=L$4)*
 (KH_CoHoi!$F$2:$F$998=$B15)*
 (KH_CoHoi!$G$2:$G$998)
)</f>
        <v>60000000</v>
      </c>
      <c r="M15" s="258">
        <f>SUMPRODUCT(
 (KH_CoHoi!$A$2:$A$998="UNI")*
 (KH_CoHoi!$E$2:$E$998=M$4)*
 (KH_CoHoi!$F$2:$F$998=$B15)*
 (KH_CoHoi!$G$2:$G$998)
)</f>
        <v>0</v>
      </c>
      <c r="N15" s="258">
        <f>SUMPRODUCT(
 (KH_CoHoi!$A$2:$A$998="G2B")*
 (KH_CoHoi!$E$2:$E$998=N$4)*
 (KH_CoHoi!$F$2:$F$998=$B15)*
 (KH_CoHoi!$G$2:$G$998)
)</f>
        <v>3300000</v>
      </c>
      <c r="O15" s="258">
        <f>SUMPRODUCT(
 (KH_CoHoi!$A$2:$A$998="G2B")*
 (KH_CoHoi!$E$2:$E$998=O$4)*
 (KH_CoHoi!$F$2:$F$998=$B15)*
 (KH_CoHoi!$G$2:$G$998)
)</f>
        <v>0</v>
      </c>
      <c r="P15" s="258">
        <f>SUMPRODUCT(
 (KH_CoHoi!$A$2:$A$998="G2B")*
 (KH_CoHoi!$E$2:$E$998=P$4)*
 (KH_CoHoi!$F$2:$F$998=$B15)*
 (KH_CoHoi!$G$2:$G$998)
)</f>
        <v>0</v>
      </c>
      <c r="Q15" s="258">
        <f t="shared" si="4"/>
        <v>953300000</v>
      </c>
      <c r="R15" s="258">
        <f t="shared" si="5"/>
        <v>60000000</v>
      </c>
      <c r="S15" s="258">
        <f t="shared" si="6"/>
        <v>0</v>
      </c>
    </row>
    <row r="16" spans="1:19">
      <c r="A16" s="256">
        <v>12</v>
      </c>
      <c r="B16" s="257" t="s">
        <v>11</v>
      </c>
      <c r="C16" s="414">
        <v>950000000</v>
      </c>
      <c r="D16" s="414">
        <v>1000000000</v>
      </c>
      <c r="E16" s="414">
        <v>1000000000</v>
      </c>
      <c r="F16" s="414">
        <f t="shared" si="0"/>
        <v>2950000000</v>
      </c>
      <c r="G16" s="268">
        <v>950000000</v>
      </c>
      <c r="H16" s="268">
        <f t="shared" si="1"/>
        <v>35000000</v>
      </c>
      <c r="I16" s="268">
        <f t="shared" si="2"/>
        <v>17500000</v>
      </c>
      <c r="J16" s="268">
        <f t="shared" si="3"/>
        <v>1002500000</v>
      </c>
      <c r="K16" s="258">
        <f>SUMPRODUCT(
 (KH_CoHoi!$A$2:$A$998="UNI")*
 (KH_CoHoi!$E$2:$E$998=K$4)*
 (KH_CoHoi!$F$2:$F$998=$B16)*
 (KH_CoHoi!$G$2:$G$998)
)</f>
        <v>35000000</v>
      </c>
      <c r="L16" s="258">
        <f>SUMPRODUCT(
 (KH_CoHoi!$A$2:$A$998="UNI")*
 (KH_CoHoi!$E$2:$E$998=L$4)*
 (KH_CoHoi!$F$2:$F$998=$B16)*
 (KH_CoHoi!$G$2:$G$998)
)</f>
        <v>0</v>
      </c>
      <c r="M16" s="258">
        <f>SUMPRODUCT(
 (KH_CoHoi!$A$2:$A$998="UNI")*
 (KH_CoHoi!$E$2:$E$998=M$4)*
 (KH_CoHoi!$F$2:$F$998=$B16)*
 (KH_CoHoi!$G$2:$G$998)
)</f>
        <v>0</v>
      </c>
      <c r="N16" s="258">
        <f>SUMPRODUCT(
 (KH_CoHoi!$A$2:$A$998="G2B")*
 (KH_CoHoi!$E$2:$E$998=N$4)*
 (KH_CoHoi!$F$2:$F$998=$B16)*
 (KH_CoHoi!$G$2:$G$998)
)</f>
        <v>17500000</v>
      </c>
      <c r="O16" s="258">
        <f>SUMPRODUCT(
 (KH_CoHoi!$A$2:$A$998="G2B")*
 (KH_CoHoi!$E$2:$E$998=O$4)*
 (KH_CoHoi!$F$2:$F$998=$B16)*
 (KH_CoHoi!$G$2:$G$998)
)</f>
        <v>0</v>
      </c>
      <c r="P16" s="258">
        <f>SUMPRODUCT(
 (KH_CoHoi!$A$2:$A$998="G2B")*
 (KH_CoHoi!$E$2:$E$998=P$4)*
 (KH_CoHoi!$F$2:$F$998=$B16)*
 (KH_CoHoi!$G$2:$G$998)
)</f>
        <v>0</v>
      </c>
      <c r="Q16" s="258">
        <f t="shared" si="4"/>
        <v>1002500000</v>
      </c>
      <c r="R16" s="258">
        <f t="shared" si="5"/>
        <v>0</v>
      </c>
      <c r="S16" s="258">
        <f t="shared" si="6"/>
        <v>0</v>
      </c>
    </row>
    <row r="17" spans="1:19">
      <c r="A17" s="250"/>
      <c r="B17" s="183" t="s">
        <v>313</v>
      </c>
      <c r="C17" s="415">
        <f>SUM(C5:C16)</f>
        <v>11400000000</v>
      </c>
      <c r="D17" s="415">
        <f t="shared" ref="D17:F17" si="7">SUM(D5:D16)</f>
        <v>10100000000</v>
      </c>
      <c r="E17" s="415">
        <f t="shared" si="7"/>
        <v>10000000000</v>
      </c>
      <c r="F17" s="415">
        <f t="shared" si="7"/>
        <v>31500000000</v>
      </c>
      <c r="G17" s="417">
        <f>SUM(G5:G16)</f>
        <v>11400000000</v>
      </c>
      <c r="H17" s="417">
        <f t="shared" ref="H17" si="8">SUM(H5:H16)</f>
        <v>14184512000</v>
      </c>
      <c r="I17" s="417">
        <f t="shared" ref="I17" si="9">SUM(I5:I16)</f>
        <v>7469800000</v>
      </c>
      <c r="J17" s="417">
        <f>SUM(J5:J16)</f>
        <v>33054312000</v>
      </c>
      <c r="K17" s="259">
        <f t="shared" ref="K17:P17" si="10">SUM(K5:K16)</f>
        <v>278840000</v>
      </c>
      <c r="L17" s="259">
        <f t="shared" si="10"/>
        <v>13550440000</v>
      </c>
      <c r="M17" s="259">
        <f t="shared" si="10"/>
        <v>355232000</v>
      </c>
      <c r="N17" s="259">
        <f t="shared" si="10"/>
        <v>463400000</v>
      </c>
      <c r="O17" s="259">
        <f t="shared" si="10"/>
        <v>5477700000</v>
      </c>
      <c r="P17" s="259">
        <f t="shared" si="10"/>
        <v>1528700000</v>
      </c>
      <c r="Q17" s="259">
        <f t="shared" ref="Q17:S17" si="11">SUM(Q5:Q16)</f>
        <v>12142240000</v>
      </c>
      <c r="R17" s="259">
        <f t="shared" si="11"/>
        <v>19028140000</v>
      </c>
      <c r="S17" s="259">
        <f t="shared" si="11"/>
        <v>1883932000</v>
      </c>
    </row>
    <row r="18" spans="1:19">
      <c r="A18" s="1"/>
      <c r="B18" s="271"/>
      <c r="C18" s="271"/>
      <c r="D18" s="271"/>
      <c r="E18" s="271"/>
      <c r="F18" s="271"/>
      <c r="G18" s="271"/>
      <c r="H18" s="271"/>
      <c r="I18" s="271"/>
      <c r="J18" s="271"/>
      <c r="K18" s="272"/>
      <c r="L18" s="272"/>
      <c r="M18" s="272"/>
      <c r="N18" s="272"/>
      <c r="O18" s="272"/>
      <c r="P18" s="272"/>
      <c r="Q18" s="272"/>
      <c r="R18" s="272"/>
      <c r="S18" s="272"/>
    </row>
    <row r="19" spans="1:19">
      <c r="A19" s="247" t="s">
        <v>32</v>
      </c>
      <c r="B19" s="1"/>
      <c r="C19" s="1"/>
      <c r="D19" s="1"/>
      <c r="E19" s="1"/>
      <c r="F19" s="1"/>
      <c r="G19" s="1"/>
      <c r="H19" s="1"/>
      <c r="I19" s="1"/>
      <c r="J19" s="1"/>
      <c r="L19" s="1"/>
      <c r="M19" s="1"/>
      <c r="N19" s="1"/>
      <c r="P19" s="1"/>
    </row>
    <row r="20" spans="1:19">
      <c r="A20" s="249"/>
      <c r="B20" s="250"/>
      <c r="C20" s="523" t="s">
        <v>5</v>
      </c>
      <c r="D20" s="524"/>
      <c r="E20" s="524"/>
      <c r="F20" s="525"/>
      <c r="G20" s="526" t="s">
        <v>809</v>
      </c>
      <c r="H20" s="527"/>
      <c r="I20" s="527"/>
      <c r="J20" s="528"/>
      <c r="K20" s="411" t="s">
        <v>4</v>
      </c>
      <c r="L20" s="412"/>
      <c r="M20" s="423"/>
      <c r="N20" s="411" t="s">
        <v>329</v>
      </c>
      <c r="O20" s="412"/>
      <c r="P20" s="423"/>
      <c r="Q20" s="411" t="s">
        <v>27</v>
      </c>
      <c r="R20" s="412"/>
      <c r="S20" s="423"/>
    </row>
    <row r="21" spans="1:19">
      <c r="A21" s="183" t="s">
        <v>435</v>
      </c>
      <c r="B21" s="251" t="s">
        <v>28</v>
      </c>
      <c r="C21" s="413" t="s">
        <v>3</v>
      </c>
      <c r="D21" s="413" t="s">
        <v>4</v>
      </c>
      <c r="E21" s="413" t="s">
        <v>329</v>
      </c>
      <c r="F21" s="413" t="s">
        <v>27</v>
      </c>
      <c r="G21" s="416" t="s">
        <v>3</v>
      </c>
      <c r="H21" s="416" t="s">
        <v>4</v>
      </c>
      <c r="I21" s="416" t="s">
        <v>329</v>
      </c>
      <c r="J21" s="416" t="s">
        <v>27</v>
      </c>
      <c r="K21" s="315" t="s">
        <v>433</v>
      </c>
      <c r="L21" s="315" t="s">
        <v>432</v>
      </c>
      <c r="M21" s="315" t="s">
        <v>434</v>
      </c>
      <c r="N21" s="315" t="s">
        <v>433</v>
      </c>
      <c r="O21" s="315" t="s">
        <v>432</v>
      </c>
      <c r="P21" s="315" t="s">
        <v>434</v>
      </c>
      <c r="Q21" s="315" t="s">
        <v>433</v>
      </c>
      <c r="R21" s="315" t="s">
        <v>432</v>
      </c>
      <c r="S21" s="315" t="s">
        <v>434</v>
      </c>
    </row>
    <row r="22" spans="1:19">
      <c r="A22" s="256">
        <v>1</v>
      </c>
      <c r="B22" s="257" t="s">
        <v>19</v>
      </c>
      <c r="C22" s="414">
        <v>950000000</v>
      </c>
      <c r="D22" s="414">
        <v>851000000</v>
      </c>
      <c r="E22" s="414">
        <v>270000000</v>
      </c>
      <c r="F22" s="414">
        <f>SUM(C22:E22)</f>
        <v>2071000000</v>
      </c>
      <c r="G22" s="268">
        <v>950000000</v>
      </c>
      <c r="H22" s="268">
        <f t="shared" ref="H22:H33" si="12">SUM(K22:M22)</f>
        <v>0</v>
      </c>
      <c r="I22" s="268">
        <f t="shared" ref="I22:I33" si="13">SUM(N22:P22)</f>
        <v>0</v>
      </c>
      <c r="J22" s="268">
        <f>SUM(G22:I22)</f>
        <v>950000000</v>
      </c>
      <c r="K22" s="258">
        <f>SUMIFS(
 KH_CoHoi!$H$2:$H$998,
 KH_CoHoi!$A$2:$A$998, "UNI",
 KH_CoHoi!$E$2:$E$998, K$21,
 KH_CoHoi!$I$2:$I$998, TRIM($B22)
)
+
SUMIFS(
 KH_CoHoi!$J$2:$J$998,
 KH_CoHoi!$A$2:$A$998, "UNI",
 KH_CoHoi!$E$2:$E$998, K$21,
 KH_CoHoi!$K$2:$K$998, TRIM($B22)
)
+
SUMIFS(
 KH_CoHoi!$L$2:$L$998,
 KH_CoHoi!$A$2:$A$998, "UNI",
 KH_CoHoi!$E$2:$E$998, K$21,
 KH_CoHoi!$M$2:$M$998, TRIM($B22)
)</f>
        <v>0</v>
      </c>
      <c r="L22" s="258">
        <f>SUMIFS(
 KH_CoHoi!$H$2:$H$998,
 KH_CoHoi!$A$2:$A$998, "UNI",
 KH_CoHoi!$E$2:$E$998, L$21,
 KH_CoHoi!$I$2:$I$998, TRIM($B22)
)
+
SUMIFS(
 KH_CoHoi!$J$2:$J$998,
 KH_CoHoi!$A$2:$A$998, "UNI",
 KH_CoHoi!$E$2:$E$998, L$21,
 KH_CoHoi!$K$2:$K$998, TRIM($B22)
)
+
SUMIFS(
 KH_CoHoi!$L$2:$L$998,
 KH_CoHoi!$A$2:$A$998, "UNI",
 KH_CoHoi!$E$2:$E$998, L$21,
 KH_CoHoi!$M$2:$M$998, TRIM($B22)
)</f>
        <v>0</v>
      </c>
      <c r="M22" s="258">
        <f>SUMIFS(
 KH_CoHoi!$H$2:$H$998,
 KH_CoHoi!$A$2:$A$998, "UNI",
 KH_CoHoi!$E$2:$E$998, M$21,
 KH_CoHoi!$I$2:$I$998, TRIM($B22)
)
+
SUMIFS(
 KH_CoHoi!$J$2:$J$998,
 KH_CoHoi!$A$2:$A$998, "UNI",
 KH_CoHoi!$E$2:$E$998, M$21,
 KH_CoHoi!$K$2:$K$998, TRIM($B22)
)
+
SUMIFS(
 KH_CoHoi!$L$2:$L$998,
 KH_CoHoi!$A$2:$A$998, "UNI",
 KH_CoHoi!$E$2:$E$998, M$21,
 KH_CoHoi!$M$2:$M$998, TRIM($B22)
)</f>
        <v>0</v>
      </c>
      <c r="N22" s="258">
        <f>SUMIFS(
 KH_CoHoi!$H$2:$H$998,
 KH_CoHoi!$A$2:$A$998, "G2B",
 KH_CoHoi!$E$2:$E$998, N$21,
 KH_CoHoi!$I$2:$I$998, TRIM($B22)
)
+
SUMIFS(
 KH_CoHoi!$J$2:$J$998,
 KH_CoHoi!$A$2:$A$998, "G2B",
 KH_CoHoi!$E$2:$E$998, N$21,
 KH_CoHoi!$K$2:$K$998, TRIM($B22)
)
+
SUMIFS(
 KH_CoHoi!$L$2:$L$998,
 KH_CoHoi!$A$2:$A$998, "G2B",
 KH_CoHoi!$E$2:$E$998, N$21,
 KH_CoHoi!$M$2:$M$998, TRIM($B22)
)</f>
        <v>0</v>
      </c>
      <c r="O22" s="258">
        <f>SUMIFS(
 KH_CoHoi!$H$2:$H$998,
 KH_CoHoi!$A$2:$A$998, "G2B",
 KH_CoHoi!$E$2:$E$998, O$21,
 KH_CoHoi!$I$2:$I$998, TRIM($B22)
)
+
SUMIFS(
 KH_CoHoi!$J$2:$J$998,
 KH_CoHoi!$A$2:$A$998, "G2B",
 KH_CoHoi!$E$2:$E$998, O$21,
 KH_CoHoi!$K$2:$K$998, TRIM($B22)
)
+
SUMIFS(
 KH_CoHoi!$L$2:$L$998,
 KH_CoHoi!$A$2:$A$998, "G2B",
 KH_CoHoi!$E$2:$E$998, O$21,
 KH_CoHoi!$M$2:$M$998, TRIM($B22)
)</f>
        <v>0</v>
      </c>
      <c r="P22" s="258">
        <f>SUMIFS(
 KH_CoHoi!$H$2:$H$998,
 KH_CoHoi!$A$2:$A$998, "G2B",
 KH_CoHoi!$E$2:$E$998, P$21,
 KH_CoHoi!$I$2:$I$998, TRIM($B22)
)
+
SUMIFS(
 KH_CoHoi!$J$2:$J$998,
 KH_CoHoi!$A$2:$A$998, "G2B",
 KH_CoHoi!$E$2:$E$998, P$21,
 KH_CoHoi!$K$2:$K$998, TRIM($B22)
)
+
SUMIFS(
 KH_CoHoi!$L$2:$L$998,
 KH_CoHoi!$A$2:$A$998, "G2B",
 KH_CoHoi!$E$2:$E$998, P$21,
 KH_CoHoi!$M$2:$M$998, TRIM($B22)
)</f>
        <v>0</v>
      </c>
      <c r="Q22" s="258">
        <f>G22+K22+N22</f>
        <v>950000000</v>
      </c>
      <c r="R22" s="258">
        <f t="shared" ref="R22:R33" si="14">L22+O22</f>
        <v>0</v>
      </c>
      <c r="S22" s="258">
        <f t="shared" ref="S22:S33" si="15">M22+P22</f>
        <v>0</v>
      </c>
    </row>
    <row r="23" spans="1:19">
      <c r="A23" s="256">
        <v>2</v>
      </c>
      <c r="B23" s="257" t="s">
        <v>20</v>
      </c>
      <c r="C23" s="414">
        <v>950000000</v>
      </c>
      <c r="D23" s="414">
        <v>30000000</v>
      </c>
      <c r="E23" s="414">
        <v>1405000000</v>
      </c>
      <c r="F23" s="414">
        <f t="shared" ref="F23:F33" si="16">SUM(C23:E23)</f>
        <v>2385000000</v>
      </c>
      <c r="G23" s="268">
        <v>950000000</v>
      </c>
      <c r="H23" s="268">
        <f t="shared" si="12"/>
        <v>0</v>
      </c>
      <c r="I23" s="268">
        <f t="shared" si="13"/>
        <v>0</v>
      </c>
      <c r="J23" s="268">
        <f t="shared" ref="J23:J33" si="17">SUM(G23:I23)</f>
        <v>950000000</v>
      </c>
      <c r="K23" s="258">
        <f>SUMIFS(
 KH_CoHoi!$H$2:$H$998,
 KH_CoHoi!$A$2:$A$998, "UNI",
 KH_CoHoi!$E$2:$E$998, K$21,
 KH_CoHoi!$I$2:$I$998, TRIM($B23)
)
+
SUMIFS(
 KH_CoHoi!$J$2:$J$998,
 KH_CoHoi!$A$2:$A$998, "UNI",
 KH_CoHoi!$E$2:$E$998, K$21,
 KH_CoHoi!$K$2:$K$998, TRIM($B23)
)
+
SUMIFS(
 KH_CoHoi!$L$2:$L$998,
 KH_CoHoi!$A$2:$A$998, "UNI",
 KH_CoHoi!$E$2:$E$998, K$21,
 KH_CoHoi!$M$2:$M$998, TRIM($B23)
)</f>
        <v>0</v>
      </c>
      <c r="L23" s="258">
        <f>SUMIFS(
 KH_CoHoi!$H$2:$H$998,
 KH_CoHoi!$A$2:$A$998, "UNI",
 KH_CoHoi!$E$2:$E$998, L$21,
 KH_CoHoi!$I$2:$I$998, TRIM($B23)
)
+
SUMIFS(
 KH_CoHoi!$J$2:$J$998,
 KH_CoHoi!$A$2:$A$998, "UNI",
 KH_CoHoi!$E$2:$E$998, L$21,
 KH_CoHoi!$K$2:$K$998, TRIM($B23)
)
+
SUMIFS(
 KH_CoHoi!$L$2:$L$998,
 KH_CoHoi!$A$2:$A$998, "UNI",
 KH_CoHoi!$E$2:$E$998, L$21,
 KH_CoHoi!$M$2:$M$998, TRIM($B23)
)</f>
        <v>0</v>
      </c>
      <c r="M23" s="258">
        <f>SUMIFS(
 KH_CoHoi!$H$2:$H$998,
 KH_CoHoi!$A$2:$A$998, "UNI",
 KH_CoHoi!$E$2:$E$998, M$21,
 KH_CoHoi!$I$2:$I$998, TRIM($B23)
)
+
SUMIFS(
 KH_CoHoi!$J$2:$J$998,
 KH_CoHoi!$A$2:$A$998, "UNI",
 KH_CoHoi!$E$2:$E$998, M$21,
 KH_CoHoi!$K$2:$K$998, TRIM($B23)
)
+
SUMIFS(
 KH_CoHoi!$L$2:$L$998,
 KH_CoHoi!$A$2:$A$998, "UNI",
 KH_CoHoi!$E$2:$E$998, M$21,
 KH_CoHoi!$M$2:$M$998, TRIM($B23)
)</f>
        <v>0</v>
      </c>
      <c r="N23" s="258">
        <f>SUMIFS(
 KH_CoHoi!$H$2:$H$998,
 KH_CoHoi!$A$2:$A$998, "G2B",
 KH_CoHoi!$E$2:$E$998, N$21,
 KH_CoHoi!$I$2:$I$998, TRIM($B23)
)
+
SUMIFS(
 KH_CoHoi!$J$2:$J$998,
 KH_CoHoi!$A$2:$A$998, "G2B",
 KH_CoHoi!$E$2:$E$998, N$21,
 KH_CoHoi!$K$2:$K$998, TRIM($B23)
)
+
SUMIFS(
 KH_CoHoi!$L$2:$L$998,
 KH_CoHoi!$A$2:$A$998, "G2B",
 KH_CoHoi!$E$2:$E$998, N$21,
 KH_CoHoi!$M$2:$M$998, TRIM($B23)
)</f>
        <v>0</v>
      </c>
      <c r="O23" s="258">
        <f>SUMIFS(Vtiger!$H$2:$H$418,Vtiger!$I$2:$I$418,B23,Vtiger!$A$2:$A$418,"G2B",Vtiger!$G$2:$G$418,$O$21)+SUMIFS(Vtiger!$J$2:$J$418,Vtiger!$K$2:$K$418,B23,Vtiger!$A$2:$A$418,"G2B",Vtiger!$G$2:$G$418,$O$21)</f>
        <v>0</v>
      </c>
      <c r="P23" s="258">
        <f>SUMIFS(Vtiger!$H$2:$H$418,Vtiger!$I$2:$I$418,B23,Vtiger!$A$2:$A$418,"G2B",Vtiger!$G$2:$G$418,$P$21)+SUMIFS(Vtiger!$J$2:$J$418,Vtiger!$K$2:$K$418,B23,Vtiger!$A$2:$A$418,"G2B",Vtiger!$G$2:$G$418,$P$21)</f>
        <v>0</v>
      </c>
      <c r="Q23" s="258">
        <f t="shared" ref="Q23:Q33" si="18">G23+K23+N23</f>
        <v>950000000</v>
      </c>
      <c r="R23" s="258">
        <f t="shared" si="14"/>
        <v>0</v>
      </c>
      <c r="S23" s="258">
        <f t="shared" si="15"/>
        <v>0</v>
      </c>
    </row>
    <row r="24" spans="1:19">
      <c r="A24" s="256">
        <v>3</v>
      </c>
      <c r="B24" s="257" t="s">
        <v>21</v>
      </c>
      <c r="C24" s="414">
        <v>950000000</v>
      </c>
      <c r="D24" s="414">
        <v>770000000</v>
      </c>
      <c r="E24" s="414">
        <v>500000000</v>
      </c>
      <c r="F24" s="414">
        <f t="shared" si="16"/>
        <v>2220000000</v>
      </c>
      <c r="G24" s="268">
        <v>950000000</v>
      </c>
      <c r="H24" s="268">
        <f t="shared" si="12"/>
        <v>904860000</v>
      </c>
      <c r="I24" s="268">
        <f t="shared" si="13"/>
        <v>0</v>
      </c>
      <c r="J24" s="268">
        <f t="shared" si="17"/>
        <v>1854860000</v>
      </c>
      <c r="K24" s="258">
        <f>SUMIFS(
 KH_CoHoi!$H$2:$H$998,
 KH_CoHoi!$A$2:$A$998, "UNI",
 KH_CoHoi!$E$2:$E$998, K$21,
 KH_CoHoi!$I$2:$I$998, TRIM($B24)
)
+
SUMIFS(
 KH_CoHoi!$J$2:$J$998,
 KH_CoHoi!$A$2:$A$998, "UNI",
 KH_CoHoi!$E$2:$E$998, K$21,
 KH_CoHoi!$K$2:$K$998, TRIM($B24)
)
+
SUMIFS(
 KH_CoHoi!$L$2:$L$998,
 KH_CoHoi!$A$2:$A$998, "UNI",
 KH_CoHoi!$E$2:$E$998, K$21,
 KH_CoHoi!$M$2:$M$998, TRIM($B24)
)</f>
        <v>0</v>
      </c>
      <c r="L24" s="258">
        <f>SUMIFS(
 KH_CoHoi!$H$2:$H$998,
 KH_CoHoi!$A$2:$A$998, "UNI",
 KH_CoHoi!$E$2:$E$998, L$21,
 KH_CoHoi!$I$2:$I$998, TRIM($B24)
)
+
SUMIFS(
 KH_CoHoi!$J$2:$J$998,
 KH_CoHoi!$A$2:$A$998, "UNI",
 KH_CoHoi!$E$2:$E$998, L$21,
 KH_CoHoi!$K$2:$K$998, TRIM($B24)
)
+
SUMIFS(
 KH_CoHoi!$L$2:$L$998,
 KH_CoHoi!$A$2:$A$998, "UNI",
 KH_CoHoi!$E$2:$E$998, L$21,
 KH_CoHoi!$M$2:$M$998, TRIM($B24)
)</f>
        <v>904860000</v>
      </c>
      <c r="M24" s="258">
        <f>SUMIFS(
 KH_CoHoi!$H$2:$H$998,
 KH_CoHoi!$A$2:$A$998, "UNI",
 KH_CoHoi!$E$2:$E$998, M$21,
 KH_CoHoi!$I$2:$I$998, TRIM($B24)
)
+
SUMIFS(
 KH_CoHoi!$J$2:$J$998,
 KH_CoHoi!$A$2:$A$998, "UNI",
 KH_CoHoi!$E$2:$E$998, M$21,
 KH_CoHoi!$K$2:$K$998, TRIM($B24)
)
+
SUMIFS(
 KH_CoHoi!$L$2:$L$998,
 KH_CoHoi!$A$2:$A$998, "UNI",
 KH_CoHoi!$E$2:$E$998, M$21,
 KH_CoHoi!$M$2:$M$998, TRIM($B24)
)</f>
        <v>0</v>
      </c>
      <c r="N24" s="258">
        <f>SUMIFS(
 KH_CoHoi!$H$2:$H$998,
 KH_CoHoi!$A$2:$A$998, "G2B",
 KH_CoHoi!$E$2:$E$998, N$21,
 KH_CoHoi!$I$2:$I$998, TRIM($B24)
)
+
SUMIFS(
 KH_CoHoi!$J$2:$J$998,
 KH_CoHoi!$A$2:$A$998, "G2B",
 KH_CoHoi!$E$2:$E$998, N$21,
 KH_CoHoi!$K$2:$K$998, TRIM($B24)
)
+
SUMIFS(
 KH_CoHoi!$L$2:$L$998,
 KH_CoHoi!$A$2:$A$998, "G2B",
 KH_CoHoi!$E$2:$E$998, N$21,
 KH_CoHoi!$M$2:$M$998, TRIM($B24)
)</f>
        <v>0</v>
      </c>
      <c r="O24" s="258">
        <f>SUMIFS(Vtiger!$H$2:$H$418,Vtiger!$I$2:$I$418,B24,Vtiger!$A$2:$A$418,"G2B",Vtiger!$G$2:$G$418,$O$21)+SUMIFS(Vtiger!$J$2:$J$418,Vtiger!$K$2:$K$418,B24,Vtiger!$A$2:$A$418,"G2B",Vtiger!$G$2:$G$418,$O$21)</f>
        <v>0</v>
      </c>
      <c r="P24" s="258">
        <f>SUMIFS(Vtiger!$H$2:$H$418,Vtiger!$I$2:$I$418,B24,Vtiger!$A$2:$A$418,"G2B",Vtiger!$G$2:$G$418,$P$21)+SUMIFS(Vtiger!$J$2:$J$418,Vtiger!$K$2:$K$418,B24,Vtiger!$A$2:$A$418,"G2B",Vtiger!$G$2:$G$418,$P$21)</f>
        <v>0</v>
      </c>
      <c r="Q24" s="258">
        <f t="shared" si="18"/>
        <v>950000000</v>
      </c>
      <c r="R24" s="258">
        <f t="shared" si="14"/>
        <v>904860000</v>
      </c>
      <c r="S24" s="258">
        <f t="shared" si="15"/>
        <v>0</v>
      </c>
    </row>
    <row r="25" spans="1:19">
      <c r="A25" s="256">
        <v>4</v>
      </c>
      <c r="B25" s="257" t="s">
        <v>22</v>
      </c>
      <c r="C25" s="414">
        <v>950000000</v>
      </c>
      <c r="D25" s="414">
        <v>660000000</v>
      </c>
      <c r="E25" s="414">
        <v>890000000</v>
      </c>
      <c r="F25" s="414">
        <f t="shared" si="16"/>
        <v>2500000000</v>
      </c>
      <c r="G25" s="268">
        <v>950000000</v>
      </c>
      <c r="H25" s="268">
        <f t="shared" si="12"/>
        <v>660000000</v>
      </c>
      <c r="I25" s="268">
        <f t="shared" si="13"/>
        <v>0</v>
      </c>
      <c r="J25" s="268">
        <f t="shared" si="17"/>
        <v>1610000000</v>
      </c>
      <c r="K25" s="258">
        <f>SUMIFS(
 KH_CoHoi!$H$2:$H$998,
 KH_CoHoi!$A$2:$A$998, "UNI",
 KH_CoHoi!$E$2:$E$998, K$21,
 KH_CoHoi!$I$2:$I$998, TRIM($B25)
)
+
SUMIFS(
 KH_CoHoi!$J$2:$J$998,
 KH_CoHoi!$A$2:$A$998, "UNI",
 KH_CoHoi!$E$2:$E$998, K$21,
 KH_CoHoi!$K$2:$K$998, TRIM($B25)
)
+
SUMIFS(
 KH_CoHoi!$L$2:$L$998,
 KH_CoHoi!$A$2:$A$998, "UNI",
 KH_CoHoi!$E$2:$E$998, K$21,
 KH_CoHoi!$M$2:$M$998, TRIM($B25)
)</f>
        <v>0</v>
      </c>
      <c r="L25" s="258">
        <f>SUMIFS(
 KH_CoHoi!$H$2:$H$998,
 KH_CoHoi!$A$2:$A$998, "UNI",
 KH_CoHoi!$E$2:$E$998, L$21,
 KH_CoHoi!$I$2:$I$998, TRIM($B25)
)
+
SUMIFS(
 KH_CoHoi!$J$2:$J$998,
 KH_CoHoi!$A$2:$A$998, "UNI",
 KH_CoHoi!$E$2:$E$998, L$21,
 KH_CoHoi!$K$2:$K$998, TRIM($B25)
)
+
SUMIFS(
 KH_CoHoi!$L$2:$L$998,
 KH_CoHoi!$A$2:$A$998, "UNI",
 KH_CoHoi!$E$2:$E$998, L$21,
 KH_CoHoi!$M$2:$M$998, TRIM($B25)
)</f>
        <v>660000000</v>
      </c>
      <c r="M25" s="258">
        <f>SUMIFS(
 KH_CoHoi!$H$2:$H$998,
 KH_CoHoi!$A$2:$A$998, "UNI",
 KH_CoHoi!$E$2:$E$998, M$21,
 KH_CoHoi!$I$2:$I$998, TRIM($B25)
)
+
SUMIFS(
 KH_CoHoi!$J$2:$J$998,
 KH_CoHoi!$A$2:$A$998, "UNI",
 KH_CoHoi!$E$2:$E$998, M$21,
 KH_CoHoi!$K$2:$K$998, TRIM($B25)
)
+
SUMIFS(
 KH_CoHoi!$L$2:$L$998,
 KH_CoHoi!$A$2:$A$998, "UNI",
 KH_CoHoi!$E$2:$E$998, M$21,
 KH_CoHoi!$M$2:$M$998, TRIM($B25)
)</f>
        <v>0</v>
      </c>
      <c r="N25" s="258">
        <f>SUMIFS(
 KH_CoHoi!$H$2:$H$998,
 KH_CoHoi!$A$2:$A$998, "G2B",
 KH_CoHoi!$E$2:$E$998, N$21,
 KH_CoHoi!$I$2:$I$998, TRIM($B25)
)
+
SUMIFS(
 KH_CoHoi!$J$2:$J$998,
 KH_CoHoi!$A$2:$A$998, "G2B",
 KH_CoHoi!$E$2:$E$998, N$21,
 KH_CoHoi!$K$2:$K$998, TRIM($B25)
)
+
SUMIFS(
 KH_CoHoi!$L$2:$L$998,
 KH_CoHoi!$A$2:$A$998, "G2B",
 KH_CoHoi!$E$2:$E$998, N$21,
 KH_CoHoi!$M$2:$M$998, TRIM($B25)
)</f>
        <v>0</v>
      </c>
      <c r="O25" s="258">
        <f>SUMIFS(Vtiger!$H$2:$H$418,Vtiger!$I$2:$I$418,B25,Vtiger!$A$2:$A$418,"G2B",Vtiger!$G$2:$G$418,$O$21)+SUMIFS(Vtiger!$J$2:$J$418,Vtiger!$K$2:$K$418,B25,Vtiger!$A$2:$A$418,"G2B",Vtiger!$G$2:$G$418,$O$21)</f>
        <v>0</v>
      </c>
      <c r="P25" s="258">
        <f>SUMIFS(Vtiger!$H$2:$H$418,Vtiger!$I$2:$I$418,B25,Vtiger!$A$2:$A$418,"G2B",Vtiger!$G$2:$G$418,$P$21)+SUMIFS(Vtiger!$J$2:$J$418,Vtiger!$K$2:$K$418,B25,Vtiger!$A$2:$A$418,"G2B",Vtiger!$G$2:$G$418,$P$21)</f>
        <v>0</v>
      </c>
      <c r="Q25" s="258">
        <f t="shared" si="18"/>
        <v>950000000</v>
      </c>
      <c r="R25" s="258">
        <f t="shared" si="14"/>
        <v>660000000</v>
      </c>
      <c r="S25" s="258">
        <f t="shared" si="15"/>
        <v>0</v>
      </c>
    </row>
    <row r="26" spans="1:19">
      <c r="A26" s="256">
        <v>5</v>
      </c>
      <c r="B26" s="257" t="s">
        <v>23</v>
      </c>
      <c r="C26" s="414">
        <v>950000000</v>
      </c>
      <c r="D26" s="414">
        <v>865000000</v>
      </c>
      <c r="E26" s="414">
        <v>300000000</v>
      </c>
      <c r="F26" s="414">
        <f t="shared" si="16"/>
        <v>2115000000</v>
      </c>
      <c r="G26" s="268">
        <v>950000000</v>
      </c>
      <c r="H26" s="268">
        <f t="shared" si="12"/>
        <v>2000000000</v>
      </c>
      <c r="I26" s="268">
        <f t="shared" si="13"/>
        <v>0</v>
      </c>
      <c r="J26" s="268">
        <f t="shared" si="17"/>
        <v>2950000000</v>
      </c>
      <c r="K26" s="258">
        <f>SUMIFS(
 KH_CoHoi!$H$2:$H$998,
 KH_CoHoi!$A$2:$A$998, "UNI",
 KH_CoHoi!$E$2:$E$998, K$21,
 KH_CoHoi!$I$2:$I$998, TRIM($B26)
)
+
SUMIFS(
 KH_CoHoi!$J$2:$J$998,
 KH_CoHoi!$A$2:$A$998, "UNI",
 KH_CoHoi!$E$2:$E$998, K$21,
 KH_CoHoi!$K$2:$K$998, TRIM($B26)
)
+
SUMIFS(
 KH_CoHoi!$L$2:$L$998,
 KH_CoHoi!$A$2:$A$998, "UNI",
 KH_CoHoi!$E$2:$E$998, K$21,
 KH_CoHoi!$M$2:$M$998, TRIM($B26)
)</f>
        <v>0</v>
      </c>
      <c r="L26" s="258">
        <f>SUMIFS(
 KH_CoHoi!$H$2:$H$998,
 KH_CoHoi!$A$2:$A$998, "UNI",
 KH_CoHoi!$E$2:$E$998, L$21,
 KH_CoHoi!$I$2:$I$998, TRIM($B26)
)
+
SUMIFS(
 KH_CoHoi!$J$2:$J$998,
 KH_CoHoi!$A$2:$A$998, "UNI",
 KH_CoHoi!$E$2:$E$998, L$21,
 KH_CoHoi!$K$2:$K$998, TRIM($B26)
)
+
SUMIFS(
 KH_CoHoi!$L$2:$L$998,
 KH_CoHoi!$A$2:$A$998, "UNI",
 KH_CoHoi!$E$2:$E$998, L$21,
 KH_CoHoi!$M$2:$M$998, TRIM($B26)
)</f>
        <v>2000000000</v>
      </c>
      <c r="M26" s="258">
        <f>SUMIFS(
 KH_CoHoi!$H$2:$H$998,
 KH_CoHoi!$A$2:$A$998, "UNI",
 KH_CoHoi!$E$2:$E$998, M$21,
 KH_CoHoi!$I$2:$I$998, TRIM($B26)
)
+
SUMIFS(
 KH_CoHoi!$J$2:$J$998,
 KH_CoHoi!$A$2:$A$998, "UNI",
 KH_CoHoi!$E$2:$E$998, M$21,
 KH_CoHoi!$K$2:$K$998, TRIM($B26)
)
+
SUMIFS(
 KH_CoHoi!$L$2:$L$998,
 KH_CoHoi!$A$2:$A$998, "UNI",
 KH_CoHoi!$E$2:$E$998, M$21,
 KH_CoHoi!$M$2:$M$998, TRIM($B26)
)</f>
        <v>0</v>
      </c>
      <c r="N26" s="258">
        <f>SUMIFS(
 KH_CoHoi!$H$2:$H$998,
 KH_CoHoi!$A$2:$A$998, "G2B",
 KH_CoHoi!$E$2:$E$998, N$21,
 KH_CoHoi!$I$2:$I$998, TRIM($B26)
)
+
SUMIFS(
 KH_CoHoi!$J$2:$J$998,
 KH_CoHoi!$A$2:$A$998, "G2B",
 KH_CoHoi!$E$2:$E$998, N$21,
 KH_CoHoi!$K$2:$K$998, TRIM($B26)
)
+
SUMIFS(
 KH_CoHoi!$L$2:$L$998,
 KH_CoHoi!$A$2:$A$998, "G2B",
 KH_CoHoi!$E$2:$E$998, N$21,
 KH_CoHoi!$M$2:$M$998, TRIM($B26)
)</f>
        <v>0</v>
      </c>
      <c r="O26" s="258">
        <f>SUMIFS(Vtiger!$H$2:$H$418,Vtiger!$I$2:$I$418,B26,Vtiger!$A$2:$A$418,"G2B",Vtiger!$G$2:$G$418,$O$21)+SUMIFS(Vtiger!$J$2:$J$418,Vtiger!$K$2:$K$418,B26,Vtiger!$A$2:$A$418,"G2B",Vtiger!$G$2:$G$418,$O$21)</f>
        <v>0</v>
      </c>
      <c r="P26" s="258">
        <f>SUMIFS(Vtiger!$H$2:$H$418,Vtiger!$I$2:$I$418,B26,Vtiger!$A$2:$A$418,"G2B",Vtiger!$G$2:$G$418,$P$21)+SUMIFS(Vtiger!$J$2:$J$418,Vtiger!$K$2:$K$418,B26,Vtiger!$A$2:$A$418,"G2B",Vtiger!$G$2:$G$418,$P$21)</f>
        <v>0</v>
      </c>
      <c r="Q26" s="258">
        <f t="shared" si="18"/>
        <v>950000000</v>
      </c>
      <c r="R26" s="258">
        <f t="shared" si="14"/>
        <v>2000000000</v>
      </c>
      <c r="S26" s="258">
        <f t="shared" si="15"/>
        <v>0</v>
      </c>
    </row>
    <row r="27" spans="1:19">
      <c r="A27" s="256">
        <v>6</v>
      </c>
      <c r="B27" s="257" t="s">
        <v>24</v>
      </c>
      <c r="C27" s="414">
        <v>950000000</v>
      </c>
      <c r="D27" s="414">
        <v>870000000</v>
      </c>
      <c r="E27" s="414">
        <v>765000000</v>
      </c>
      <c r="F27" s="414">
        <f t="shared" si="16"/>
        <v>2585000000</v>
      </c>
      <c r="G27" s="268">
        <v>950000000</v>
      </c>
      <c r="H27" s="268">
        <f t="shared" si="12"/>
        <v>570000000</v>
      </c>
      <c r="I27" s="268">
        <f t="shared" si="13"/>
        <v>0</v>
      </c>
      <c r="J27" s="268">
        <f t="shared" si="17"/>
        <v>1520000000</v>
      </c>
      <c r="K27" s="258">
        <f>SUMIFS(
 KH_CoHoi!$H$2:$H$998,
 KH_CoHoi!$A$2:$A$998, "UNI",
 KH_CoHoi!$E$2:$E$998, K$21,
 KH_CoHoi!$I$2:$I$998, TRIM($B27)
)
+
SUMIFS(
 KH_CoHoi!$J$2:$J$998,
 KH_CoHoi!$A$2:$A$998, "UNI",
 KH_CoHoi!$E$2:$E$998, K$21,
 KH_CoHoi!$K$2:$K$998, TRIM($B27)
)
+
SUMIFS(
 KH_CoHoi!$L$2:$L$998,
 KH_CoHoi!$A$2:$A$998, "UNI",
 KH_CoHoi!$E$2:$E$998, K$21,
 KH_CoHoi!$M$2:$M$998, TRIM($B27)
)</f>
        <v>0</v>
      </c>
      <c r="L27" s="258">
        <f>SUMIFS(
 KH_CoHoi!$H$2:$H$998,
 KH_CoHoi!$A$2:$A$998, "UNI",
 KH_CoHoi!$E$2:$E$998, L$21,
 KH_CoHoi!$I$2:$I$998, TRIM($B27)
)
+
SUMIFS(
 KH_CoHoi!$J$2:$J$998,
 KH_CoHoi!$A$2:$A$998, "UNI",
 KH_CoHoi!$E$2:$E$998, L$21,
 KH_CoHoi!$K$2:$K$998, TRIM($B27)
)
+
SUMIFS(
 KH_CoHoi!$L$2:$L$998,
 KH_CoHoi!$A$2:$A$998, "UNI",
 KH_CoHoi!$E$2:$E$998, L$21,
 KH_CoHoi!$M$2:$M$998, TRIM($B27)
)</f>
        <v>570000000</v>
      </c>
      <c r="M27" s="258">
        <f>SUMIFS(
 KH_CoHoi!$H$2:$H$998,
 KH_CoHoi!$A$2:$A$998, "UNI",
 KH_CoHoi!$E$2:$E$998, M$21,
 KH_CoHoi!$I$2:$I$998, TRIM($B27)
)
+
SUMIFS(
 KH_CoHoi!$J$2:$J$998,
 KH_CoHoi!$A$2:$A$998, "UNI",
 KH_CoHoi!$E$2:$E$998, M$21,
 KH_CoHoi!$K$2:$K$998, TRIM($B27)
)
+
SUMIFS(
 KH_CoHoi!$L$2:$L$998,
 KH_CoHoi!$A$2:$A$998, "UNI",
 KH_CoHoi!$E$2:$E$998, M$21,
 KH_CoHoi!$M$2:$M$998, TRIM($B27)
)</f>
        <v>0</v>
      </c>
      <c r="N27" s="258">
        <f>SUMIFS(
 KH_CoHoi!$H$2:$H$998,
 KH_CoHoi!$A$2:$A$998, "G2B",
 KH_CoHoi!$E$2:$E$998, N$21,
 KH_CoHoi!$I$2:$I$998, TRIM($B27)
)
+
SUMIFS(
 KH_CoHoi!$J$2:$J$998,
 KH_CoHoi!$A$2:$A$998, "G2B",
 KH_CoHoi!$E$2:$E$998, N$21,
 KH_CoHoi!$K$2:$K$998, TRIM($B27)
)
+
SUMIFS(
 KH_CoHoi!$L$2:$L$998,
 KH_CoHoi!$A$2:$A$998, "G2B",
 KH_CoHoi!$E$2:$E$998, N$21,
 KH_CoHoi!$M$2:$M$998, TRIM($B27)
)</f>
        <v>0</v>
      </c>
      <c r="O27" s="258">
        <f>SUMIFS(Vtiger!$H$2:$H$418,Vtiger!$I$2:$I$418,B27,Vtiger!$A$2:$A$418,"G2B",Vtiger!$G$2:$G$418,$O$21)+SUMIFS(Vtiger!$J$2:$J$418,Vtiger!$K$2:$K$418,B27,Vtiger!$A$2:$A$418,"G2B",Vtiger!$G$2:$G$418,$O$21)</f>
        <v>0</v>
      </c>
      <c r="P27" s="258">
        <f>SUMIFS(Vtiger!$H$2:$H$418,Vtiger!$I$2:$I$418,B27,Vtiger!$A$2:$A$418,"G2B",Vtiger!$G$2:$G$418,$P$21)+SUMIFS(Vtiger!$J$2:$J$418,Vtiger!$K$2:$K$418,B27,Vtiger!$A$2:$A$418,"G2B",Vtiger!$G$2:$G$418,$P$21)</f>
        <v>0</v>
      </c>
      <c r="Q27" s="258">
        <f t="shared" si="18"/>
        <v>950000000</v>
      </c>
      <c r="R27" s="258">
        <f t="shared" si="14"/>
        <v>570000000</v>
      </c>
      <c r="S27" s="258">
        <f t="shared" si="15"/>
        <v>0</v>
      </c>
    </row>
    <row r="28" spans="1:19">
      <c r="A28" s="256">
        <v>7</v>
      </c>
      <c r="B28" s="257" t="s">
        <v>12</v>
      </c>
      <c r="C28" s="414">
        <v>950000000</v>
      </c>
      <c r="D28" s="414">
        <v>670000000</v>
      </c>
      <c r="E28" s="414">
        <v>400000000</v>
      </c>
      <c r="F28" s="414">
        <f t="shared" si="16"/>
        <v>2020000000</v>
      </c>
      <c r="G28" s="268">
        <v>950000000</v>
      </c>
      <c r="H28" s="268">
        <f t="shared" si="12"/>
        <v>0</v>
      </c>
      <c r="I28" s="268">
        <f t="shared" si="13"/>
        <v>0</v>
      </c>
      <c r="J28" s="268">
        <f t="shared" si="17"/>
        <v>950000000</v>
      </c>
      <c r="K28" s="258">
        <f>SUMIFS(
 KH_CoHoi!$H$2:$H$998,
 KH_CoHoi!$A$2:$A$998, "UNI",
 KH_CoHoi!$E$2:$E$998, K$21,
 KH_CoHoi!$I$2:$I$998, TRIM($B28)
)
+
SUMIFS(
 KH_CoHoi!$J$2:$J$998,
 KH_CoHoi!$A$2:$A$998, "UNI",
 KH_CoHoi!$E$2:$E$998, K$21,
 KH_CoHoi!$K$2:$K$998, TRIM($B28)
)
+
SUMIFS(
 KH_CoHoi!$L$2:$L$998,
 KH_CoHoi!$A$2:$A$998, "UNI",
 KH_CoHoi!$E$2:$E$998, K$21,
 KH_CoHoi!$M$2:$M$998, TRIM($B28)
)</f>
        <v>0</v>
      </c>
      <c r="L28" s="258">
        <f>SUMIFS(
 KH_CoHoi!$H$2:$H$998,
 KH_CoHoi!$A$2:$A$998, "UNI",
 KH_CoHoi!$E$2:$E$998, L$21,
 KH_CoHoi!$I$2:$I$998, TRIM($B28)
)
+
SUMIFS(
 KH_CoHoi!$J$2:$J$998,
 KH_CoHoi!$A$2:$A$998, "UNI",
 KH_CoHoi!$E$2:$E$998, L$21,
 KH_CoHoi!$K$2:$K$998, TRIM($B28)
)
+
SUMIFS(
 KH_CoHoi!$L$2:$L$998,
 KH_CoHoi!$A$2:$A$998, "UNI",
 KH_CoHoi!$E$2:$E$998, L$21,
 KH_CoHoi!$M$2:$M$998, TRIM($B28)
)</f>
        <v>0</v>
      </c>
      <c r="M28" s="258">
        <f>SUMIFS(
 KH_CoHoi!$H$2:$H$998,
 KH_CoHoi!$A$2:$A$998, "UNI",
 KH_CoHoi!$E$2:$E$998, M$21,
 KH_CoHoi!$I$2:$I$998, TRIM($B28)
)
+
SUMIFS(
 KH_CoHoi!$J$2:$J$998,
 KH_CoHoi!$A$2:$A$998, "UNI",
 KH_CoHoi!$E$2:$E$998, M$21,
 KH_CoHoi!$K$2:$K$998, TRIM($B28)
)
+
SUMIFS(
 KH_CoHoi!$L$2:$L$998,
 KH_CoHoi!$A$2:$A$998, "UNI",
 KH_CoHoi!$E$2:$E$998, M$21,
 KH_CoHoi!$M$2:$M$998, TRIM($B28)
)</f>
        <v>0</v>
      </c>
      <c r="N28" s="258">
        <f>SUMIFS(
 KH_CoHoi!$H$2:$H$998,
 KH_CoHoi!$A$2:$A$998, "G2B",
 KH_CoHoi!$E$2:$E$998, N$21,
 KH_CoHoi!$I$2:$I$998, TRIM($B28)
)
+
SUMIFS(
 KH_CoHoi!$J$2:$J$998,
 KH_CoHoi!$A$2:$A$998, "G2B",
 KH_CoHoi!$E$2:$E$998, N$21,
 KH_CoHoi!$K$2:$K$998, TRIM($B28)
)
+
SUMIFS(
 KH_CoHoi!$L$2:$L$998,
 KH_CoHoi!$A$2:$A$998, "G2B",
 KH_CoHoi!$E$2:$E$998, N$21,
 KH_CoHoi!$M$2:$M$998, TRIM($B28)
)</f>
        <v>0</v>
      </c>
      <c r="O28" s="258">
        <f>SUMIFS(Vtiger!$H$2:$H$418,Vtiger!$I$2:$I$418,B28,Vtiger!$A$2:$A$418,"G2B",Vtiger!$G$2:$G$418,$O$21)+SUMIFS(Vtiger!$J$2:$J$418,Vtiger!$K$2:$K$418,B28,Vtiger!$A$2:$A$418,"G2B",Vtiger!$G$2:$G$418,$O$21)</f>
        <v>0</v>
      </c>
      <c r="P28" s="258">
        <f>SUMIFS(Vtiger!$H$2:$H$418,Vtiger!$I$2:$I$418,B28,Vtiger!$A$2:$A$418,"G2B",Vtiger!$G$2:$G$418,$P$21)+SUMIFS(Vtiger!$J$2:$J$418,Vtiger!$K$2:$K$418,B28,Vtiger!$A$2:$A$418,"G2B",Vtiger!$G$2:$G$418,$P$21)</f>
        <v>0</v>
      </c>
      <c r="Q28" s="258">
        <f t="shared" si="18"/>
        <v>950000000</v>
      </c>
      <c r="R28" s="258">
        <f t="shared" si="14"/>
        <v>0</v>
      </c>
      <c r="S28" s="258">
        <f t="shared" si="15"/>
        <v>0</v>
      </c>
    </row>
    <row r="29" spans="1:19">
      <c r="A29" s="256">
        <v>8</v>
      </c>
      <c r="B29" s="257" t="s">
        <v>13</v>
      </c>
      <c r="C29" s="414">
        <v>950000000</v>
      </c>
      <c r="D29" s="414">
        <v>831000000</v>
      </c>
      <c r="E29" s="414">
        <v>900000000</v>
      </c>
      <c r="F29" s="414">
        <f t="shared" si="16"/>
        <v>2681000000</v>
      </c>
      <c r="G29" s="268">
        <v>950000000</v>
      </c>
      <c r="H29" s="268">
        <f t="shared" si="12"/>
        <v>1540000000</v>
      </c>
      <c r="I29" s="268">
        <f t="shared" si="13"/>
        <v>0</v>
      </c>
      <c r="J29" s="268">
        <f t="shared" si="17"/>
        <v>2490000000</v>
      </c>
      <c r="K29" s="258">
        <f>SUMIFS(
 KH_CoHoi!$H$2:$H$998,
 KH_CoHoi!$A$2:$A$998, "UNI",
 KH_CoHoi!$E$2:$E$998, K$21,
 KH_CoHoi!$I$2:$I$998, TRIM($B29)
)
+
SUMIFS(
 KH_CoHoi!$J$2:$J$998,
 KH_CoHoi!$A$2:$A$998, "UNI",
 KH_CoHoi!$E$2:$E$998, K$21,
 KH_CoHoi!$K$2:$K$998, TRIM($B29)
)
+
SUMIFS(
 KH_CoHoi!$L$2:$L$998,
 KH_CoHoi!$A$2:$A$998, "UNI",
 KH_CoHoi!$E$2:$E$998, K$21,
 KH_CoHoi!$M$2:$M$998, TRIM($B29)
)</f>
        <v>0</v>
      </c>
      <c r="L29" s="258">
        <f>SUMIFS(
 KH_CoHoi!$H$2:$H$998,
 KH_CoHoi!$A$2:$A$998, "UNI",
 KH_CoHoi!$E$2:$E$998, L$21,
 KH_CoHoi!$I$2:$I$998, TRIM($B29)
)
+
SUMIFS(
 KH_CoHoi!$J$2:$J$998,
 KH_CoHoi!$A$2:$A$998, "UNI",
 KH_CoHoi!$E$2:$E$998, L$21,
 KH_CoHoi!$K$2:$K$998, TRIM($B29)
)
+
SUMIFS(
 KH_CoHoi!$L$2:$L$998,
 KH_CoHoi!$A$2:$A$998, "UNI",
 KH_CoHoi!$E$2:$E$998, L$21,
 KH_CoHoi!$M$2:$M$998, TRIM($B29)
)</f>
        <v>1540000000</v>
      </c>
      <c r="M29" s="258">
        <f>SUMIFS(
 KH_CoHoi!$H$2:$H$998,
 KH_CoHoi!$A$2:$A$998, "UNI",
 KH_CoHoi!$E$2:$E$998, M$21,
 KH_CoHoi!$I$2:$I$998, TRIM($B29)
)
+
SUMIFS(
 KH_CoHoi!$J$2:$J$998,
 KH_CoHoi!$A$2:$A$998, "UNI",
 KH_CoHoi!$E$2:$E$998, M$21,
 KH_CoHoi!$K$2:$K$998, TRIM($B29)
)
+
SUMIFS(
 KH_CoHoi!$L$2:$L$998,
 KH_CoHoi!$A$2:$A$998, "UNI",
 KH_CoHoi!$E$2:$E$998, M$21,
 KH_CoHoi!$M$2:$M$998, TRIM($B29)
)</f>
        <v>0</v>
      </c>
      <c r="N29" s="258">
        <f>SUMIFS(
 KH_CoHoi!$H$2:$H$998,
 KH_CoHoi!$A$2:$A$998, "G2B",
 KH_CoHoi!$E$2:$E$998, N$21,
 KH_CoHoi!$I$2:$I$998, TRIM($B29)
)
+
SUMIFS(
 KH_CoHoi!$J$2:$J$998,
 KH_CoHoi!$A$2:$A$998, "G2B",
 KH_CoHoi!$E$2:$E$998, N$21,
 KH_CoHoi!$K$2:$K$998, TRIM($B29)
)
+
SUMIFS(
 KH_CoHoi!$L$2:$L$998,
 KH_CoHoi!$A$2:$A$998, "G2B",
 KH_CoHoi!$E$2:$E$998, N$21,
 KH_CoHoi!$M$2:$M$998, TRIM($B29)
)</f>
        <v>0</v>
      </c>
      <c r="O29" s="258">
        <f>SUMIFS(Vtiger!$H$2:$H$418,Vtiger!$I$2:$I$418,B29,Vtiger!$A$2:$A$418,"G2B",Vtiger!$G$2:$G$418,$O$21)+SUMIFS(Vtiger!$J$2:$J$418,Vtiger!$K$2:$K$418,B29,Vtiger!$A$2:$A$418,"G2B",Vtiger!$G$2:$G$418,$O$21)</f>
        <v>0</v>
      </c>
      <c r="P29" s="258">
        <f>SUMIFS(Vtiger!$H$2:$H$418,Vtiger!$I$2:$I$418,B29,Vtiger!$A$2:$A$418,"G2B",Vtiger!$G$2:$G$418,$P$21)+SUMIFS(Vtiger!$J$2:$J$418,Vtiger!$K$2:$K$418,B29,Vtiger!$A$2:$A$418,"G2B",Vtiger!$G$2:$G$418,$P$21)</f>
        <v>0</v>
      </c>
      <c r="Q29" s="258">
        <f t="shared" si="18"/>
        <v>950000000</v>
      </c>
      <c r="R29" s="258">
        <f t="shared" si="14"/>
        <v>1540000000</v>
      </c>
      <c r="S29" s="258">
        <f t="shared" si="15"/>
        <v>0</v>
      </c>
    </row>
    <row r="30" spans="1:19">
      <c r="A30" s="256">
        <v>9</v>
      </c>
      <c r="B30" s="257" t="s">
        <v>14</v>
      </c>
      <c r="C30" s="414">
        <v>950000000</v>
      </c>
      <c r="D30" s="414">
        <v>725500000</v>
      </c>
      <c r="E30" s="414">
        <v>800000000</v>
      </c>
      <c r="F30" s="414">
        <f t="shared" si="16"/>
        <v>2475500000</v>
      </c>
      <c r="G30" s="268">
        <v>950000000</v>
      </c>
      <c r="H30" s="268">
        <f t="shared" si="12"/>
        <v>6311340000</v>
      </c>
      <c r="I30" s="268">
        <f t="shared" si="13"/>
        <v>0</v>
      </c>
      <c r="J30" s="268">
        <f t="shared" si="17"/>
        <v>7261340000</v>
      </c>
      <c r="K30" s="258">
        <f>SUMIFS(
 KH_CoHoi!$H$2:$H$998,
 KH_CoHoi!$A$2:$A$998, "UNI",
 KH_CoHoi!$E$2:$E$998, K$21,
 KH_CoHoi!$I$2:$I$998, TRIM($B30)
)
+
SUMIFS(
 KH_CoHoi!$J$2:$J$998,
 KH_CoHoi!$A$2:$A$998, "UNI",
 KH_CoHoi!$E$2:$E$998, K$21,
 KH_CoHoi!$K$2:$K$998, TRIM($B30)
)
+
SUMIFS(
 KH_CoHoi!$L$2:$L$998,
 KH_CoHoi!$A$2:$A$998, "UNI",
 KH_CoHoi!$E$2:$E$998, K$21,
 KH_CoHoi!$M$2:$M$998, TRIM($B30)
)</f>
        <v>0</v>
      </c>
      <c r="L30" s="258">
        <f>SUMIFS(
 KH_CoHoi!$H$2:$H$998,
 KH_CoHoi!$A$2:$A$998, "UNI",
 KH_CoHoi!$E$2:$E$998, L$21,
 KH_CoHoi!$I$2:$I$998, TRIM($B30)
)
+
SUMIFS(
 KH_CoHoi!$J$2:$J$998,
 KH_CoHoi!$A$2:$A$998, "UNI",
 KH_CoHoi!$E$2:$E$998, L$21,
 KH_CoHoi!$K$2:$K$998, TRIM($B30)
)
+
SUMIFS(
 KH_CoHoi!$L$2:$L$998,
 KH_CoHoi!$A$2:$A$998, "UNI",
 KH_CoHoi!$E$2:$E$998, L$21,
 KH_CoHoi!$M$2:$M$998, TRIM($B30)
)</f>
        <v>6311340000</v>
      </c>
      <c r="M30" s="258">
        <f>SUMIFS(
 KH_CoHoi!$H$2:$H$998,
 KH_CoHoi!$A$2:$A$998, "UNI",
 KH_CoHoi!$E$2:$E$998, M$21,
 KH_CoHoi!$I$2:$I$998, TRIM($B30)
)
+
SUMIFS(
 KH_CoHoi!$J$2:$J$998,
 KH_CoHoi!$A$2:$A$998, "UNI",
 KH_CoHoi!$E$2:$E$998, M$21,
 KH_CoHoi!$K$2:$K$998, TRIM($B30)
)
+
SUMIFS(
 KH_CoHoi!$L$2:$L$998,
 KH_CoHoi!$A$2:$A$998, "UNI",
 KH_CoHoi!$E$2:$E$998, M$21,
 KH_CoHoi!$M$2:$M$998, TRIM($B30)
)</f>
        <v>0</v>
      </c>
      <c r="N30" s="258">
        <f>SUMIFS(
 KH_CoHoi!$H$2:$H$998,
 KH_CoHoi!$A$2:$A$998, "G2B",
 KH_CoHoi!$E$2:$E$998, N$21,
 KH_CoHoi!$I$2:$I$998, TRIM($B30)
)
+
SUMIFS(
 KH_CoHoi!$J$2:$J$998,
 KH_CoHoi!$A$2:$A$998, "G2B",
 KH_CoHoi!$E$2:$E$998, N$21,
 KH_CoHoi!$K$2:$K$998, TRIM($B30)
)
+
SUMIFS(
 KH_CoHoi!$L$2:$L$998,
 KH_CoHoi!$A$2:$A$998, "G2B",
 KH_CoHoi!$E$2:$E$998, N$21,
 KH_CoHoi!$M$2:$M$998, TRIM($B30)
)</f>
        <v>0</v>
      </c>
      <c r="O30" s="258">
        <f>SUMIFS(Vtiger!$H$2:$H$418,Vtiger!$I$2:$I$418,B30,Vtiger!$A$2:$A$418,"G2B",Vtiger!$G$2:$G$418,$O$21)+SUMIFS(Vtiger!$J$2:$J$418,Vtiger!$K$2:$K$418,B30,Vtiger!$A$2:$A$418,"G2B",Vtiger!$G$2:$G$418,$O$21)</f>
        <v>0</v>
      </c>
      <c r="P30" s="258">
        <f>SUMIFS(Vtiger!$H$2:$H$418,Vtiger!$I$2:$I$418,B30,Vtiger!$A$2:$A$418,"G2B",Vtiger!$G$2:$G$418,$P$21)+SUMIFS(Vtiger!$J$2:$J$418,Vtiger!$K$2:$K$418,B30,Vtiger!$A$2:$A$418,"G2B",Vtiger!$G$2:$G$418,$P$21)</f>
        <v>0</v>
      </c>
      <c r="Q30" s="258">
        <f t="shared" si="18"/>
        <v>950000000</v>
      </c>
      <c r="R30" s="258">
        <f t="shared" si="14"/>
        <v>6311340000</v>
      </c>
      <c r="S30" s="258">
        <f t="shared" si="15"/>
        <v>0</v>
      </c>
    </row>
    <row r="31" spans="1:19">
      <c r="A31" s="256">
        <v>10</v>
      </c>
      <c r="B31" s="257" t="s">
        <v>15</v>
      </c>
      <c r="C31" s="414">
        <v>950000000</v>
      </c>
      <c r="D31" s="414">
        <v>682500000</v>
      </c>
      <c r="E31" s="414">
        <v>600000000</v>
      </c>
      <c r="F31" s="414">
        <f t="shared" si="16"/>
        <v>2232500000</v>
      </c>
      <c r="G31" s="268">
        <v>950000000</v>
      </c>
      <c r="H31" s="268">
        <f t="shared" si="12"/>
        <v>0</v>
      </c>
      <c r="I31" s="268">
        <f t="shared" si="13"/>
        <v>0</v>
      </c>
      <c r="J31" s="268">
        <f t="shared" si="17"/>
        <v>950000000</v>
      </c>
      <c r="K31" s="258">
        <f>SUMIFS(
 KH_CoHoi!$H$2:$H$998,
 KH_CoHoi!$A$2:$A$998, "UNI",
 KH_CoHoi!$E$2:$E$998, K$21,
 KH_CoHoi!$I$2:$I$998, TRIM($B31)
)
+
SUMIFS(
 KH_CoHoi!$J$2:$J$998,
 KH_CoHoi!$A$2:$A$998, "UNI",
 KH_CoHoi!$E$2:$E$998, K$21,
 KH_CoHoi!$K$2:$K$998, TRIM($B31)
)
+
SUMIFS(
 KH_CoHoi!$L$2:$L$998,
 KH_CoHoi!$A$2:$A$998, "UNI",
 KH_CoHoi!$E$2:$E$998, K$21,
 KH_CoHoi!$M$2:$M$998, TRIM($B31)
)</f>
        <v>0</v>
      </c>
      <c r="L31" s="258">
        <f>SUMIFS(
 KH_CoHoi!$H$2:$H$998,
 KH_CoHoi!$A$2:$A$998, "UNI",
 KH_CoHoi!$E$2:$E$998, L$21,
 KH_CoHoi!$I$2:$I$998, TRIM($B31)
)
+
SUMIFS(
 KH_CoHoi!$J$2:$J$998,
 KH_CoHoi!$A$2:$A$998, "UNI",
 KH_CoHoi!$E$2:$E$998, L$21,
 KH_CoHoi!$K$2:$K$998, TRIM($B31)
)
+
SUMIFS(
 KH_CoHoi!$L$2:$L$998,
 KH_CoHoi!$A$2:$A$998, "UNI",
 KH_CoHoi!$E$2:$E$998, L$21,
 KH_CoHoi!$M$2:$M$998, TRIM($B31)
)</f>
        <v>0</v>
      </c>
      <c r="M31" s="258">
        <f>SUMIFS(
 KH_CoHoi!$H$2:$H$998,
 KH_CoHoi!$A$2:$A$998, "UNI",
 KH_CoHoi!$E$2:$E$998, M$21,
 KH_CoHoi!$I$2:$I$998, TRIM($B31)
)
+
SUMIFS(
 KH_CoHoi!$J$2:$J$998,
 KH_CoHoi!$A$2:$A$998, "UNI",
 KH_CoHoi!$E$2:$E$998, M$21,
 KH_CoHoi!$K$2:$K$998, TRIM($B31)
)
+
SUMIFS(
 KH_CoHoi!$L$2:$L$998,
 KH_CoHoi!$A$2:$A$998, "UNI",
 KH_CoHoi!$E$2:$E$998, M$21,
 KH_CoHoi!$M$2:$M$998, TRIM($B31)
)</f>
        <v>0</v>
      </c>
      <c r="N31" s="258">
        <f>SUMIFS(
 KH_CoHoi!$H$2:$H$998,
 KH_CoHoi!$A$2:$A$998, "G2B",
 KH_CoHoi!$E$2:$E$998, N$21,
 KH_CoHoi!$I$2:$I$998, TRIM($B31)
)
+
SUMIFS(
 KH_CoHoi!$J$2:$J$998,
 KH_CoHoi!$A$2:$A$998, "G2B",
 KH_CoHoi!$E$2:$E$998, N$21,
 KH_CoHoi!$K$2:$K$998, TRIM($B31)
)
+
SUMIFS(
 KH_CoHoi!$L$2:$L$998,
 KH_CoHoi!$A$2:$A$998, "G2B",
 KH_CoHoi!$E$2:$E$998, N$21,
 KH_CoHoi!$M$2:$M$998, TRIM($B31)
)</f>
        <v>0</v>
      </c>
      <c r="O31" s="258">
        <f>SUMIFS(Vtiger!$H$2:$H$418,Vtiger!$I$2:$I$418,B31,Vtiger!$A$2:$A$418,"G2B",Vtiger!$G$2:$G$418,$O$21)+SUMIFS(Vtiger!$J$2:$J$418,Vtiger!$K$2:$K$418,B31,Vtiger!$A$2:$A$418,"G2B",Vtiger!$G$2:$G$418,$O$21)</f>
        <v>0</v>
      </c>
      <c r="P31" s="258">
        <f>SUMIFS(Vtiger!$H$2:$H$418,Vtiger!$I$2:$I$418,B31,Vtiger!$A$2:$A$418,"G2B",Vtiger!$G$2:$G$418,$P$21)+SUMIFS(Vtiger!$J$2:$J$418,Vtiger!$K$2:$K$418,B31,Vtiger!$A$2:$A$418,"G2B",Vtiger!$G$2:$G$418,$P$21)</f>
        <v>0</v>
      </c>
      <c r="Q31" s="258">
        <f t="shared" si="18"/>
        <v>950000000</v>
      </c>
      <c r="R31" s="258">
        <f t="shared" si="14"/>
        <v>0</v>
      </c>
      <c r="S31" s="258">
        <f t="shared" si="15"/>
        <v>0</v>
      </c>
    </row>
    <row r="32" spans="1:19">
      <c r="A32" s="256">
        <v>11</v>
      </c>
      <c r="B32" s="257" t="s">
        <v>16</v>
      </c>
      <c r="C32" s="414">
        <v>950000000</v>
      </c>
      <c r="D32" s="414">
        <v>700000000</v>
      </c>
      <c r="E32" s="414">
        <v>970000000</v>
      </c>
      <c r="F32" s="414">
        <f t="shared" si="16"/>
        <v>2620000000</v>
      </c>
      <c r="G32" s="268">
        <v>950000000</v>
      </c>
      <c r="H32" s="268">
        <f t="shared" si="12"/>
        <v>1685232000</v>
      </c>
      <c r="I32" s="268">
        <f t="shared" si="13"/>
        <v>0</v>
      </c>
      <c r="J32" s="268">
        <f t="shared" si="17"/>
        <v>2635232000</v>
      </c>
      <c r="K32" s="258">
        <f>SUMIFS(
 KH_CoHoi!$H$2:$H$998,
 KH_CoHoi!$A$2:$A$998, "UNI",
 KH_CoHoi!$E$2:$E$998, K$21,
 KH_CoHoi!$I$2:$I$998, TRIM($B32)
)
+
SUMIFS(
 KH_CoHoi!$J$2:$J$998,
 KH_CoHoi!$A$2:$A$998, "UNI",
 KH_CoHoi!$E$2:$E$998, K$21,
 KH_CoHoi!$K$2:$K$998, TRIM($B32)
)
+
SUMIFS(
 KH_CoHoi!$L$2:$L$998,
 KH_CoHoi!$A$2:$A$998, "UNI",
 KH_CoHoi!$E$2:$E$998, K$21,
 KH_CoHoi!$M$2:$M$998, TRIM($B32)
)</f>
        <v>0</v>
      </c>
      <c r="L32" s="258">
        <f>SUMIFS(
 KH_CoHoi!$H$2:$H$998,
 KH_CoHoi!$A$2:$A$998, "UNI",
 KH_CoHoi!$E$2:$E$998, L$21,
 KH_CoHoi!$I$2:$I$998, TRIM($B32)
)
+
SUMIFS(
 KH_CoHoi!$J$2:$J$998,
 KH_CoHoi!$A$2:$A$998, "UNI",
 KH_CoHoi!$E$2:$E$998, L$21,
 KH_CoHoi!$K$2:$K$998, TRIM($B32)
)
+
SUMIFS(
 KH_CoHoi!$L$2:$L$998,
 KH_CoHoi!$A$2:$A$998, "UNI",
 KH_CoHoi!$E$2:$E$998, L$21,
 KH_CoHoi!$M$2:$M$998, TRIM($B32)
)</f>
        <v>1330000000</v>
      </c>
      <c r="M32" s="258">
        <f>SUMIFS(
 KH_CoHoi!$H$2:$H$998,
 KH_CoHoi!$A$2:$A$998, "UNI",
 KH_CoHoi!$E$2:$E$998, M$21,
 KH_CoHoi!$I$2:$I$998, TRIM($B32)
)
+
SUMIFS(
 KH_CoHoi!$J$2:$J$998,
 KH_CoHoi!$A$2:$A$998, "UNI",
 KH_CoHoi!$E$2:$E$998, M$21,
 KH_CoHoi!$K$2:$K$998, TRIM($B32)
)
+
SUMIFS(
 KH_CoHoi!$L$2:$L$998,
 KH_CoHoi!$A$2:$A$998, "UNI",
 KH_CoHoi!$E$2:$E$998, M$21,
 KH_CoHoi!$M$2:$M$998, TRIM($B32)
)</f>
        <v>355232000</v>
      </c>
      <c r="N32" s="258">
        <f>SUMIFS(
 KH_CoHoi!$H$2:$H$998,
 KH_CoHoi!$A$2:$A$998, "G2B",
 KH_CoHoi!$E$2:$E$998, N$21,
 KH_CoHoi!$I$2:$I$998, TRIM($B32)
)
+
SUMIFS(
 KH_CoHoi!$J$2:$J$998,
 KH_CoHoi!$A$2:$A$998, "G2B",
 KH_CoHoi!$E$2:$E$998, N$21,
 KH_CoHoi!$K$2:$K$998, TRIM($B32)
)
+
SUMIFS(
 KH_CoHoi!$L$2:$L$998,
 KH_CoHoi!$A$2:$A$998, "G2B",
 KH_CoHoi!$E$2:$E$998, N$21,
 KH_CoHoi!$M$2:$M$998, TRIM($B32)
)</f>
        <v>0</v>
      </c>
      <c r="O32" s="258">
        <f>SUMIFS(Vtiger!$H$2:$H$418,Vtiger!$I$2:$I$418,B32,Vtiger!$A$2:$A$418,"G2B",Vtiger!$G$2:$G$418,$O$21)+SUMIFS(Vtiger!$J$2:$J$418,Vtiger!$K$2:$K$418,B32,Vtiger!$A$2:$A$418,"G2B",Vtiger!$G$2:$G$418,$O$21)</f>
        <v>0</v>
      </c>
      <c r="P32" s="258">
        <f>SUMIFS(Vtiger!$H$2:$H$418,Vtiger!$I$2:$I$418,B32,Vtiger!$A$2:$A$418,"G2B",Vtiger!$G$2:$G$418,$P$21)+SUMIFS(Vtiger!$J$2:$J$418,Vtiger!$K$2:$K$418,B32,Vtiger!$A$2:$A$418,"G2B",Vtiger!$G$2:$G$418,$P$21)</f>
        <v>0</v>
      </c>
      <c r="Q32" s="258">
        <f t="shared" si="18"/>
        <v>950000000</v>
      </c>
      <c r="R32" s="258">
        <f t="shared" si="14"/>
        <v>1330000000</v>
      </c>
      <c r="S32" s="258">
        <f t="shared" si="15"/>
        <v>355232000</v>
      </c>
    </row>
    <row r="33" spans="1:21">
      <c r="A33" s="256">
        <v>12</v>
      </c>
      <c r="B33" s="257" t="s">
        <v>11</v>
      </c>
      <c r="C33" s="414">
        <v>950000000</v>
      </c>
      <c r="D33" s="414">
        <v>1645000000</v>
      </c>
      <c r="E33" s="414">
        <v>1500000000</v>
      </c>
      <c r="F33" s="414">
        <f t="shared" si="16"/>
        <v>4095000000</v>
      </c>
      <c r="G33" s="268">
        <v>950000000</v>
      </c>
      <c r="H33" s="268">
        <f t="shared" si="12"/>
        <v>0</v>
      </c>
      <c r="I33" s="268">
        <f t="shared" si="13"/>
        <v>0</v>
      </c>
      <c r="J33" s="268">
        <f t="shared" si="17"/>
        <v>950000000</v>
      </c>
      <c r="K33" s="258">
        <f>SUMIFS(
 KH_CoHoi!$H$2:$H$998,
 KH_CoHoi!$A$2:$A$998, "UNI",
 KH_CoHoi!$E$2:$E$998, K$21,
 KH_CoHoi!$I$2:$I$998, TRIM($B33)
)
+
SUMIFS(
 KH_CoHoi!$J$2:$J$998,
 KH_CoHoi!$A$2:$A$998, "UNI",
 KH_CoHoi!$E$2:$E$998, K$21,
 KH_CoHoi!$K$2:$K$998, TRIM($B33)
)
+
SUMIFS(
 KH_CoHoi!$L$2:$L$998,
 KH_CoHoi!$A$2:$A$998, "UNI",
 KH_CoHoi!$E$2:$E$998, K$21,
 KH_CoHoi!$M$2:$M$998, TRIM($B33)
)</f>
        <v>0</v>
      </c>
      <c r="L33" s="258">
        <f>SUMIFS(
 KH_CoHoi!$H$2:$H$998,
 KH_CoHoi!$A$2:$A$998, "UNI",
 KH_CoHoi!$E$2:$E$998, L$21,
 KH_CoHoi!$I$2:$I$998, TRIM($B33)
)
+
SUMIFS(
 KH_CoHoi!$J$2:$J$998,
 KH_CoHoi!$A$2:$A$998, "UNI",
 KH_CoHoi!$E$2:$E$998, L$21,
 KH_CoHoi!$K$2:$K$998, TRIM($B33)
)
+
SUMIFS(
 KH_CoHoi!$L$2:$L$998,
 KH_CoHoi!$A$2:$A$998, "UNI",
 KH_CoHoi!$E$2:$E$998, L$21,
 KH_CoHoi!$M$2:$M$998, TRIM($B33)
)</f>
        <v>0</v>
      </c>
      <c r="M33" s="258">
        <f>SUMIFS(
 KH_CoHoi!$H$2:$H$998,
 KH_CoHoi!$A$2:$A$998, "UNI",
 KH_CoHoi!$E$2:$E$998, M$21,
 KH_CoHoi!$I$2:$I$998, TRIM($B33)
)
+
SUMIFS(
 KH_CoHoi!$J$2:$J$998,
 KH_CoHoi!$A$2:$A$998, "UNI",
 KH_CoHoi!$E$2:$E$998, M$21,
 KH_CoHoi!$K$2:$K$998, TRIM($B33)
)
+
SUMIFS(
 KH_CoHoi!$L$2:$L$998,
 KH_CoHoi!$A$2:$A$998, "UNI",
 KH_CoHoi!$E$2:$E$998, M$21,
 KH_CoHoi!$M$2:$M$998, TRIM($B33)
)</f>
        <v>0</v>
      </c>
      <c r="N33" s="258">
        <f>SUMIFS(
 KH_CoHoi!$H$2:$H$998,
 KH_CoHoi!$A$2:$A$998, "G2B",
 KH_CoHoi!$E$2:$E$998, N$21,
 KH_CoHoi!$I$2:$I$998, TRIM($B33)
)
+
SUMIFS(
 KH_CoHoi!$J$2:$J$998,
 KH_CoHoi!$A$2:$A$998, "G2B",
 KH_CoHoi!$E$2:$E$998, N$21,
 KH_CoHoi!$K$2:$K$998, TRIM($B33)
)
+
SUMIFS(
 KH_CoHoi!$L$2:$L$998,
 KH_CoHoi!$A$2:$A$998, "G2B",
 KH_CoHoi!$E$2:$E$998, N$21,
 KH_CoHoi!$M$2:$M$998, TRIM($B33)
)</f>
        <v>0</v>
      </c>
      <c r="O33" s="258">
        <f>SUMIFS(Vtiger!$H$2:$H$418,Vtiger!$I$2:$I$418,B33,Vtiger!$A$2:$A$418,"G2B",Vtiger!$G$2:$G$418,$O$21)+SUMIFS(Vtiger!$J$2:$J$418,Vtiger!$K$2:$K$418,B33,Vtiger!$A$2:$A$418,"G2B",Vtiger!$G$2:$G$418,$O$21)</f>
        <v>0</v>
      </c>
      <c r="P33" s="258">
        <f>SUMIFS(Vtiger!$H$2:$H$418,Vtiger!$I$2:$I$418,B33,Vtiger!$A$2:$A$418,"G2B",Vtiger!$G$2:$G$418,$P$21)+SUMIFS(Vtiger!$J$2:$J$418,Vtiger!$K$2:$K$418,B33,Vtiger!$A$2:$A$418,"G2B",Vtiger!$G$2:$G$418,$P$21)</f>
        <v>0</v>
      </c>
      <c r="Q33" s="258">
        <f t="shared" si="18"/>
        <v>950000000</v>
      </c>
      <c r="R33" s="258">
        <f t="shared" si="14"/>
        <v>0</v>
      </c>
      <c r="S33" s="258">
        <f t="shared" si="15"/>
        <v>0</v>
      </c>
    </row>
    <row r="34" spans="1:21">
      <c r="A34" s="250"/>
      <c r="B34" s="183" t="s">
        <v>313</v>
      </c>
      <c r="C34" s="415">
        <f>SUM(C22:C33)</f>
        <v>11400000000</v>
      </c>
      <c r="D34" s="415">
        <f>SUM(D22:D33)</f>
        <v>9300000000</v>
      </c>
      <c r="E34" s="415">
        <f t="shared" ref="E34" si="19">SUM(E22:E33)</f>
        <v>9300000000</v>
      </c>
      <c r="F34" s="415">
        <f t="shared" ref="F34" si="20">SUM(F22:F33)</f>
        <v>30000000000</v>
      </c>
      <c r="G34" s="417">
        <f>SUM(G22:G33)</f>
        <v>11400000000</v>
      </c>
      <c r="H34" s="417">
        <f t="shared" ref="H34" si="21">SUM(H22:H33)</f>
        <v>13671432000</v>
      </c>
      <c r="I34" s="417">
        <f t="shared" ref="I34" si="22">SUM(I22:I33)</f>
        <v>0</v>
      </c>
      <c r="J34" s="417">
        <f t="shared" ref="J34" si="23">SUM(J22:J33)</f>
        <v>25071432000</v>
      </c>
      <c r="K34" s="259">
        <f t="shared" ref="K34:L34" si="24">SUM(K22:K33)</f>
        <v>0</v>
      </c>
      <c r="L34" s="259">
        <f t="shared" si="24"/>
        <v>13316200000</v>
      </c>
      <c r="M34" s="259">
        <f t="shared" ref="M34:S34" si="25">SUM(M22:M33)</f>
        <v>355232000</v>
      </c>
      <c r="N34" s="259">
        <f t="shared" si="25"/>
        <v>0</v>
      </c>
      <c r="O34" s="259">
        <f t="shared" si="25"/>
        <v>0</v>
      </c>
      <c r="P34" s="259">
        <f t="shared" si="25"/>
        <v>0</v>
      </c>
      <c r="Q34" s="259">
        <f t="shared" si="25"/>
        <v>11400000000</v>
      </c>
      <c r="R34" s="259">
        <f t="shared" si="25"/>
        <v>13316200000</v>
      </c>
      <c r="S34" s="259">
        <f t="shared" si="25"/>
        <v>355232000</v>
      </c>
    </row>
    <row r="35" spans="1:21">
      <c r="I35" s="387"/>
      <c r="J35" s="387"/>
      <c r="T35" s="387"/>
      <c r="U35" s="422"/>
    </row>
    <row r="45" spans="1:21">
      <c r="K45" s="324"/>
    </row>
  </sheetData>
  <mergeCells count="7">
    <mergeCell ref="N3:O3"/>
    <mergeCell ref="Q3:R3"/>
    <mergeCell ref="C3:F3"/>
    <mergeCell ref="C20:F20"/>
    <mergeCell ref="G3:J3"/>
    <mergeCell ref="G20:J20"/>
    <mergeCell ref="K3:L3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148"/>
  <sheetViews>
    <sheetView zoomScaleNormal="100" workbookViewId="0">
      <selection activeCell="F42" sqref="F42"/>
    </sheetView>
  </sheetViews>
  <sheetFormatPr defaultRowHeight="15"/>
  <cols>
    <col min="1" max="1" width="7" bestFit="1" customWidth="1"/>
    <col min="2" max="2" width="45.5703125" customWidth="1"/>
    <col min="3" max="3" width="8.140625" customWidth="1"/>
    <col min="4" max="4" width="55.28515625" customWidth="1"/>
    <col min="5" max="5" width="18.28515625" bestFit="1" customWidth="1"/>
    <col min="6" max="6" width="10.5703125" bestFit="1" customWidth="1"/>
    <col min="7" max="7" width="12.7109375" bestFit="1" customWidth="1"/>
    <col min="8" max="8" width="15.28515625" bestFit="1" customWidth="1"/>
    <col min="9" max="9" width="15.140625" bestFit="1" customWidth="1"/>
    <col min="10" max="10" width="15.28515625" bestFit="1" customWidth="1"/>
    <col min="11" max="11" width="15.140625" bestFit="1" customWidth="1"/>
    <col min="12" max="12" width="17.28515625" customWidth="1"/>
    <col min="13" max="13" width="15.140625" bestFit="1" customWidth="1"/>
  </cols>
  <sheetData>
    <row r="1" spans="1:13">
      <c r="A1" s="420" t="s">
        <v>701</v>
      </c>
      <c r="B1" s="420" t="s">
        <v>699</v>
      </c>
      <c r="C1" s="420" t="s">
        <v>725</v>
      </c>
      <c r="D1" s="420" t="s">
        <v>726</v>
      </c>
      <c r="E1" s="420" t="s">
        <v>727</v>
      </c>
      <c r="F1" s="420" t="s">
        <v>728</v>
      </c>
      <c r="G1" s="420" t="s">
        <v>729</v>
      </c>
      <c r="H1" s="420" t="s">
        <v>730</v>
      </c>
      <c r="I1" s="420" t="s">
        <v>633</v>
      </c>
      <c r="J1" s="420" t="s">
        <v>634</v>
      </c>
      <c r="K1" s="420" t="s">
        <v>635</v>
      </c>
      <c r="L1" s="420" t="s">
        <v>731</v>
      </c>
      <c r="M1" s="420" t="s">
        <v>732</v>
      </c>
    </row>
    <row r="2" spans="1:13">
      <c r="A2" s="405" t="s">
        <v>329</v>
      </c>
      <c r="B2" s="405" t="s">
        <v>557</v>
      </c>
      <c r="C2" s="405" t="s">
        <v>38</v>
      </c>
      <c r="D2" s="405" t="s">
        <v>741</v>
      </c>
      <c r="E2" s="405" t="s">
        <v>433</v>
      </c>
      <c r="F2" s="405" t="s">
        <v>19</v>
      </c>
      <c r="G2" s="406">
        <v>66000000</v>
      </c>
      <c r="H2" s="421">
        <v>0</v>
      </c>
      <c r="I2" s="406" t="s">
        <v>520</v>
      </c>
      <c r="J2" s="421">
        <v>0</v>
      </c>
      <c r="K2" s="406" t="s">
        <v>520</v>
      </c>
      <c r="L2" s="406" t="s">
        <v>520</v>
      </c>
      <c r="M2" s="421">
        <v>0</v>
      </c>
    </row>
    <row r="3" spans="1:13">
      <c r="A3" s="405" t="s">
        <v>4</v>
      </c>
      <c r="B3" s="405" t="s">
        <v>576</v>
      </c>
      <c r="C3" s="405" t="s">
        <v>38</v>
      </c>
      <c r="D3" s="405" t="s">
        <v>742</v>
      </c>
      <c r="E3" s="405" t="s">
        <v>433</v>
      </c>
      <c r="F3" s="405" t="s">
        <v>19</v>
      </c>
      <c r="G3" s="406">
        <v>16000000</v>
      </c>
      <c r="H3" s="421">
        <v>0</v>
      </c>
      <c r="I3" s="406" t="s">
        <v>520</v>
      </c>
      <c r="J3" s="421">
        <v>0</v>
      </c>
      <c r="K3" s="406" t="s">
        <v>520</v>
      </c>
      <c r="L3" s="406" t="s">
        <v>520</v>
      </c>
      <c r="M3" s="421">
        <v>0</v>
      </c>
    </row>
    <row r="4" spans="1:13">
      <c r="A4" s="405" t="s">
        <v>4</v>
      </c>
      <c r="B4" s="405" t="s">
        <v>538</v>
      </c>
      <c r="C4" s="405" t="s">
        <v>38</v>
      </c>
      <c r="D4" s="405" t="s">
        <v>743</v>
      </c>
      <c r="E4" s="405" t="s">
        <v>433</v>
      </c>
      <c r="F4" s="405" t="s">
        <v>19</v>
      </c>
      <c r="G4" s="406">
        <v>26200000</v>
      </c>
      <c r="H4" s="421">
        <v>0</v>
      </c>
      <c r="I4" s="406" t="s">
        <v>520</v>
      </c>
      <c r="J4" s="421">
        <v>0</v>
      </c>
      <c r="K4" s="406" t="s">
        <v>520</v>
      </c>
      <c r="L4" s="406" t="s">
        <v>520</v>
      </c>
      <c r="M4" s="421">
        <v>0</v>
      </c>
    </row>
    <row r="5" spans="1:13">
      <c r="A5" s="405" t="s">
        <v>4</v>
      </c>
      <c r="B5" s="405" t="s">
        <v>531</v>
      </c>
      <c r="C5" s="405" t="s">
        <v>525</v>
      </c>
      <c r="D5" s="405" t="s">
        <v>733</v>
      </c>
      <c r="E5" s="405" t="s">
        <v>432</v>
      </c>
      <c r="F5" s="405" t="s">
        <v>20</v>
      </c>
      <c r="G5" s="406">
        <v>200000000</v>
      </c>
      <c r="H5" s="406">
        <v>200000000</v>
      </c>
      <c r="I5" s="406" t="s">
        <v>23</v>
      </c>
      <c r="J5" s="421">
        <v>0</v>
      </c>
      <c r="K5" s="406" t="s">
        <v>520</v>
      </c>
      <c r="L5" s="406" t="s">
        <v>520</v>
      </c>
      <c r="M5" s="421">
        <v>0</v>
      </c>
    </row>
    <row r="6" spans="1:13">
      <c r="A6" s="405" t="s">
        <v>4</v>
      </c>
      <c r="B6" s="405" t="s">
        <v>744</v>
      </c>
      <c r="C6" s="405" t="s">
        <v>38</v>
      </c>
      <c r="D6" s="405" t="s">
        <v>745</v>
      </c>
      <c r="E6" s="405" t="s">
        <v>433</v>
      </c>
      <c r="F6" s="405" t="s">
        <v>21</v>
      </c>
      <c r="G6" s="406">
        <v>19140000</v>
      </c>
      <c r="H6" s="421">
        <v>0</v>
      </c>
      <c r="I6" s="406" t="s">
        <v>520</v>
      </c>
      <c r="J6" s="421">
        <v>0</v>
      </c>
      <c r="K6" s="406" t="s">
        <v>520</v>
      </c>
      <c r="L6" s="406" t="s">
        <v>520</v>
      </c>
      <c r="M6" s="421">
        <v>0</v>
      </c>
    </row>
    <row r="7" spans="1:13">
      <c r="A7" s="405" t="s">
        <v>4</v>
      </c>
      <c r="B7" s="405" t="s">
        <v>530</v>
      </c>
      <c r="C7" s="405" t="s">
        <v>525</v>
      </c>
      <c r="D7" s="405" t="s">
        <v>546</v>
      </c>
      <c r="E7" s="405" t="s">
        <v>432</v>
      </c>
      <c r="F7" s="405" t="s">
        <v>21</v>
      </c>
      <c r="G7" s="406">
        <v>60000000</v>
      </c>
      <c r="H7" s="406">
        <v>60000000</v>
      </c>
      <c r="I7" s="406" t="s">
        <v>520</v>
      </c>
      <c r="J7" s="421">
        <v>0</v>
      </c>
      <c r="K7" s="406" t="s">
        <v>520</v>
      </c>
      <c r="L7" s="406" t="s">
        <v>520</v>
      </c>
      <c r="M7" s="421">
        <v>0</v>
      </c>
    </row>
    <row r="8" spans="1:13">
      <c r="A8" s="405" t="s">
        <v>4</v>
      </c>
      <c r="B8" s="405" t="s">
        <v>746</v>
      </c>
      <c r="C8" s="405" t="s">
        <v>525</v>
      </c>
      <c r="D8" s="405" t="s">
        <v>747</v>
      </c>
      <c r="E8" s="405" t="s">
        <v>432</v>
      </c>
      <c r="F8" s="405" t="s">
        <v>21</v>
      </c>
      <c r="G8" s="406">
        <v>3016200000</v>
      </c>
      <c r="H8" s="406">
        <v>904860000</v>
      </c>
      <c r="I8" s="406" t="s">
        <v>21</v>
      </c>
      <c r="J8" s="406">
        <v>2111340000</v>
      </c>
      <c r="K8" s="406" t="s">
        <v>14</v>
      </c>
      <c r="L8" s="406" t="s">
        <v>520</v>
      </c>
      <c r="M8" s="421">
        <v>0</v>
      </c>
    </row>
    <row r="9" spans="1:13">
      <c r="A9" s="405" t="s">
        <v>4</v>
      </c>
      <c r="B9" s="405" t="s">
        <v>580</v>
      </c>
      <c r="C9" s="405" t="s">
        <v>38</v>
      </c>
      <c r="D9" s="405" t="s">
        <v>748</v>
      </c>
      <c r="E9" s="405" t="s">
        <v>433</v>
      </c>
      <c r="F9" s="405" t="s">
        <v>21</v>
      </c>
      <c r="G9" s="406">
        <v>20400000</v>
      </c>
      <c r="H9" s="421">
        <v>0</v>
      </c>
      <c r="I9" s="406" t="s">
        <v>520</v>
      </c>
      <c r="J9" s="421">
        <v>0</v>
      </c>
      <c r="K9" s="406" t="s">
        <v>520</v>
      </c>
      <c r="L9" s="406" t="s">
        <v>520</v>
      </c>
      <c r="M9" s="421">
        <v>0</v>
      </c>
    </row>
    <row r="10" spans="1:13">
      <c r="A10" s="405" t="s">
        <v>4</v>
      </c>
      <c r="B10" s="405" t="s">
        <v>749</v>
      </c>
      <c r="C10" s="405" t="s">
        <v>38</v>
      </c>
      <c r="D10" s="405" t="s">
        <v>750</v>
      </c>
      <c r="E10" s="405" t="s">
        <v>433</v>
      </c>
      <c r="F10" s="405" t="s">
        <v>22</v>
      </c>
      <c r="G10" s="406">
        <v>12600000</v>
      </c>
      <c r="H10" s="421">
        <v>0</v>
      </c>
      <c r="I10" s="406" t="s">
        <v>520</v>
      </c>
      <c r="J10" s="421">
        <v>0</v>
      </c>
      <c r="K10" s="406" t="s">
        <v>520</v>
      </c>
      <c r="L10" s="406" t="s">
        <v>520</v>
      </c>
      <c r="M10" s="421">
        <v>0</v>
      </c>
    </row>
    <row r="11" spans="1:13">
      <c r="A11" s="405" t="s">
        <v>329</v>
      </c>
      <c r="B11" s="405" t="s">
        <v>566</v>
      </c>
      <c r="C11" s="405" t="s">
        <v>525</v>
      </c>
      <c r="D11" s="405" t="s">
        <v>603</v>
      </c>
      <c r="E11" s="405" t="s">
        <v>432</v>
      </c>
      <c r="F11" s="405" t="s">
        <v>22</v>
      </c>
      <c r="G11" s="406">
        <v>2690500000</v>
      </c>
      <c r="H11" s="406">
        <v>807150000</v>
      </c>
      <c r="I11" s="406" t="s">
        <v>22</v>
      </c>
      <c r="J11" s="406">
        <v>1883350000</v>
      </c>
      <c r="K11" s="406" t="s">
        <v>12</v>
      </c>
      <c r="L11" s="406" t="s">
        <v>520</v>
      </c>
      <c r="M11" s="421">
        <v>0</v>
      </c>
    </row>
    <row r="12" spans="1:13">
      <c r="A12" s="405" t="s">
        <v>4</v>
      </c>
      <c r="B12" s="405" t="s">
        <v>751</v>
      </c>
      <c r="C12" s="405" t="s">
        <v>38</v>
      </c>
      <c r="D12" s="405" t="s">
        <v>752</v>
      </c>
      <c r="E12" s="405" t="s">
        <v>433</v>
      </c>
      <c r="F12" s="405" t="s">
        <v>22</v>
      </c>
      <c r="G12" s="406">
        <v>18000000</v>
      </c>
      <c r="H12" s="421">
        <v>0</v>
      </c>
      <c r="I12" s="406" t="s">
        <v>520</v>
      </c>
      <c r="J12" s="421">
        <v>0</v>
      </c>
      <c r="K12" s="406" t="s">
        <v>520</v>
      </c>
      <c r="L12" s="406" t="s">
        <v>520</v>
      </c>
      <c r="M12" s="421">
        <v>0</v>
      </c>
    </row>
    <row r="13" spans="1:13">
      <c r="A13" s="405" t="s">
        <v>4</v>
      </c>
      <c r="B13" s="405" t="s">
        <v>735</v>
      </c>
      <c r="C13" s="405" t="s">
        <v>525</v>
      </c>
      <c r="D13" s="405" t="s">
        <v>736</v>
      </c>
      <c r="E13" s="405" t="s">
        <v>432</v>
      </c>
      <c r="F13" s="405" t="s">
        <v>22</v>
      </c>
      <c r="G13" s="406">
        <v>2200000000</v>
      </c>
      <c r="H13" s="406">
        <v>660000000</v>
      </c>
      <c r="I13" s="406" t="s">
        <v>22</v>
      </c>
      <c r="J13" s="406">
        <v>1540000000</v>
      </c>
      <c r="K13" s="406" t="s">
        <v>13</v>
      </c>
      <c r="L13" s="406" t="s">
        <v>520</v>
      </c>
      <c r="M13" s="421">
        <v>0</v>
      </c>
    </row>
    <row r="14" spans="1:13">
      <c r="A14" s="405" t="s">
        <v>329</v>
      </c>
      <c r="B14" s="405" t="s">
        <v>753</v>
      </c>
      <c r="C14" s="405" t="s">
        <v>525</v>
      </c>
      <c r="D14" s="405" t="s">
        <v>754</v>
      </c>
      <c r="E14" s="405" t="s">
        <v>432</v>
      </c>
      <c r="F14" s="405" t="s">
        <v>23</v>
      </c>
      <c r="G14" s="406">
        <v>2500000000</v>
      </c>
      <c r="H14" s="406">
        <v>750000000</v>
      </c>
      <c r="I14" s="406" t="s">
        <v>23</v>
      </c>
      <c r="J14" s="406">
        <v>1750000000</v>
      </c>
      <c r="K14" s="406" t="s">
        <v>13</v>
      </c>
      <c r="L14" s="406" t="s">
        <v>520</v>
      </c>
      <c r="M14" s="421">
        <v>0</v>
      </c>
    </row>
    <row r="15" spans="1:13">
      <c r="A15" s="405" t="s">
        <v>329</v>
      </c>
      <c r="B15" s="405" t="s">
        <v>755</v>
      </c>
      <c r="C15" s="405" t="s">
        <v>38</v>
      </c>
      <c r="D15" s="405" t="s">
        <v>756</v>
      </c>
      <c r="E15" s="405" t="s">
        <v>433</v>
      </c>
      <c r="F15" s="405" t="s">
        <v>23</v>
      </c>
      <c r="G15" s="406">
        <v>8000000</v>
      </c>
      <c r="H15" s="421">
        <v>0</v>
      </c>
      <c r="I15" s="406" t="s">
        <v>520</v>
      </c>
      <c r="J15" s="421">
        <v>0</v>
      </c>
      <c r="K15" s="406" t="s">
        <v>520</v>
      </c>
      <c r="L15" s="406" t="s">
        <v>520</v>
      </c>
      <c r="M15" s="421">
        <v>0</v>
      </c>
    </row>
    <row r="16" spans="1:13">
      <c r="A16" s="405" t="s">
        <v>329</v>
      </c>
      <c r="B16" s="405" t="s">
        <v>641</v>
      </c>
      <c r="C16" s="405" t="s">
        <v>525</v>
      </c>
      <c r="D16" s="405" t="s">
        <v>642</v>
      </c>
      <c r="E16" s="405" t="s">
        <v>432</v>
      </c>
      <c r="F16" s="405" t="s">
        <v>23</v>
      </c>
      <c r="G16" s="406">
        <v>287200000</v>
      </c>
      <c r="H16" s="406">
        <v>86160000</v>
      </c>
      <c r="I16" s="406" t="s">
        <v>13</v>
      </c>
      <c r="J16" s="406">
        <v>201040000</v>
      </c>
      <c r="K16" s="406" t="s">
        <v>520</v>
      </c>
      <c r="L16" s="406" t="s">
        <v>520</v>
      </c>
      <c r="M16" s="421">
        <v>0</v>
      </c>
    </row>
    <row r="17" spans="1:13">
      <c r="A17" s="405" t="s">
        <v>329</v>
      </c>
      <c r="B17" s="405" t="s">
        <v>757</v>
      </c>
      <c r="C17" s="405" t="s">
        <v>38</v>
      </c>
      <c r="D17" s="405" t="s">
        <v>758</v>
      </c>
      <c r="E17" s="405" t="s">
        <v>433</v>
      </c>
      <c r="F17" s="405" t="s">
        <v>23</v>
      </c>
      <c r="G17" s="406">
        <v>5600000</v>
      </c>
      <c r="H17" s="421">
        <v>0</v>
      </c>
      <c r="I17" s="406" t="s">
        <v>520</v>
      </c>
      <c r="J17" s="421">
        <v>0</v>
      </c>
      <c r="K17" s="406" t="s">
        <v>520</v>
      </c>
      <c r="L17" s="406" t="s">
        <v>520</v>
      </c>
      <c r="M17" s="421">
        <v>0</v>
      </c>
    </row>
    <row r="18" spans="1:13">
      <c r="A18" s="405" t="s">
        <v>4</v>
      </c>
      <c r="B18" s="405" t="s">
        <v>537</v>
      </c>
      <c r="C18" s="405" t="s">
        <v>38</v>
      </c>
      <c r="D18" s="405" t="s">
        <v>759</v>
      </c>
      <c r="E18" s="405" t="s">
        <v>433</v>
      </c>
      <c r="F18" s="405" t="s">
        <v>23</v>
      </c>
      <c r="G18" s="406">
        <v>13200000</v>
      </c>
      <c r="H18" s="421">
        <v>0</v>
      </c>
      <c r="I18" s="406" t="s">
        <v>520</v>
      </c>
      <c r="J18" s="421">
        <v>0</v>
      </c>
      <c r="K18" s="406" t="s">
        <v>520</v>
      </c>
      <c r="L18" s="406" t="s">
        <v>520</v>
      </c>
      <c r="M18" s="421">
        <v>0</v>
      </c>
    </row>
    <row r="19" spans="1:13">
      <c r="A19" s="405" t="s">
        <v>4</v>
      </c>
      <c r="B19" s="405" t="s">
        <v>760</v>
      </c>
      <c r="C19" s="405" t="s">
        <v>38</v>
      </c>
      <c r="D19" s="405" t="s">
        <v>761</v>
      </c>
      <c r="E19" s="405" t="s">
        <v>433</v>
      </c>
      <c r="F19" s="405" t="s">
        <v>23</v>
      </c>
      <c r="G19" s="406">
        <v>36000000</v>
      </c>
      <c r="H19" s="421">
        <v>0</v>
      </c>
      <c r="I19" s="406" t="s">
        <v>520</v>
      </c>
      <c r="J19" s="421">
        <v>0</v>
      </c>
      <c r="K19" s="406" t="s">
        <v>520</v>
      </c>
      <c r="L19" s="406" t="s">
        <v>520</v>
      </c>
      <c r="M19" s="421">
        <v>0</v>
      </c>
    </row>
    <row r="20" spans="1:13">
      <c r="A20" s="405" t="s">
        <v>4</v>
      </c>
      <c r="B20" s="405" t="s">
        <v>535</v>
      </c>
      <c r="C20" s="405" t="s">
        <v>525</v>
      </c>
      <c r="D20" s="405" t="s">
        <v>522</v>
      </c>
      <c r="E20" s="405" t="s">
        <v>432</v>
      </c>
      <c r="F20" s="405" t="s">
        <v>23</v>
      </c>
      <c r="G20" s="406">
        <v>6000000000</v>
      </c>
      <c r="H20" s="406">
        <v>1800000000</v>
      </c>
      <c r="I20" s="406" t="s">
        <v>23</v>
      </c>
      <c r="J20" s="406">
        <v>4200000000</v>
      </c>
      <c r="K20" s="406" t="s">
        <v>14</v>
      </c>
      <c r="L20" s="406" t="s">
        <v>520</v>
      </c>
      <c r="M20" s="421">
        <v>0</v>
      </c>
    </row>
    <row r="21" spans="1:13">
      <c r="A21" s="405" t="s">
        <v>329</v>
      </c>
      <c r="B21" s="405" t="s">
        <v>638</v>
      </c>
      <c r="C21" s="405" t="s">
        <v>525</v>
      </c>
      <c r="D21" s="405" t="s">
        <v>639</v>
      </c>
      <c r="E21" s="405" t="s">
        <v>434</v>
      </c>
      <c r="F21" s="405" t="s">
        <v>24</v>
      </c>
      <c r="G21" s="406">
        <v>358600000</v>
      </c>
      <c r="H21" s="406">
        <v>358600000</v>
      </c>
      <c r="I21" s="406" t="s">
        <v>16</v>
      </c>
      <c r="J21" s="421">
        <v>0</v>
      </c>
      <c r="K21" s="406" t="s">
        <v>520</v>
      </c>
      <c r="L21" s="406" t="s">
        <v>520</v>
      </c>
      <c r="M21" s="421">
        <v>0</v>
      </c>
    </row>
    <row r="22" spans="1:13">
      <c r="A22" s="405" t="s">
        <v>329</v>
      </c>
      <c r="B22" s="405" t="s">
        <v>566</v>
      </c>
      <c r="C22" s="405" t="s">
        <v>525</v>
      </c>
      <c r="D22" s="405" t="s">
        <v>658</v>
      </c>
      <c r="E22" s="405" t="s">
        <v>434</v>
      </c>
      <c r="F22" s="405" t="s">
        <v>24</v>
      </c>
      <c r="G22" s="406">
        <v>1000000000</v>
      </c>
      <c r="H22" s="406">
        <v>300000000</v>
      </c>
      <c r="I22" s="406" t="s">
        <v>24</v>
      </c>
      <c r="J22" s="406">
        <v>700000000</v>
      </c>
      <c r="K22" s="406" t="s">
        <v>14</v>
      </c>
      <c r="L22" s="406" t="s">
        <v>520</v>
      </c>
      <c r="M22" s="421">
        <v>0</v>
      </c>
    </row>
    <row r="23" spans="1:13">
      <c r="A23" s="405" t="s">
        <v>329</v>
      </c>
      <c r="B23" s="405" t="s">
        <v>675</v>
      </c>
      <c r="C23" s="405" t="s">
        <v>38</v>
      </c>
      <c r="D23" s="405" t="s">
        <v>762</v>
      </c>
      <c r="E23" s="405" t="s">
        <v>433</v>
      </c>
      <c r="F23" s="405" t="s">
        <v>24</v>
      </c>
      <c r="G23" s="406">
        <v>274000000</v>
      </c>
      <c r="H23" s="421">
        <v>0</v>
      </c>
      <c r="I23" s="406" t="s">
        <v>520</v>
      </c>
      <c r="J23" s="421">
        <v>0</v>
      </c>
      <c r="K23" s="406" t="s">
        <v>520</v>
      </c>
      <c r="L23" s="406" t="s">
        <v>520</v>
      </c>
      <c r="M23" s="421">
        <v>0</v>
      </c>
    </row>
    <row r="24" spans="1:13">
      <c r="A24" s="405" t="s">
        <v>329</v>
      </c>
      <c r="B24" s="405" t="s">
        <v>677</v>
      </c>
      <c r="C24" s="405" t="s">
        <v>38</v>
      </c>
      <c r="D24" s="405" t="s">
        <v>763</v>
      </c>
      <c r="E24" s="405" t="s">
        <v>433</v>
      </c>
      <c r="F24" s="405" t="s">
        <v>24</v>
      </c>
      <c r="G24" s="406">
        <v>54000000</v>
      </c>
      <c r="H24" s="421">
        <v>0</v>
      </c>
      <c r="I24" s="406" t="s">
        <v>520</v>
      </c>
      <c r="J24" s="421">
        <v>0</v>
      </c>
      <c r="K24" s="406" t="s">
        <v>520</v>
      </c>
      <c r="L24" s="406" t="s">
        <v>520</v>
      </c>
      <c r="M24" s="421">
        <v>0</v>
      </c>
    </row>
    <row r="25" spans="1:13">
      <c r="A25" s="405" t="s">
        <v>329</v>
      </c>
      <c r="B25" s="405" t="s">
        <v>530</v>
      </c>
      <c r="C25" s="405" t="s">
        <v>525</v>
      </c>
      <c r="D25" s="405" t="s">
        <v>764</v>
      </c>
      <c r="E25" s="405" t="s">
        <v>434</v>
      </c>
      <c r="F25" s="405" t="s">
        <v>24</v>
      </c>
      <c r="G25" s="406">
        <v>170100000</v>
      </c>
      <c r="H25" s="406">
        <v>170100000</v>
      </c>
      <c r="I25" s="406" t="s">
        <v>15</v>
      </c>
      <c r="J25" s="421">
        <v>0</v>
      </c>
      <c r="K25" s="406" t="s">
        <v>520</v>
      </c>
      <c r="L25" s="406" t="s">
        <v>520</v>
      </c>
      <c r="M25" s="421">
        <v>0</v>
      </c>
    </row>
    <row r="26" spans="1:13">
      <c r="A26" s="405" t="s">
        <v>4</v>
      </c>
      <c r="B26" s="405" t="s">
        <v>679</v>
      </c>
      <c r="C26" s="405" t="s">
        <v>525</v>
      </c>
      <c r="D26" s="405" t="s">
        <v>765</v>
      </c>
      <c r="E26" s="405" t="s">
        <v>432</v>
      </c>
      <c r="F26" s="405" t="s">
        <v>24</v>
      </c>
      <c r="G26" s="406">
        <v>1900000000</v>
      </c>
      <c r="H26" s="406">
        <v>570000000</v>
      </c>
      <c r="I26" s="406" t="s">
        <v>24</v>
      </c>
      <c r="J26" s="406">
        <v>1330000000</v>
      </c>
      <c r="K26" s="406" t="s">
        <v>16</v>
      </c>
      <c r="L26" s="406" t="s">
        <v>520</v>
      </c>
      <c r="M26" s="421">
        <v>0</v>
      </c>
    </row>
    <row r="27" spans="1:13">
      <c r="A27" s="405" t="s">
        <v>329</v>
      </c>
      <c r="B27" s="405" t="s">
        <v>673</v>
      </c>
      <c r="C27" s="405" t="s">
        <v>38</v>
      </c>
      <c r="D27" s="405" t="s">
        <v>766</v>
      </c>
      <c r="E27" s="405" t="s">
        <v>433</v>
      </c>
      <c r="F27" s="405" t="s">
        <v>24</v>
      </c>
      <c r="G27" s="406">
        <v>35000000</v>
      </c>
      <c r="H27" s="421">
        <v>0</v>
      </c>
      <c r="I27" s="406" t="s">
        <v>520</v>
      </c>
      <c r="J27" s="421">
        <v>0</v>
      </c>
      <c r="K27" s="406" t="s">
        <v>520</v>
      </c>
      <c r="L27" s="406" t="s">
        <v>520</v>
      </c>
      <c r="M27" s="421">
        <v>0</v>
      </c>
    </row>
    <row r="28" spans="1:13">
      <c r="A28" s="405" t="s">
        <v>4</v>
      </c>
      <c r="B28" s="405" t="s">
        <v>767</v>
      </c>
      <c r="C28" s="405" t="s">
        <v>525</v>
      </c>
      <c r="D28" s="405" t="s">
        <v>768</v>
      </c>
      <c r="E28" s="405" t="s">
        <v>432</v>
      </c>
      <c r="F28" s="405" t="s">
        <v>12</v>
      </c>
      <c r="G28" s="406">
        <v>114240000</v>
      </c>
      <c r="H28" s="421">
        <v>0</v>
      </c>
      <c r="I28" s="406" t="s">
        <v>520</v>
      </c>
      <c r="J28" s="421">
        <v>0</v>
      </c>
      <c r="K28" s="406" t="s">
        <v>520</v>
      </c>
      <c r="L28" s="406" t="s">
        <v>520</v>
      </c>
      <c r="M28" s="421">
        <v>0</v>
      </c>
    </row>
    <row r="29" spans="1:13">
      <c r="A29" s="405" t="s">
        <v>4</v>
      </c>
      <c r="B29" s="405" t="s">
        <v>769</v>
      </c>
      <c r="C29" s="405" t="s">
        <v>38</v>
      </c>
      <c r="D29" s="405" t="s">
        <v>770</v>
      </c>
      <c r="E29" s="405" t="s">
        <v>433</v>
      </c>
      <c r="F29" s="405" t="s">
        <v>13</v>
      </c>
      <c r="G29" s="406">
        <v>16800000</v>
      </c>
      <c r="H29" s="421">
        <v>0</v>
      </c>
      <c r="I29" s="406" t="s">
        <v>520</v>
      </c>
      <c r="J29" s="421">
        <v>0</v>
      </c>
      <c r="K29" s="406" t="s">
        <v>520</v>
      </c>
      <c r="L29" s="406" t="s">
        <v>520</v>
      </c>
      <c r="M29" s="421">
        <v>0</v>
      </c>
    </row>
    <row r="30" spans="1:13">
      <c r="A30" s="405" t="s">
        <v>4</v>
      </c>
      <c r="B30" s="405" t="s">
        <v>681</v>
      </c>
      <c r="C30" s="405" t="s">
        <v>38</v>
      </c>
      <c r="D30" s="405" t="s">
        <v>771</v>
      </c>
      <c r="E30" s="405" t="s">
        <v>433</v>
      </c>
      <c r="F30" s="405" t="s">
        <v>13</v>
      </c>
      <c r="G30" s="406">
        <v>25500000</v>
      </c>
      <c r="H30" s="421">
        <v>0</v>
      </c>
      <c r="I30" s="406" t="s">
        <v>520</v>
      </c>
      <c r="J30" s="421">
        <v>0</v>
      </c>
      <c r="K30" s="406" t="s">
        <v>520</v>
      </c>
      <c r="L30" s="406" t="s">
        <v>520</v>
      </c>
      <c r="M30" s="421">
        <v>0</v>
      </c>
    </row>
    <row r="31" spans="1:13">
      <c r="A31" s="405" t="s">
        <v>4</v>
      </c>
      <c r="B31" s="405" t="s">
        <v>772</v>
      </c>
      <c r="C31" s="405" t="s">
        <v>38</v>
      </c>
      <c r="D31" s="405" t="s">
        <v>773</v>
      </c>
      <c r="E31" s="405" t="s">
        <v>433</v>
      </c>
      <c r="F31" s="405" t="s">
        <v>13</v>
      </c>
      <c r="G31" s="406">
        <v>15000000</v>
      </c>
      <c r="H31" s="421">
        <v>0</v>
      </c>
      <c r="I31" s="406" t="s">
        <v>520</v>
      </c>
      <c r="J31" s="421">
        <v>0</v>
      </c>
      <c r="K31" s="406" t="s">
        <v>520</v>
      </c>
      <c r="L31" s="406" t="s">
        <v>520</v>
      </c>
      <c r="M31" s="421">
        <v>0</v>
      </c>
    </row>
    <row r="32" spans="1:13">
      <c r="A32" s="405" t="s">
        <v>4</v>
      </c>
      <c r="B32" s="405" t="s">
        <v>532</v>
      </c>
      <c r="C32" s="405" t="s">
        <v>525</v>
      </c>
      <c r="D32" s="405" t="s">
        <v>548</v>
      </c>
      <c r="E32" s="405" t="s">
        <v>434</v>
      </c>
      <c r="F32" s="405" t="s">
        <v>14</v>
      </c>
      <c r="G32" s="406">
        <v>355232000</v>
      </c>
      <c r="H32" s="406">
        <v>355232000</v>
      </c>
      <c r="I32" s="406" t="s">
        <v>16</v>
      </c>
      <c r="J32" s="421">
        <v>0</v>
      </c>
      <c r="K32" s="406" t="s">
        <v>520</v>
      </c>
      <c r="L32" s="406" t="s">
        <v>520</v>
      </c>
      <c r="M32" s="421">
        <v>0</v>
      </c>
    </row>
    <row r="33" spans="1:13">
      <c r="A33" s="405" t="s">
        <v>4</v>
      </c>
      <c r="B33" s="405" t="s">
        <v>529</v>
      </c>
      <c r="C33" s="405" t="s">
        <v>38</v>
      </c>
      <c r="D33" s="405" t="s">
        <v>774</v>
      </c>
      <c r="E33" s="405" t="s">
        <v>433</v>
      </c>
      <c r="F33" s="405" t="s">
        <v>14</v>
      </c>
      <c r="G33" s="406">
        <v>12500000</v>
      </c>
      <c r="H33" s="421">
        <v>0</v>
      </c>
      <c r="I33" s="406" t="s">
        <v>520</v>
      </c>
      <c r="J33" s="421">
        <v>0</v>
      </c>
      <c r="K33" s="406" t="s">
        <v>520</v>
      </c>
      <c r="L33" s="406" t="s">
        <v>520</v>
      </c>
      <c r="M33" s="421">
        <v>0</v>
      </c>
    </row>
    <row r="34" spans="1:13">
      <c r="A34" s="405" t="s">
        <v>4</v>
      </c>
      <c r="B34" s="405" t="s">
        <v>689</v>
      </c>
      <c r="C34" s="405" t="s">
        <v>38</v>
      </c>
      <c r="D34" s="405" t="s">
        <v>775</v>
      </c>
      <c r="E34" s="405" t="s">
        <v>433</v>
      </c>
      <c r="F34" s="405" t="s">
        <v>15</v>
      </c>
      <c r="G34" s="406">
        <v>12500000</v>
      </c>
      <c r="H34" s="421">
        <v>0</v>
      </c>
      <c r="I34" s="406" t="s">
        <v>520</v>
      </c>
      <c r="J34" s="421">
        <v>0</v>
      </c>
      <c r="K34" s="406" t="s">
        <v>520</v>
      </c>
      <c r="L34" s="406" t="s">
        <v>520</v>
      </c>
      <c r="M34" s="421">
        <v>0</v>
      </c>
    </row>
    <row r="35" spans="1:13">
      <c r="A35" s="405" t="s">
        <v>329</v>
      </c>
      <c r="B35" s="405" t="s">
        <v>776</v>
      </c>
      <c r="C35" s="405" t="s">
        <v>38</v>
      </c>
      <c r="D35" s="405" t="s">
        <v>777</v>
      </c>
      <c r="E35" s="405" t="s">
        <v>433</v>
      </c>
      <c r="F35" s="405" t="s">
        <v>16</v>
      </c>
      <c r="G35" s="406">
        <v>3300000</v>
      </c>
      <c r="H35" s="421">
        <v>0</v>
      </c>
      <c r="I35" s="406" t="s">
        <v>520</v>
      </c>
      <c r="J35" s="421">
        <v>0</v>
      </c>
      <c r="K35" s="406" t="s">
        <v>520</v>
      </c>
      <c r="L35" s="406" t="s">
        <v>520</v>
      </c>
      <c r="M35" s="421">
        <v>0</v>
      </c>
    </row>
    <row r="36" spans="1:13">
      <c r="A36" s="405" t="s">
        <v>4</v>
      </c>
      <c r="B36" s="405" t="s">
        <v>530</v>
      </c>
      <c r="C36" s="405" t="s">
        <v>525</v>
      </c>
      <c r="D36" s="405" t="s">
        <v>640</v>
      </c>
      <c r="E36" s="405" t="s">
        <v>432</v>
      </c>
      <c r="F36" s="405" t="s">
        <v>16</v>
      </c>
      <c r="G36" s="406">
        <v>60000000</v>
      </c>
      <c r="H36" s="406">
        <v>60000000</v>
      </c>
      <c r="I36" s="406" t="s">
        <v>520</v>
      </c>
      <c r="J36" s="421">
        <v>0</v>
      </c>
      <c r="K36" s="406" t="s">
        <v>520</v>
      </c>
      <c r="L36" s="406" t="s">
        <v>520</v>
      </c>
      <c r="M36" s="421">
        <v>0</v>
      </c>
    </row>
    <row r="37" spans="1:13">
      <c r="A37" s="405" t="s">
        <v>4</v>
      </c>
      <c r="B37" s="405" t="s">
        <v>559</v>
      </c>
      <c r="C37" s="405" t="s">
        <v>38</v>
      </c>
      <c r="D37" s="405" t="s">
        <v>778</v>
      </c>
      <c r="E37" s="405" t="s">
        <v>433</v>
      </c>
      <c r="F37" s="405" t="s">
        <v>11</v>
      </c>
      <c r="G37" s="406">
        <v>35000000</v>
      </c>
      <c r="H37" s="421">
        <v>0</v>
      </c>
      <c r="I37" s="406" t="s">
        <v>520</v>
      </c>
      <c r="J37" s="421">
        <v>0</v>
      </c>
      <c r="K37" s="406" t="s">
        <v>520</v>
      </c>
      <c r="L37" s="406" t="s">
        <v>520</v>
      </c>
      <c r="M37" s="421">
        <v>0</v>
      </c>
    </row>
    <row r="38" spans="1:13">
      <c r="A38" s="405" t="s">
        <v>329</v>
      </c>
      <c r="B38" s="405" t="s">
        <v>552</v>
      </c>
      <c r="C38" s="405" t="s">
        <v>38</v>
      </c>
      <c r="D38" s="405" t="s">
        <v>779</v>
      </c>
      <c r="E38" s="405" t="s">
        <v>433</v>
      </c>
      <c r="F38" s="405" t="s">
        <v>11</v>
      </c>
      <c r="G38" s="406">
        <v>17500000</v>
      </c>
      <c r="H38" s="421">
        <v>0</v>
      </c>
      <c r="I38" s="406" t="s">
        <v>520</v>
      </c>
      <c r="J38" s="421">
        <v>0</v>
      </c>
      <c r="K38" s="406" t="s">
        <v>520</v>
      </c>
      <c r="L38" s="406" t="s">
        <v>520</v>
      </c>
      <c r="M38" s="421">
        <v>0</v>
      </c>
    </row>
    <row r="39" spans="1:13">
      <c r="A39" s="405"/>
      <c r="B39" s="405"/>
      <c r="C39" s="405"/>
      <c r="D39" s="405"/>
      <c r="E39" s="405"/>
      <c r="F39" s="405"/>
      <c r="G39" s="406"/>
      <c r="H39" s="406"/>
      <c r="I39" s="406"/>
      <c r="J39" s="406"/>
      <c r="K39" s="406"/>
      <c r="L39" s="406"/>
      <c r="M39" s="406"/>
    </row>
    <row r="40" spans="1:13">
      <c r="A40" s="405"/>
      <c r="B40" s="405"/>
      <c r="C40" s="405"/>
      <c r="D40" s="405"/>
      <c r="E40" s="405"/>
      <c r="F40" s="405"/>
      <c r="G40" s="406"/>
      <c r="H40" s="406"/>
      <c r="I40" s="406"/>
      <c r="J40" s="406"/>
      <c r="K40" s="406"/>
      <c r="L40" s="406"/>
      <c r="M40" s="406"/>
    </row>
    <row r="41" spans="1:13">
      <c r="A41" s="405"/>
      <c r="B41" s="405"/>
      <c r="C41" s="405"/>
      <c r="D41" s="405"/>
      <c r="E41" s="405"/>
      <c r="F41" s="405"/>
      <c r="G41" s="406"/>
      <c r="H41" s="406"/>
      <c r="I41" s="406"/>
      <c r="J41" s="406"/>
      <c r="K41" s="406"/>
      <c r="L41" s="406"/>
      <c r="M41" s="406"/>
    </row>
    <row r="42" spans="1:13">
      <c r="A42" s="405"/>
      <c r="B42" s="405"/>
      <c r="C42" s="405"/>
      <c r="D42" s="405"/>
      <c r="E42" s="405"/>
      <c r="F42" s="405"/>
      <c r="G42" s="406"/>
      <c r="H42" s="406"/>
      <c r="I42" s="406"/>
      <c r="J42" s="406"/>
      <c r="K42" s="406"/>
      <c r="L42" s="406"/>
      <c r="M42" s="406"/>
    </row>
    <row r="43" spans="1:13">
      <c r="A43" s="405"/>
      <c r="B43" s="405"/>
      <c r="C43" s="405"/>
      <c r="D43" s="405"/>
      <c r="E43" s="405"/>
      <c r="F43" s="405"/>
      <c r="G43" s="406"/>
      <c r="H43" s="406"/>
      <c r="I43" s="406"/>
      <c r="J43" s="406"/>
      <c r="K43" s="406"/>
      <c r="L43" s="406"/>
      <c r="M43" s="406"/>
    </row>
    <row r="44" spans="1:13">
      <c r="A44" s="405"/>
      <c r="B44" s="405"/>
      <c r="C44" s="405"/>
      <c r="D44" s="405"/>
      <c r="E44" s="405"/>
      <c r="F44" s="405"/>
      <c r="G44" s="406"/>
      <c r="H44" s="406"/>
      <c r="I44" s="406"/>
      <c r="J44" s="406"/>
      <c r="K44" s="406"/>
      <c r="L44" s="406"/>
      <c r="M44" s="406"/>
    </row>
    <row r="45" spans="1:13">
      <c r="A45" s="405"/>
      <c r="B45" s="405"/>
      <c r="C45" s="405"/>
      <c r="D45" s="405"/>
      <c r="E45" s="405"/>
      <c r="F45" s="405"/>
      <c r="G45" s="406"/>
      <c r="H45" s="406"/>
      <c r="I45" s="406"/>
      <c r="J45" s="406"/>
      <c r="K45" s="406"/>
      <c r="L45" s="406"/>
      <c r="M45" s="406"/>
    </row>
    <row r="46" spans="1:13">
      <c r="A46" s="405"/>
      <c r="B46" s="405"/>
      <c r="C46" s="405"/>
      <c r="D46" s="405"/>
      <c r="E46" s="405"/>
      <c r="F46" s="405"/>
      <c r="G46" s="406"/>
      <c r="H46" s="406"/>
      <c r="I46" s="406"/>
      <c r="J46" s="406"/>
      <c r="K46" s="406"/>
      <c r="L46" s="406"/>
      <c r="M46" s="406"/>
    </row>
    <row r="47" spans="1:13">
      <c r="A47" s="405"/>
      <c r="B47" s="405"/>
      <c r="C47" s="405"/>
      <c r="D47" s="405"/>
      <c r="E47" s="405"/>
      <c r="F47" s="405"/>
      <c r="G47" s="406"/>
      <c r="H47" s="406"/>
      <c r="I47" s="406"/>
      <c r="J47" s="406"/>
      <c r="K47" s="406"/>
      <c r="L47" s="406"/>
      <c r="M47" s="406"/>
    </row>
    <row r="48" spans="1:13">
      <c r="A48" s="405"/>
      <c r="B48" s="405"/>
      <c r="C48" s="405"/>
      <c r="D48" s="405"/>
      <c r="E48" s="405"/>
      <c r="F48" s="405"/>
      <c r="G48" s="406"/>
      <c r="H48" s="406"/>
      <c r="I48" s="406"/>
      <c r="J48" s="406"/>
      <c r="K48" s="406"/>
      <c r="L48" s="406"/>
      <c r="M48" s="406"/>
    </row>
    <row r="49" spans="1:13">
      <c r="A49" s="405"/>
      <c r="B49" s="405"/>
      <c r="C49" s="405"/>
      <c r="D49" s="405"/>
      <c r="E49" s="405"/>
      <c r="F49" s="405"/>
      <c r="G49" s="406"/>
      <c r="H49" s="406"/>
      <c r="I49" s="406"/>
      <c r="J49" s="406"/>
      <c r="K49" s="406"/>
      <c r="L49" s="406"/>
      <c r="M49" s="406"/>
    </row>
    <row r="50" spans="1:13">
      <c r="A50" s="405"/>
      <c r="B50" s="405"/>
      <c r="C50" s="405"/>
      <c r="D50" s="405"/>
      <c r="E50" s="405"/>
      <c r="F50" s="405"/>
      <c r="G50" s="406"/>
      <c r="H50" s="406"/>
      <c r="I50" s="406"/>
      <c r="J50" s="406"/>
      <c r="K50" s="406"/>
      <c r="L50" s="406"/>
      <c r="M50" s="406"/>
    </row>
    <row r="51" spans="1:13">
      <c r="A51" s="405"/>
      <c r="B51" s="405"/>
      <c r="C51" s="405"/>
      <c r="D51" s="405"/>
      <c r="E51" s="405"/>
      <c r="F51" s="405"/>
      <c r="G51" s="406"/>
      <c r="H51" s="406"/>
      <c r="I51" s="406"/>
      <c r="J51" s="406"/>
      <c r="K51" s="406"/>
      <c r="L51" s="406"/>
      <c r="M51" s="406"/>
    </row>
    <row r="52" spans="1:13">
      <c r="A52" s="405"/>
      <c r="B52" s="405"/>
      <c r="C52" s="405"/>
      <c r="D52" s="405"/>
      <c r="E52" s="405"/>
      <c r="F52" s="405"/>
      <c r="G52" s="406"/>
      <c r="H52" s="406"/>
      <c r="I52" s="406"/>
      <c r="J52" s="406"/>
      <c r="K52" s="406"/>
      <c r="L52" s="406"/>
      <c r="M52" s="406"/>
    </row>
    <row r="53" spans="1:13">
      <c r="A53" s="405"/>
      <c r="B53" s="405"/>
      <c r="C53" s="405"/>
      <c r="D53" s="405"/>
      <c r="E53" s="405"/>
      <c r="F53" s="405"/>
      <c r="G53" s="406"/>
      <c r="H53" s="406"/>
      <c r="I53" s="406"/>
      <c r="J53" s="406"/>
      <c r="K53" s="406"/>
      <c r="L53" s="406"/>
      <c r="M53" s="406"/>
    </row>
    <row r="54" spans="1:13">
      <c r="A54" s="405"/>
      <c r="B54" s="405"/>
      <c r="C54" s="405"/>
      <c r="D54" s="405"/>
      <c r="E54" s="405"/>
      <c r="F54" s="405"/>
      <c r="G54" s="406"/>
      <c r="H54" s="406"/>
      <c r="I54" s="406"/>
      <c r="J54" s="406"/>
      <c r="K54" s="406"/>
      <c r="L54" s="406"/>
      <c r="M54" s="406"/>
    </row>
    <row r="55" spans="1:13">
      <c r="A55" s="405"/>
      <c r="B55" s="405"/>
      <c r="C55" s="405"/>
      <c r="D55" s="405"/>
      <c r="E55" s="405"/>
      <c r="F55" s="405"/>
      <c r="G55" s="406"/>
      <c r="H55" s="406"/>
      <c r="I55" s="406"/>
      <c r="J55" s="406"/>
      <c r="K55" s="406"/>
      <c r="L55" s="406"/>
      <c r="M55" s="406"/>
    </row>
    <row r="56" spans="1:13">
      <c r="A56" s="405"/>
      <c r="B56" s="405"/>
      <c r="C56" s="405"/>
      <c r="D56" s="405"/>
      <c r="E56" s="405"/>
      <c r="F56" s="405"/>
      <c r="G56" s="406"/>
      <c r="H56" s="406"/>
      <c r="I56" s="406"/>
      <c r="J56" s="406"/>
      <c r="K56" s="406"/>
      <c r="L56" s="406"/>
      <c r="M56" s="406"/>
    </row>
    <row r="57" spans="1:13">
      <c r="A57" s="405"/>
      <c r="B57" s="405"/>
      <c r="C57" s="405"/>
      <c r="D57" s="405"/>
      <c r="E57" s="405"/>
      <c r="F57" s="405"/>
      <c r="G57" s="406"/>
      <c r="H57" s="406"/>
      <c r="I57" s="406"/>
      <c r="J57" s="406"/>
      <c r="K57" s="406"/>
      <c r="L57" s="406"/>
      <c r="M57" s="406"/>
    </row>
    <row r="58" spans="1:13">
      <c r="A58" s="405"/>
      <c r="B58" s="405"/>
      <c r="C58" s="405"/>
      <c r="D58" s="405"/>
      <c r="E58" s="405"/>
      <c r="F58" s="405"/>
      <c r="G58" s="406"/>
      <c r="H58" s="406"/>
      <c r="I58" s="406"/>
      <c r="J58" s="406"/>
      <c r="K58" s="406"/>
      <c r="L58" s="406"/>
      <c r="M58" s="406"/>
    </row>
    <row r="59" spans="1:13">
      <c r="A59" s="405"/>
      <c r="B59" s="405"/>
      <c r="C59" s="405"/>
      <c r="D59" s="405"/>
      <c r="E59" s="405"/>
      <c r="F59" s="405"/>
      <c r="G59" s="406"/>
      <c r="H59" s="406"/>
      <c r="I59" s="406"/>
      <c r="J59" s="406"/>
      <c r="K59" s="406"/>
      <c r="L59" s="406"/>
      <c r="M59" s="406"/>
    </row>
    <row r="60" spans="1:13">
      <c r="A60" s="405"/>
      <c r="B60" s="405"/>
      <c r="C60" s="405"/>
      <c r="D60" s="405"/>
      <c r="E60" s="405"/>
      <c r="F60" s="405"/>
      <c r="G60" s="406"/>
      <c r="H60" s="406"/>
      <c r="I60" s="406"/>
      <c r="J60" s="406"/>
      <c r="K60" s="406"/>
      <c r="L60" s="406"/>
      <c r="M60" s="406"/>
    </row>
    <row r="61" spans="1:13">
      <c r="A61" s="405"/>
      <c r="B61" s="405"/>
      <c r="C61" s="405"/>
      <c r="D61" s="405"/>
      <c r="E61" s="405"/>
      <c r="F61" s="405"/>
      <c r="G61" s="406"/>
      <c r="H61" s="406"/>
      <c r="I61" s="406"/>
      <c r="J61" s="406"/>
      <c r="K61" s="406"/>
      <c r="L61" s="406"/>
      <c r="M61" s="406"/>
    </row>
    <row r="62" spans="1:13">
      <c r="A62" s="405"/>
      <c r="B62" s="405"/>
      <c r="C62" s="405"/>
      <c r="D62" s="405"/>
      <c r="E62" s="405"/>
      <c r="F62" s="405"/>
      <c r="G62" s="406"/>
      <c r="H62" s="406"/>
      <c r="I62" s="406"/>
      <c r="J62" s="406"/>
      <c r="K62" s="406"/>
      <c r="L62" s="406"/>
      <c r="M62" s="406"/>
    </row>
    <row r="63" spans="1:13">
      <c r="A63" s="405"/>
      <c r="B63" s="405"/>
      <c r="C63" s="405"/>
      <c r="D63" s="405"/>
      <c r="E63" s="405"/>
      <c r="F63" s="405"/>
      <c r="G63" s="406"/>
      <c r="H63" s="406"/>
      <c r="I63" s="406"/>
      <c r="J63" s="406"/>
      <c r="K63" s="406"/>
      <c r="L63" s="406"/>
      <c r="M63" s="406"/>
    </row>
    <row r="64" spans="1:13">
      <c r="A64" s="405"/>
      <c r="B64" s="405"/>
      <c r="C64" s="405"/>
      <c r="D64" s="405"/>
      <c r="E64" s="405"/>
      <c r="F64" s="405"/>
      <c r="G64" s="406"/>
      <c r="H64" s="406"/>
      <c r="I64" s="406"/>
      <c r="J64" s="406"/>
      <c r="K64" s="406"/>
      <c r="L64" s="406"/>
      <c r="M64" s="406"/>
    </row>
    <row r="65" spans="1:13">
      <c r="A65" s="405"/>
      <c r="B65" s="405"/>
      <c r="C65" s="405"/>
      <c r="D65" s="405"/>
      <c r="E65" s="405"/>
      <c r="F65" s="405"/>
      <c r="G65" s="406"/>
      <c r="H65" s="406"/>
      <c r="I65" s="406"/>
      <c r="J65" s="406"/>
      <c r="K65" s="406"/>
      <c r="L65" s="406"/>
      <c r="M65" s="406"/>
    </row>
    <row r="66" spans="1:13">
      <c r="A66" s="405"/>
      <c r="B66" s="405"/>
      <c r="C66" s="405"/>
      <c r="D66" s="405"/>
      <c r="E66" s="405"/>
      <c r="F66" s="405"/>
      <c r="G66" s="406"/>
      <c r="H66" s="406"/>
      <c r="I66" s="406"/>
      <c r="J66" s="406"/>
      <c r="K66" s="406"/>
      <c r="L66" s="406"/>
      <c r="M66" s="406"/>
    </row>
    <row r="67" spans="1:13">
      <c r="A67" s="405"/>
      <c r="B67" s="405"/>
      <c r="C67" s="405"/>
      <c r="D67" s="405"/>
      <c r="E67" s="405"/>
      <c r="F67" s="405"/>
      <c r="G67" s="406"/>
      <c r="H67" s="406"/>
      <c r="I67" s="406"/>
      <c r="J67" s="406"/>
      <c r="K67" s="406"/>
      <c r="L67" s="406"/>
      <c r="M67" s="406"/>
    </row>
    <row r="68" spans="1:13">
      <c r="A68" s="405"/>
      <c r="B68" s="405"/>
      <c r="C68" s="405"/>
      <c r="D68" s="405"/>
      <c r="E68" s="405"/>
      <c r="F68" s="405"/>
      <c r="G68" s="406"/>
      <c r="H68" s="406"/>
      <c r="I68" s="406"/>
      <c r="J68" s="406"/>
      <c r="K68" s="406"/>
      <c r="L68" s="406"/>
      <c r="M68" s="406"/>
    </row>
    <row r="69" spans="1:13">
      <c r="A69" s="405"/>
      <c r="B69" s="405"/>
      <c r="C69" s="405"/>
      <c r="D69" s="405"/>
      <c r="E69" s="405"/>
      <c r="F69" s="405"/>
      <c r="G69" s="406"/>
      <c r="H69" s="406"/>
      <c r="I69" s="406"/>
      <c r="J69" s="406"/>
      <c r="K69" s="406"/>
      <c r="L69" s="406"/>
      <c r="M69" s="406"/>
    </row>
    <row r="70" spans="1:13">
      <c r="A70" s="405"/>
      <c r="B70" s="405"/>
      <c r="C70" s="405"/>
      <c r="D70" s="405"/>
      <c r="E70" s="405"/>
      <c r="F70" s="405"/>
      <c r="G70" s="406"/>
      <c r="H70" s="406"/>
      <c r="I70" s="406"/>
      <c r="J70" s="406"/>
      <c r="K70" s="406"/>
      <c r="L70" s="406"/>
      <c r="M70" s="406"/>
    </row>
    <row r="71" spans="1:13">
      <c r="A71" s="405"/>
      <c r="B71" s="405"/>
      <c r="C71" s="405"/>
      <c r="D71" s="405"/>
      <c r="E71" s="405"/>
      <c r="F71" s="405"/>
      <c r="G71" s="406"/>
      <c r="H71" s="406"/>
      <c r="I71" s="406"/>
      <c r="J71" s="406"/>
      <c r="K71" s="406"/>
      <c r="L71" s="406"/>
      <c r="M71" s="406"/>
    </row>
    <row r="72" spans="1:13">
      <c r="A72" s="405"/>
      <c r="B72" s="405"/>
      <c r="C72" s="405"/>
      <c r="D72" s="405"/>
      <c r="E72" s="405"/>
      <c r="F72" s="405"/>
      <c r="G72" s="406"/>
      <c r="H72" s="406"/>
      <c r="I72" s="406"/>
      <c r="J72" s="406"/>
      <c r="K72" s="406"/>
      <c r="L72" s="406"/>
      <c r="M72" s="406"/>
    </row>
    <row r="73" spans="1:13">
      <c r="A73" s="405"/>
      <c r="B73" s="405"/>
      <c r="C73" s="405"/>
      <c r="D73" s="405"/>
      <c r="E73" s="405"/>
      <c r="F73" s="405"/>
      <c r="G73" s="406"/>
      <c r="H73" s="406"/>
      <c r="I73" s="406"/>
      <c r="J73" s="406"/>
      <c r="K73" s="406"/>
      <c r="L73" s="406"/>
      <c r="M73" s="406"/>
    </row>
    <row r="74" spans="1:13">
      <c r="A74" s="405"/>
      <c r="B74" s="405"/>
      <c r="C74" s="405"/>
      <c r="D74" s="405"/>
      <c r="E74" s="405"/>
      <c r="F74" s="405"/>
      <c r="G74" s="406"/>
      <c r="H74" s="406"/>
      <c r="I74" s="406"/>
      <c r="J74" s="406"/>
      <c r="K74" s="406"/>
      <c r="L74" s="406"/>
      <c r="M74" s="406"/>
    </row>
    <row r="75" spans="1:13">
      <c r="A75" s="405"/>
      <c r="B75" s="405"/>
      <c r="C75" s="405"/>
      <c r="D75" s="405"/>
      <c r="E75" s="405"/>
      <c r="F75" s="405"/>
      <c r="G75" s="406"/>
      <c r="H75" s="406"/>
      <c r="I75" s="406"/>
      <c r="J75" s="406"/>
      <c r="K75" s="406"/>
      <c r="L75" s="406"/>
      <c r="M75" s="406"/>
    </row>
    <row r="76" spans="1:13">
      <c r="A76" s="405"/>
      <c r="B76" s="405"/>
      <c r="C76" s="405"/>
      <c r="D76" s="405"/>
      <c r="E76" s="405"/>
      <c r="F76" s="405"/>
      <c r="G76" s="406"/>
      <c r="H76" s="406"/>
      <c r="I76" s="406"/>
      <c r="J76" s="406"/>
      <c r="K76" s="406"/>
      <c r="L76" s="406"/>
      <c r="M76" s="406"/>
    </row>
    <row r="77" spans="1:13">
      <c r="A77" s="405"/>
      <c r="B77" s="405"/>
      <c r="C77" s="405"/>
      <c r="D77" s="405"/>
      <c r="E77" s="405"/>
      <c r="F77" s="405"/>
      <c r="G77" s="406"/>
      <c r="H77" s="406"/>
      <c r="I77" s="406"/>
      <c r="J77" s="406"/>
      <c r="K77" s="406"/>
      <c r="L77" s="406"/>
      <c r="M77" s="406"/>
    </row>
    <row r="78" spans="1:13">
      <c r="A78" s="405"/>
      <c r="B78" s="405"/>
      <c r="C78" s="405"/>
      <c r="D78" s="405"/>
      <c r="E78" s="405"/>
      <c r="F78" s="405"/>
      <c r="G78" s="406"/>
      <c r="H78" s="406"/>
      <c r="I78" s="406"/>
      <c r="J78" s="406"/>
      <c r="K78" s="406"/>
      <c r="L78" s="406"/>
      <c r="M78" s="406"/>
    </row>
    <row r="79" spans="1:13">
      <c r="A79" s="405"/>
      <c r="B79" s="405"/>
      <c r="C79" s="405"/>
      <c r="D79" s="405"/>
      <c r="E79" s="405"/>
      <c r="F79" s="405"/>
      <c r="G79" s="406"/>
      <c r="H79" s="406"/>
      <c r="I79" s="406"/>
      <c r="J79" s="406"/>
      <c r="K79" s="406"/>
      <c r="L79" s="406"/>
      <c r="M79" s="406"/>
    </row>
    <row r="80" spans="1:13">
      <c r="A80" s="405"/>
      <c r="B80" s="405"/>
      <c r="C80" s="405"/>
      <c r="D80" s="405"/>
      <c r="E80" s="405"/>
      <c r="F80" s="405"/>
      <c r="G80" s="406"/>
      <c r="H80" s="406"/>
      <c r="I80" s="406"/>
      <c r="J80" s="406"/>
      <c r="K80" s="406"/>
      <c r="L80" s="406"/>
      <c r="M80" s="406"/>
    </row>
    <row r="81" spans="1:13">
      <c r="A81" s="405"/>
      <c r="B81" s="405"/>
      <c r="C81" s="405"/>
      <c r="D81" s="405"/>
      <c r="E81" s="405"/>
      <c r="F81" s="405"/>
      <c r="G81" s="406"/>
      <c r="H81" s="406"/>
      <c r="I81" s="406"/>
      <c r="J81" s="406"/>
      <c r="K81" s="406"/>
      <c r="L81" s="406"/>
      <c r="M81" s="406"/>
    </row>
    <row r="82" spans="1:13">
      <c r="A82" s="405"/>
      <c r="B82" s="405"/>
      <c r="C82" s="405"/>
      <c r="D82" s="405"/>
      <c r="E82" s="405"/>
      <c r="F82" s="405"/>
      <c r="G82" s="406"/>
      <c r="H82" s="406"/>
      <c r="I82" s="406"/>
      <c r="J82" s="406"/>
      <c r="K82" s="406"/>
      <c r="L82" s="406"/>
      <c r="M82" s="406"/>
    </row>
    <row r="83" spans="1:13">
      <c r="A83" s="405"/>
      <c r="B83" s="405"/>
      <c r="C83" s="405"/>
      <c r="D83" s="405"/>
      <c r="E83" s="405"/>
      <c r="F83" s="405"/>
      <c r="G83" s="406"/>
      <c r="H83" s="406"/>
      <c r="I83" s="406"/>
      <c r="J83" s="406"/>
      <c r="K83" s="406"/>
      <c r="L83" s="406"/>
      <c r="M83" s="406"/>
    </row>
    <row r="84" spans="1:13">
      <c r="A84" s="405"/>
      <c r="B84" s="405"/>
      <c r="C84" s="405"/>
      <c r="D84" s="405"/>
      <c r="E84" s="405"/>
      <c r="F84" s="405"/>
      <c r="G84" s="406"/>
      <c r="H84" s="406"/>
      <c r="I84" s="406"/>
      <c r="J84" s="406"/>
      <c r="K84" s="406"/>
      <c r="L84" s="406"/>
      <c r="M84" s="406"/>
    </row>
    <row r="85" spans="1:13">
      <c r="A85" s="405"/>
      <c r="B85" s="405"/>
      <c r="C85" s="405"/>
      <c r="D85" s="405"/>
      <c r="E85" s="405"/>
      <c r="F85" s="405"/>
      <c r="G85" s="406"/>
      <c r="H85" s="406"/>
      <c r="I85" s="406"/>
      <c r="J85" s="406"/>
      <c r="K85" s="406"/>
      <c r="L85" s="406"/>
      <c r="M85" s="406"/>
    </row>
    <row r="86" spans="1:13">
      <c r="A86" s="405"/>
      <c r="B86" s="405"/>
      <c r="C86" s="405"/>
      <c r="D86" s="405"/>
      <c r="E86" s="405"/>
      <c r="F86" s="405"/>
      <c r="G86" s="406"/>
      <c r="H86" s="406"/>
      <c r="I86" s="406"/>
      <c r="J86" s="406"/>
      <c r="K86" s="406"/>
      <c r="L86" s="406"/>
      <c r="M86" s="406"/>
    </row>
    <row r="87" spans="1:13">
      <c r="A87" s="405"/>
      <c r="B87" s="405"/>
      <c r="C87" s="405"/>
      <c r="D87" s="405"/>
      <c r="E87" s="405"/>
      <c r="F87" s="405"/>
      <c r="G87" s="406"/>
      <c r="H87" s="406"/>
      <c r="I87" s="406"/>
      <c r="J87" s="406"/>
      <c r="K87" s="406"/>
      <c r="L87" s="406"/>
      <c r="M87" s="406"/>
    </row>
    <row r="88" spans="1:13">
      <c r="A88" s="405"/>
      <c r="B88" s="405"/>
      <c r="C88" s="405"/>
      <c r="D88" s="405"/>
      <c r="E88" s="405"/>
      <c r="F88" s="405"/>
      <c r="G88" s="406"/>
      <c r="H88" s="406"/>
      <c r="I88" s="406"/>
      <c r="J88" s="406"/>
      <c r="K88" s="406"/>
      <c r="L88" s="406"/>
      <c r="M88" s="406"/>
    </row>
    <row r="89" spans="1:13">
      <c r="A89" s="405"/>
      <c r="B89" s="405"/>
      <c r="C89" s="405"/>
      <c r="D89" s="405"/>
      <c r="E89" s="405"/>
      <c r="F89" s="405"/>
      <c r="G89" s="406"/>
      <c r="H89" s="406"/>
      <c r="I89" s="406"/>
      <c r="J89" s="406"/>
      <c r="K89" s="406"/>
      <c r="L89" s="406"/>
      <c r="M89" s="406"/>
    </row>
    <row r="90" spans="1:13">
      <c r="A90" s="405"/>
      <c r="B90" s="405"/>
      <c r="C90" s="405"/>
      <c r="D90" s="405"/>
      <c r="E90" s="405"/>
      <c r="F90" s="405"/>
      <c r="G90" s="406"/>
      <c r="H90" s="406"/>
      <c r="I90" s="406"/>
      <c r="J90" s="406"/>
      <c r="K90" s="406"/>
      <c r="L90" s="406"/>
      <c r="M90" s="406"/>
    </row>
    <row r="91" spans="1:13">
      <c r="A91" s="405"/>
      <c r="B91" s="405"/>
      <c r="C91" s="405"/>
      <c r="D91" s="405"/>
      <c r="E91" s="405"/>
      <c r="F91" s="405"/>
      <c r="G91" s="406"/>
      <c r="H91" s="406"/>
      <c r="I91" s="406"/>
      <c r="J91" s="406"/>
      <c r="K91" s="406"/>
      <c r="L91" s="406"/>
      <c r="M91" s="406"/>
    </row>
    <row r="92" spans="1:13">
      <c r="A92" s="405"/>
      <c r="B92" s="405"/>
      <c r="C92" s="405"/>
      <c r="D92" s="405"/>
      <c r="E92" s="405"/>
      <c r="F92" s="405"/>
      <c r="G92" s="406"/>
      <c r="H92" s="406"/>
      <c r="I92" s="406"/>
      <c r="J92" s="406"/>
      <c r="K92" s="406"/>
      <c r="L92" s="406"/>
      <c r="M92" s="406"/>
    </row>
    <row r="93" spans="1:13">
      <c r="A93" s="405"/>
      <c r="B93" s="405"/>
      <c r="C93" s="405"/>
      <c r="D93" s="405"/>
      <c r="E93" s="405"/>
      <c r="F93" s="405"/>
      <c r="G93" s="406"/>
      <c r="H93" s="406"/>
      <c r="I93" s="406"/>
      <c r="J93" s="406"/>
      <c r="K93" s="406"/>
      <c r="L93" s="406"/>
      <c r="M93" s="406"/>
    </row>
    <row r="94" spans="1:13">
      <c r="A94" s="405"/>
      <c r="B94" s="405"/>
      <c r="C94" s="405"/>
      <c r="D94" s="405"/>
      <c r="E94" s="405"/>
      <c r="F94" s="405"/>
      <c r="G94" s="406"/>
      <c r="H94" s="406"/>
      <c r="I94" s="406"/>
      <c r="J94" s="406"/>
      <c r="K94" s="406"/>
      <c r="L94" s="406"/>
      <c r="M94" s="406"/>
    </row>
    <row r="95" spans="1:13">
      <c r="A95" s="405"/>
      <c r="B95" s="405"/>
      <c r="C95" s="405"/>
      <c r="D95" s="405"/>
      <c r="E95" s="405"/>
      <c r="F95" s="405"/>
      <c r="G95" s="406"/>
      <c r="H95" s="406"/>
      <c r="I95" s="406"/>
      <c r="J95" s="406"/>
      <c r="K95" s="406"/>
      <c r="L95" s="406"/>
      <c r="M95" s="406"/>
    </row>
    <row r="96" spans="1:13">
      <c r="A96" s="405"/>
      <c r="B96" s="405"/>
      <c r="C96" s="405"/>
      <c r="D96" s="405"/>
      <c r="E96" s="405"/>
      <c r="F96" s="405"/>
      <c r="G96" s="406"/>
      <c r="H96" s="406"/>
      <c r="I96" s="406"/>
      <c r="J96" s="406"/>
      <c r="K96" s="406"/>
      <c r="L96" s="406"/>
      <c r="M96" s="406"/>
    </row>
    <row r="97" spans="1:13">
      <c r="A97" s="405"/>
      <c r="B97" s="405"/>
      <c r="C97" s="405"/>
      <c r="D97" s="405"/>
      <c r="E97" s="405"/>
      <c r="F97" s="405"/>
      <c r="G97" s="406"/>
      <c r="H97" s="406"/>
      <c r="I97" s="406"/>
      <c r="J97" s="406"/>
      <c r="K97" s="406"/>
      <c r="L97" s="406"/>
      <c r="M97" s="406"/>
    </row>
    <row r="98" spans="1:13">
      <c r="A98" s="405"/>
      <c r="B98" s="405"/>
      <c r="C98" s="405"/>
      <c r="D98" s="405"/>
      <c r="E98" s="405"/>
      <c r="F98" s="405"/>
      <c r="G98" s="406"/>
      <c r="H98" s="406"/>
      <c r="I98" s="406"/>
      <c r="J98" s="406"/>
      <c r="K98" s="406"/>
      <c r="L98" s="406"/>
      <c r="M98" s="406"/>
    </row>
    <row r="99" spans="1:13">
      <c r="A99" s="405"/>
      <c r="B99" s="405"/>
      <c r="C99" s="405"/>
      <c r="D99" s="405"/>
      <c r="E99" s="405"/>
      <c r="F99" s="405"/>
      <c r="G99" s="406"/>
      <c r="H99" s="406"/>
      <c r="I99" s="406"/>
      <c r="J99" s="406"/>
      <c r="K99" s="406"/>
      <c r="L99" s="406"/>
      <c r="M99" s="406"/>
    </row>
    <row r="100" spans="1:13">
      <c r="A100" s="405"/>
      <c r="B100" s="405"/>
      <c r="C100" s="405"/>
      <c r="D100" s="405"/>
      <c r="E100" s="405"/>
      <c r="F100" s="405"/>
      <c r="G100" s="406"/>
      <c r="H100" s="406"/>
      <c r="I100" s="406"/>
      <c r="J100" s="406"/>
      <c r="K100" s="406"/>
      <c r="L100" s="406"/>
      <c r="M100" s="406"/>
    </row>
    <row r="101" spans="1:13">
      <c r="A101" s="405"/>
      <c r="B101" s="405"/>
      <c r="C101" s="405"/>
      <c r="D101" s="405"/>
      <c r="E101" s="405"/>
      <c r="F101" s="405"/>
      <c r="G101" s="406"/>
      <c r="H101" s="406"/>
      <c r="I101" s="406"/>
      <c r="J101" s="406"/>
      <c r="K101" s="406"/>
      <c r="L101" s="406"/>
      <c r="M101" s="406"/>
    </row>
    <row r="102" spans="1:13">
      <c r="A102" s="405"/>
      <c r="B102" s="405"/>
      <c r="C102" s="405"/>
      <c r="D102" s="405"/>
      <c r="E102" s="405"/>
      <c r="F102" s="405"/>
      <c r="G102" s="406"/>
      <c r="H102" s="406"/>
      <c r="I102" s="406"/>
      <c r="J102" s="406"/>
      <c r="K102" s="406"/>
      <c r="L102" s="406"/>
      <c r="M102" s="406"/>
    </row>
    <row r="103" spans="1:13">
      <c r="A103" s="405"/>
      <c r="B103" s="405"/>
      <c r="C103" s="405"/>
      <c r="D103" s="405"/>
      <c r="E103" s="405"/>
      <c r="F103" s="405"/>
      <c r="G103" s="406"/>
      <c r="H103" s="406"/>
      <c r="I103" s="406"/>
      <c r="J103" s="406"/>
      <c r="K103" s="406"/>
      <c r="L103" s="406"/>
      <c r="M103" s="406"/>
    </row>
    <row r="104" spans="1:13">
      <c r="A104" s="405"/>
      <c r="B104" s="405"/>
      <c r="C104" s="405"/>
      <c r="D104" s="405"/>
      <c r="E104" s="405"/>
      <c r="F104" s="405"/>
      <c r="G104" s="406"/>
      <c r="H104" s="406"/>
      <c r="I104" s="406"/>
      <c r="J104" s="406"/>
      <c r="K104" s="406"/>
      <c r="L104" s="406"/>
      <c r="M104" s="406"/>
    </row>
    <row r="105" spans="1:13">
      <c r="A105" s="405"/>
      <c r="B105" s="405"/>
      <c r="C105" s="405"/>
      <c r="D105" s="405"/>
      <c r="E105" s="405"/>
      <c r="F105" s="405"/>
      <c r="G105" s="406"/>
      <c r="H105" s="406"/>
      <c r="I105" s="406"/>
      <c r="J105" s="406"/>
      <c r="K105" s="406"/>
      <c r="L105" s="406"/>
      <c r="M105" s="406"/>
    </row>
    <row r="106" spans="1:13">
      <c r="A106" s="405"/>
      <c r="B106" s="405"/>
      <c r="C106" s="405"/>
      <c r="D106" s="405"/>
      <c r="E106" s="405"/>
      <c r="F106" s="405"/>
      <c r="G106" s="406"/>
      <c r="H106" s="406"/>
      <c r="I106" s="406"/>
      <c r="J106" s="406"/>
      <c r="K106" s="406"/>
      <c r="L106" s="406"/>
      <c r="M106" s="406"/>
    </row>
    <row r="107" spans="1:13">
      <c r="A107" s="405"/>
      <c r="B107" s="405"/>
      <c r="C107" s="405"/>
      <c r="D107" s="405"/>
      <c r="E107" s="405"/>
      <c r="F107" s="405"/>
      <c r="G107" s="406"/>
      <c r="H107" s="406"/>
      <c r="I107" s="406"/>
      <c r="J107" s="406"/>
      <c r="K107" s="406"/>
      <c r="L107" s="406"/>
      <c r="M107" s="406"/>
    </row>
    <row r="108" spans="1:13">
      <c r="A108" s="405"/>
      <c r="B108" s="405"/>
      <c r="C108" s="405"/>
      <c r="D108" s="405"/>
      <c r="E108" s="405"/>
      <c r="F108" s="405"/>
      <c r="G108" s="406"/>
      <c r="H108" s="406"/>
      <c r="I108" s="406"/>
      <c r="J108" s="406"/>
      <c r="K108" s="406"/>
      <c r="L108" s="406"/>
      <c r="M108" s="406"/>
    </row>
    <row r="109" spans="1:13">
      <c r="A109" s="405"/>
      <c r="B109" s="405"/>
      <c r="C109" s="405"/>
      <c r="D109" s="405"/>
      <c r="E109" s="405"/>
      <c r="F109" s="405"/>
      <c r="G109" s="406"/>
      <c r="H109" s="406"/>
      <c r="I109" s="406"/>
      <c r="J109" s="406"/>
      <c r="K109" s="406"/>
      <c r="L109" s="406"/>
      <c r="M109" s="406"/>
    </row>
    <row r="110" spans="1:13">
      <c r="A110" s="405"/>
      <c r="B110" s="405"/>
      <c r="C110" s="405"/>
      <c r="D110" s="405"/>
      <c r="E110" s="405"/>
      <c r="F110" s="405"/>
      <c r="G110" s="406"/>
      <c r="H110" s="406"/>
      <c r="I110" s="406"/>
      <c r="J110" s="406"/>
      <c r="K110" s="406"/>
      <c r="L110" s="406"/>
      <c r="M110" s="406"/>
    </row>
    <row r="111" spans="1:13">
      <c r="A111" s="405"/>
      <c r="B111" s="405"/>
      <c r="C111" s="405"/>
      <c r="D111" s="405"/>
      <c r="E111" s="405"/>
      <c r="F111" s="405"/>
      <c r="G111" s="406"/>
      <c r="H111" s="406"/>
      <c r="I111" s="406"/>
      <c r="J111" s="406"/>
      <c r="K111" s="406"/>
      <c r="L111" s="406"/>
      <c r="M111" s="406"/>
    </row>
    <row r="112" spans="1:13">
      <c r="A112" s="405"/>
      <c r="B112" s="405"/>
      <c r="C112" s="405"/>
      <c r="D112" s="405"/>
      <c r="E112" s="405"/>
      <c r="F112" s="405"/>
      <c r="G112" s="406"/>
      <c r="H112" s="406"/>
      <c r="I112" s="406"/>
      <c r="J112" s="406"/>
      <c r="K112" s="406"/>
      <c r="L112" s="406"/>
      <c r="M112" s="406"/>
    </row>
    <row r="113" spans="1:13">
      <c r="A113" s="405"/>
      <c r="B113" s="405"/>
      <c r="C113" s="405"/>
      <c r="D113" s="405"/>
      <c r="E113" s="405"/>
      <c r="F113" s="405"/>
      <c r="G113" s="406"/>
      <c r="H113" s="406"/>
      <c r="I113" s="406"/>
      <c r="J113" s="406"/>
      <c r="K113" s="406"/>
      <c r="L113" s="406"/>
      <c r="M113" s="406"/>
    </row>
    <row r="114" spans="1:13">
      <c r="A114" s="405"/>
      <c r="B114" s="405"/>
      <c r="C114" s="405"/>
      <c r="D114" s="405"/>
      <c r="E114" s="405"/>
      <c r="F114" s="405"/>
      <c r="G114" s="406"/>
      <c r="H114" s="406"/>
      <c r="I114" s="406"/>
      <c r="J114" s="406"/>
      <c r="K114" s="406"/>
      <c r="L114" s="406"/>
      <c r="M114" s="406"/>
    </row>
    <row r="115" spans="1:13">
      <c r="A115" s="405"/>
      <c r="B115" s="405"/>
      <c r="C115" s="405"/>
      <c r="D115" s="405"/>
      <c r="E115" s="405"/>
      <c r="F115" s="405"/>
      <c r="G115" s="406"/>
      <c r="H115" s="406"/>
      <c r="I115" s="406"/>
      <c r="J115" s="406"/>
      <c r="K115" s="406"/>
      <c r="L115" s="406"/>
      <c r="M115" s="406"/>
    </row>
    <row r="116" spans="1:13">
      <c r="A116" s="405"/>
      <c r="B116" s="405"/>
      <c r="C116" s="405"/>
      <c r="D116" s="405"/>
      <c r="E116" s="405"/>
      <c r="F116" s="405"/>
      <c r="G116" s="406"/>
      <c r="H116" s="406"/>
      <c r="I116" s="406"/>
      <c r="J116" s="406"/>
      <c r="K116" s="406"/>
      <c r="L116" s="406"/>
      <c r="M116" s="406"/>
    </row>
    <row r="117" spans="1:13">
      <c r="A117" s="405"/>
      <c r="B117" s="405"/>
      <c r="C117" s="405"/>
      <c r="D117" s="405"/>
      <c r="E117" s="405"/>
      <c r="F117" s="405"/>
      <c r="G117" s="406"/>
      <c r="H117" s="406"/>
      <c r="I117" s="406"/>
      <c r="J117" s="406"/>
      <c r="K117" s="406"/>
      <c r="L117" s="406"/>
      <c r="M117" s="406"/>
    </row>
    <row r="118" spans="1:13">
      <c r="A118" s="405"/>
      <c r="B118" s="405"/>
      <c r="C118" s="405"/>
      <c r="D118" s="405"/>
      <c r="E118" s="405"/>
      <c r="F118" s="405"/>
      <c r="G118" s="406"/>
      <c r="H118" s="406"/>
      <c r="I118" s="406"/>
      <c r="J118" s="406"/>
      <c r="K118" s="406"/>
      <c r="L118" s="406"/>
      <c r="M118" s="406"/>
    </row>
    <row r="119" spans="1:13">
      <c r="A119" s="405"/>
      <c r="B119" s="405"/>
      <c r="C119" s="405"/>
      <c r="D119" s="405"/>
      <c r="E119" s="405"/>
      <c r="F119" s="405"/>
      <c r="G119" s="406"/>
      <c r="H119" s="406"/>
      <c r="I119" s="406"/>
      <c r="J119" s="406"/>
      <c r="K119" s="406"/>
      <c r="L119" s="406"/>
      <c r="M119" s="406"/>
    </row>
    <row r="120" spans="1:13">
      <c r="A120" s="405"/>
      <c r="B120" s="405"/>
      <c r="C120" s="405"/>
      <c r="D120" s="405"/>
      <c r="E120" s="405"/>
      <c r="F120" s="405"/>
      <c r="G120" s="406"/>
      <c r="H120" s="406"/>
      <c r="I120" s="406"/>
      <c r="J120" s="406"/>
      <c r="K120" s="406"/>
      <c r="L120" s="406"/>
      <c r="M120" s="406"/>
    </row>
    <row r="121" spans="1:13">
      <c r="A121" s="405"/>
      <c r="B121" s="405"/>
      <c r="C121" s="405"/>
      <c r="D121" s="405"/>
      <c r="E121" s="405"/>
      <c r="F121" s="405"/>
      <c r="G121" s="406"/>
      <c r="H121" s="406"/>
      <c r="I121" s="406"/>
      <c r="J121" s="406"/>
      <c r="K121" s="406"/>
      <c r="L121" s="406"/>
      <c r="M121" s="406"/>
    </row>
    <row r="122" spans="1:13">
      <c r="A122" s="405"/>
      <c r="B122" s="405"/>
      <c r="C122" s="405"/>
      <c r="D122" s="405"/>
      <c r="E122" s="405"/>
      <c r="F122" s="405"/>
      <c r="G122" s="406"/>
      <c r="H122" s="406"/>
      <c r="I122" s="406"/>
      <c r="J122" s="406"/>
      <c r="K122" s="406"/>
      <c r="L122" s="406"/>
      <c r="M122" s="406"/>
    </row>
    <row r="123" spans="1:13">
      <c r="A123" s="405"/>
      <c r="B123" s="405"/>
      <c r="C123" s="405"/>
      <c r="D123" s="405"/>
      <c r="E123" s="405"/>
      <c r="F123" s="405"/>
      <c r="G123" s="406"/>
      <c r="H123" s="406"/>
      <c r="I123" s="406"/>
      <c r="J123" s="406"/>
      <c r="K123" s="406"/>
      <c r="L123" s="406"/>
      <c r="M123" s="406"/>
    </row>
    <row r="124" spans="1:13">
      <c r="A124" s="405"/>
      <c r="B124" s="405"/>
      <c r="C124" s="405"/>
      <c r="D124" s="405"/>
      <c r="E124" s="405"/>
      <c r="F124" s="405"/>
      <c r="G124" s="406"/>
      <c r="H124" s="406"/>
      <c r="I124" s="406"/>
      <c r="J124" s="406"/>
      <c r="K124" s="406"/>
      <c r="L124" s="406"/>
      <c r="M124" s="406"/>
    </row>
    <row r="125" spans="1:13">
      <c r="A125" s="405"/>
      <c r="B125" s="405"/>
      <c r="C125" s="405"/>
      <c r="D125" s="405"/>
      <c r="E125" s="405"/>
      <c r="F125" s="405"/>
      <c r="G125" s="406"/>
      <c r="H125" s="406"/>
      <c r="I125" s="406"/>
      <c r="J125" s="406"/>
      <c r="K125" s="406"/>
      <c r="L125" s="406"/>
      <c r="M125" s="406"/>
    </row>
    <row r="126" spans="1:13">
      <c r="A126" s="405"/>
      <c r="B126" s="405"/>
      <c r="C126" s="405"/>
      <c r="D126" s="405"/>
      <c r="E126" s="405"/>
      <c r="F126" s="405"/>
      <c r="G126" s="406"/>
      <c r="H126" s="406"/>
      <c r="I126" s="406"/>
      <c r="J126" s="406"/>
      <c r="K126" s="406"/>
      <c r="L126" s="406"/>
      <c r="M126" s="406"/>
    </row>
    <row r="127" spans="1:13">
      <c r="A127" s="405"/>
      <c r="B127" s="405"/>
      <c r="C127" s="405"/>
      <c r="D127" s="405"/>
      <c r="E127" s="405"/>
      <c r="F127" s="405"/>
      <c r="G127" s="406"/>
      <c r="H127" s="406"/>
      <c r="I127" s="406"/>
      <c r="J127" s="406"/>
      <c r="K127" s="406"/>
      <c r="L127" s="406"/>
      <c r="M127" s="406"/>
    </row>
    <row r="128" spans="1:13">
      <c r="A128" s="405"/>
      <c r="B128" s="405"/>
      <c r="C128" s="405"/>
      <c r="D128" s="405"/>
      <c r="E128" s="405"/>
      <c r="F128" s="405"/>
      <c r="G128" s="406"/>
      <c r="H128" s="406"/>
      <c r="I128" s="406"/>
      <c r="J128" s="406"/>
      <c r="K128" s="406"/>
      <c r="L128" s="406"/>
      <c r="M128" s="406"/>
    </row>
    <row r="129" spans="1:13">
      <c r="A129" s="405"/>
      <c r="B129" s="405"/>
      <c r="C129" s="405"/>
      <c r="D129" s="405"/>
      <c r="E129" s="405"/>
      <c r="F129" s="405"/>
      <c r="G129" s="406"/>
      <c r="H129" s="406"/>
      <c r="I129" s="406"/>
      <c r="J129" s="406"/>
      <c r="K129" s="406"/>
      <c r="L129" s="406"/>
      <c r="M129" s="406"/>
    </row>
    <row r="130" spans="1:13">
      <c r="A130" s="405"/>
      <c r="B130" s="405"/>
      <c r="C130" s="405"/>
      <c r="D130" s="405"/>
      <c r="E130" s="405"/>
      <c r="F130" s="405"/>
      <c r="G130" s="406"/>
      <c r="H130" s="406"/>
      <c r="I130" s="406"/>
      <c r="J130" s="406"/>
      <c r="K130" s="406"/>
      <c r="L130" s="406"/>
      <c r="M130" s="406"/>
    </row>
    <row r="131" spans="1:13">
      <c r="A131" s="405"/>
      <c r="B131" s="405"/>
      <c r="C131" s="405"/>
      <c r="D131" s="405"/>
      <c r="E131" s="405"/>
      <c r="F131" s="405"/>
      <c r="G131" s="406"/>
      <c r="H131" s="406"/>
      <c r="I131" s="406"/>
      <c r="J131" s="406"/>
      <c r="K131" s="406"/>
      <c r="L131" s="406"/>
      <c r="M131" s="406"/>
    </row>
    <row r="132" spans="1:13">
      <c r="A132" s="405"/>
      <c r="B132" s="405"/>
      <c r="C132" s="405"/>
      <c r="D132" s="405"/>
      <c r="E132" s="405"/>
      <c r="F132" s="405"/>
      <c r="G132" s="406"/>
      <c r="H132" s="406"/>
      <c r="I132" s="406"/>
      <c r="J132" s="406"/>
      <c r="K132" s="406"/>
      <c r="L132" s="406"/>
      <c r="M132" s="406"/>
    </row>
    <row r="133" spans="1:13">
      <c r="A133" s="405"/>
      <c r="B133" s="405"/>
      <c r="C133" s="405"/>
      <c r="D133" s="405"/>
      <c r="E133" s="405"/>
      <c r="F133" s="405"/>
      <c r="G133" s="406"/>
      <c r="H133" s="406"/>
      <c r="I133" s="406"/>
      <c r="J133" s="406"/>
      <c r="K133" s="406"/>
      <c r="L133" s="406"/>
      <c r="M133" s="406"/>
    </row>
    <row r="134" spans="1:13">
      <c r="A134" s="405"/>
      <c r="B134" s="405"/>
      <c r="C134" s="405"/>
      <c r="D134" s="405"/>
      <c r="E134" s="405"/>
      <c r="F134" s="405"/>
      <c r="G134" s="406"/>
      <c r="H134" s="406"/>
      <c r="I134" s="406"/>
      <c r="J134" s="406"/>
      <c r="K134" s="406"/>
      <c r="L134" s="406"/>
      <c r="M134" s="406"/>
    </row>
    <row r="135" spans="1:13">
      <c r="A135" s="405"/>
      <c r="B135" s="405"/>
      <c r="C135" s="405"/>
      <c r="D135" s="405"/>
      <c r="E135" s="405"/>
      <c r="F135" s="405"/>
      <c r="G135" s="406"/>
      <c r="H135" s="406"/>
      <c r="I135" s="406"/>
      <c r="J135" s="406"/>
      <c r="K135" s="406"/>
      <c r="L135" s="406"/>
      <c r="M135" s="406"/>
    </row>
    <row r="136" spans="1:13">
      <c r="A136" s="405"/>
      <c r="B136" s="405"/>
      <c r="C136" s="405"/>
      <c r="D136" s="405"/>
      <c r="E136" s="405"/>
      <c r="F136" s="405"/>
      <c r="G136" s="406"/>
      <c r="H136" s="406"/>
      <c r="I136" s="406"/>
      <c r="J136" s="406"/>
      <c r="K136" s="406"/>
      <c r="L136" s="406"/>
      <c r="M136" s="406"/>
    </row>
    <row r="137" spans="1:13">
      <c r="A137" s="405"/>
      <c r="B137" s="405"/>
      <c r="C137" s="405"/>
      <c r="D137" s="405"/>
      <c r="E137" s="405"/>
      <c r="F137" s="405"/>
      <c r="G137" s="406"/>
      <c r="H137" s="406"/>
      <c r="I137" s="406"/>
      <c r="J137" s="406"/>
      <c r="K137" s="406"/>
      <c r="L137" s="406"/>
      <c r="M137" s="406"/>
    </row>
    <row r="138" spans="1:13">
      <c r="A138" s="405"/>
      <c r="B138" s="405"/>
      <c r="C138" s="405"/>
      <c r="D138" s="405"/>
      <c r="E138" s="405"/>
      <c r="F138" s="405"/>
      <c r="G138" s="406"/>
      <c r="H138" s="406"/>
      <c r="I138" s="406"/>
      <c r="J138" s="406"/>
      <c r="K138" s="406"/>
      <c r="L138" s="406"/>
      <c r="M138" s="406"/>
    </row>
    <row r="139" spans="1:13">
      <c r="A139" s="405"/>
      <c r="B139" s="405"/>
      <c r="C139" s="405"/>
      <c r="D139" s="405"/>
      <c r="E139" s="405"/>
      <c r="F139" s="405"/>
      <c r="G139" s="406"/>
      <c r="H139" s="406"/>
      <c r="I139" s="406"/>
      <c r="J139" s="406"/>
      <c r="K139" s="406"/>
      <c r="L139" s="406"/>
      <c r="M139" s="406"/>
    </row>
    <row r="140" spans="1:13">
      <c r="A140" s="405"/>
      <c r="B140" s="405"/>
      <c r="C140" s="405"/>
      <c r="D140" s="405"/>
      <c r="E140" s="405"/>
      <c r="F140" s="405"/>
      <c r="G140" s="406"/>
      <c r="H140" s="406"/>
      <c r="I140" s="406"/>
      <c r="J140" s="406"/>
      <c r="K140" s="406"/>
      <c r="L140" s="406"/>
      <c r="M140" s="406"/>
    </row>
    <row r="141" spans="1:13">
      <c r="A141" s="405"/>
      <c r="B141" s="405"/>
      <c r="C141" s="405"/>
      <c r="D141" s="405"/>
      <c r="E141" s="405"/>
      <c r="F141" s="405"/>
      <c r="G141" s="406"/>
      <c r="H141" s="406"/>
      <c r="I141" s="406"/>
      <c r="J141" s="406"/>
      <c r="K141" s="406"/>
      <c r="L141" s="406"/>
      <c r="M141" s="406"/>
    </row>
    <row r="142" spans="1:13">
      <c r="A142" s="405"/>
      <c r="B142" s="405"/>
      <c r="C142" s="405"/>
      <c r="D142" s="405"/>
      <c r="E142" s="405"/>
      <c r="F142" s="405"/>
      <c r="G142" s="406"/>
      <c r="H142" s="406"/>
      <c r="I142" s="406"/>
      <c r="J142" s="406"/>
      <c r="K142" s="406"/>
      <c r="L142" s="406"/>
      <c r="M142" s="406"/>
    </row>
    <row r="143" spans="1:13">
      <c r="A143" s="405"/>
      <c r="B143" s="405"/>
      <c r="C143" s="405"/>
      <c r="D143" s="405"/>
      <c r="E143" s="405"/>
      <c r="F143" s="405"/>
      <c r="G143" s="406"/>
      <c r="H143" s="406"/>
      <c r="I143" s="406"/>
      <c r="J143" s="406"/>
      <c r="K143" s="406"/>
      <c r="L143" s="406"/>
      <c r="M143" s="406"/>
    </row>
    <row r="144" spans="1:13">
      <c r="A144" s="405"/>
      <c r="B144" s="405"/>
      <c r="C144" s="405"/>
      <c r="D144" s="405"/>
      <c r="E144" s="405"/>
      <c r="F144" s="405"/>
      <c r="G144" s="406"/>
      <c r="H144" s="406"/>
      <c r="I144" s="406"/>
      <c r="J144" s="406"/>
      <c r="K144" s="406"/>
      <c r="L144" s="406"/>
      <c r="M144" s="406"/>
    </row>
    <row r="145" spans="1:13">
      <c r="A145" s="405"/>
      <c r="B145" s="405"/>
      <c r="C145" s="405"/>
      <c r="D145" s="405"/>
      <c r="E145" s="405"/>
      <c r="F145" s="405"/>
      <c r="G145" s="406"/>
      <c r="H145" s="406"/>
      <c r="I145" s="406"/>
      <c r="J145" s="406"/>
      <c r="K145" s="406"/>
      <c r="L145" s="406"/>
      <c r="M145" s="406"/>
    </row>
    <row r="146" spans="1:13">
      <c r="A146" s="405"/>
      <c r="B146" s="405"/>
      <c r="C146" s="405"/>
      <c r="D146" s="405"/>
      <c r="E146" s="405"/>
      <c r="F146" s="405"/>
      <c r="G146" s="406"/>
      <c r="H146" s="406"/>
      <c r="I146" s="406"/>
      <c r="J146" s="406"/>
      <c r="K146" s="406"/>
      <c r="L146" s="406"/>
      <c r="M146" s="406"/>
    </row>
    <row r="147" spans="1:13">
      <c r="A147" s="405"/>
      <c r="B147" s="405"/>
      <c r="C147" s="405"/>
      <c r="D147" s="405"/>
      <c r="E147" s="405"/>
      <c r="F147" s="405"/>
      <c r="G147" s="406"/>
      <c r="H147" s="406"/>
      <c r="I147" s="406"/>
      <c r="J147" s="406"/>
      <c r="K147" s="406"/>
      <c r="L147" s="406"/>
      <c r="M147" s="406"/>
    </row>
    <row r="148" spans="1:13">
      <c r="A148" s="405"/>
      <c r="B148" s="405"/>
      <c r="C148" s="405"/>
      <c r="D148" s="405"/>
      <c r="E148" s="405"/>
      <c r="F148" s="405"/>
      <c r="G148" s="406"/>
      <c r="H148" s="406"/>
      <c r="I148" s="406"/>
      <c r="J148" s="406"/>
      <c r="K148" s="406"/>
      <c r="L148" s="406"/>
      <c r="M148" s="406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P42"/>
  <sheetViews>
    <sheetView zoomScale="85" zoomScaleNormal="85" workbookViewId="0">
      <selection activeCell="E49" sqref="E49"/>
    </sheetView>
  </sheetViews>
  <sheetFormatPr defaultColWidth="9.140625" defaultRowHeight="18.75"/>
  <cols>
    <col min="1" max="1" width="25.7109375" style="120" customWidth="1"/>
    <col min="2" max="8" width="20.140625" style="120" customWidth="1"/>
    <col min="9" max="9" width="21.140625" style="120" bestFit="1" customWidth="1"/>
    <col min="10" max="10" width="20.140625" style="120" customWidth="1"/>
    <col min="11" max="11" width="21.140625" style="120" bestFit="1" customWidth="1"/>
    <col min="12" max="13" width="15.7109375" style="120" customWidth="1"/>
    <col min="14" max="14" width="23.140625" style="120" customWidth="1"/>
    <col min="15" max="15" width="22.140625" style="120" bestFit="1" customWidth="1"/>
    <col min="16" max="16" width="18.28515625" style="120" bestFit="1" customWidth="1"/>
    <col min="17" max="17" width="22.7109375" style="120" customWidth="1"/>
    <col min="18" max="16384" width="9.140625" style="120"/>
  </cols>
  <sheetData>
    <row r="1" spans="1:16">
      <c r="A1" s="142"/>
    </row>
    <row r="3" spans="1:16">
      <c r="A3" s="154" t="s">
        <v>316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</row>
    <row r="5" spans="1:16">
      <c r="A5" s="529" t="s">
        <v>129</v>
      </c>
      <c r="B5" s="536" t="s">
        <v>319</v>
      </c>
      <c r="C5" s="536"/>
      <c r="D5" s="536"/>
      <c r="E5" s="536"/>
      <c r="F5" s="536"/>
      <c r="G5" s="537" t="s">
        <v>326</v>
      </c>
      <c r="H5" s="537"/>
      <c r="I5" s="537"/>
      <c r="J5" s="537"/>
      <c r="K5" s="537"/>
      <c r="N5" s="166"/>
      <c r="O5" s="166"/>
      <c r="P5" s="166"/>
    </row>
    <row r="6" spans="1:16" ht="37.5">
      <c r="A6" s="529"/>
      <c r="B6" s="143" t="s">
        <v>317</v>
      </c>
      <c r="C6" s="143" t="s">
        <v>318</v>
      </c>
      <c r="D6" s="143" t="s">
        <v>2</v>
      </c>
      <c r="E6" s="143" t="s">
        <v>321</v>
      </c>
      <c r="F6" s="143" t="s">
        <v>322</v>
      </c>
      <c r="G6" s="138" t="s">
        <v>317</v>
      </c>
      <c r="H6" s="138" t="s">
        <v>318</v>
      </c>
      <c r="I6" s="138" t="s">
        <v>2</v>
      </c>
      <c r="J6" s="138" t="s">
        <v>321</v>
      </c>
      <c r="K6" s="138" t="s">
        <v>323</v>
      </c>
      <c r="N6" s="166"/>
      <c r="O6" s="166"/>
      <c r="P6" s="166"/>
    </row>
    <row r="7" spans="1:16">
      <c r="A7" s="145" t="s">
        <v>3</v>
      </c>
      <c r="B7" s="148">
        <f>'Tong hop (TH)'!C17</f>
        <v>10800000000</v>
      </c>
      <c r="C7" s="276">
        <f>SUM('Tong hop (TH)'!C5:C7)</f>
        <v>2700000000</v>
      </c>
      <c r="D7" s="139">
        <f>SUM('Tong hop (TH)'!E5:E7)</f>
        <v>0</v>
      </c>
      <c r="E7" s="151">
        <f>D7/C7</f>
        <v>0</v>
      </c>
      <c r="F7" s="151">
        <f>D7/B7</f>
        <v>0</v>
      </c>
      <c r="G7" s="149">
        <f>'Tong hop (TH)'!C49</f>
        <v>10800000000</v>
      </c>
      <c r="H7" s="139">
        <f>SUM('Tong hop (TH)'!C37:C39)</f>
        <v>2700000000</v>
      </c>
      <c r="I7" s="139">
        <f>SUM('Tong hop (TH)'!E37:E39)</f>
        <v>0</v>
      </c>
      <c r="J7" s="151">
        <f>I7/H7</f>
        <v>0</v>
      </c>
      <c r="K7" s="151">
        <f>I7/G7</f>
        <v>0</v>
      </c>
    </row>
    <row r="8" spans="1:16">
      <c r="A8" s="145" t="s">
        <v>4</v>
      </c>
      <c r="B8" s="148">
        <f>'Tong hop (TH)'!F17</f>
        <v>0</v>
      </c>
      <c r="C8" s="276">
        <f>SUM('Tong hop (TH)'!F5:F7)</f>
        <v>0</v>
      </c>
      <c r="D8" s="139">
        <f>SUM('Tong hop (TH)'!H5:H7)</f>
        <v>0</v>
      </c>
      <c r="E8" s="151" t="e">
        <f>D8/C8</f>
        <v>#DIV/0!</v>
      </c>
      <c r="F8" s="151" t="e">
        <f>D8/B8</f>
        <v>#DIV/0!</v>
      </c>
      <c r="G8" s="149">
        <f>'Tong hop (TH)'!F49</f>
        <v>10000000000</v>
      </c>
      <c r="H8" s="139">
        <f>SUM('Tong hop (TH)'!F37:F39)</f>
        <v>822572500</v>
      </c>
      <c r="I8" s="139">
        <f>SUM('Tong hop (TH)'!H37:H39)</f>
        <v>0</v>
      </c>
      <c r="J8" s="151">
        <f>I8/H8</f>
        <v>0</v>
      </c>
      <c r="K8" s="151">
        <f>I8/G8</f>
        <v>0</v>
      </c>
    </row>
    <row r="9" spans="1:16">
      <c r="A9" s="145" t="s">
        <v>329</v>
      </c>
      <c r="B9" s="148">
        <f>'Tong hop (TH)'!I17</f>
        <v>0</v>
      </c>
      <c r="C9" s="276">
        <f>SUM('Tong hop (TH)'!I5:I7)</f>
        <v>0</v>
      </c>
      <c r="D9" s="139">
        <f>SUM('Tong hop (TH)'!K5:K7)</f>
        <v>0</v>
      </c>
      <c r="E9" s="151" t="e">
        <f>D9/C9</f>
        <v>#DIV/0!</v>
      </c>
      <c r="F9" s="151" t="e">
        <f>D9/B9</f>
        <v>#DIV/0!</v>
      </c>
      <c r="G9" s="149">
        <f>'Tong hop (TH)'!I49</f>
        <v>9000000000</v>
      </c>
      <c r="H9" s="139">
        <f>SUM('Tong hop (TH)'!I37:I39)</f>
        <v>48286170</v>
      </c>
      <c r="I9" s="139">
        <f>SUM('Tong hop (TH)'!K37:K39)</f>
        <v>0</v>
      </c>
      <c r="J9" s="151">
        <f>I9/H9</f>
        <v>0</v>
      </c>
      <c r="K9" s="151">
        <f>I9/G9</f>
        <v>0</v>
      </c>
    </row>
    <row r="10" spans="1:16">
      <c r="A10" s="144" t="s">
        <v>482</v>
      </c>
      <c r="B10" s="146">
        <f>SUM(B7:B9)</f>
        <v>10800000000</v>
      </c>
      <c r="C10" s="146">
        <f>SUM(C7:C9)</f>
        <v>2700000000</v>
      </c>
      <c r="D10" s="146">
        <f>SUM(D7:D9)</f>
        <v>0</v>
      </c>
      <c r="E10" s="152">
        <f>D10/C10</f>
        <v>0</v>
      </c>
      <c r="F10" s="152">
        <f>D10/B10</f>
        <v>0</v>
      </c>
      <c r="G10" s="147">
        <f>SUM(G7:G9)</f>
        <v>29800000000</v>
      </c>
      <c r="H10" s="150">
        <f>SUM(H7:H9)</f>
        <v>3570858670</v>
      </c>
      <c r="I10" s="150">
        <f>SUM(I7:I9)</f>
        <v>0</v>
      </c>
      <c r="J10" s="153">
        <f>I10/H10</f>
        <v>0</v>
      </c>
      <c r="K10" s="153">
        <f>I10/G10</f>
        <v>0</v>
      </c>
      <c r="N10" s="170"/>
      <c r="O10" s="166"/>
    </row>
    <row r="11" spans="1:16">
      <c r="A11" s="283" t="s">
        <v>518</v>
      </c>
      <c r="B11" s="284">
        <v>28077001000</v>
      </c>
      <c r="C11" s="277">
        <v>2949644000</v>
      </c>
      <c r="D11" s="278">
        <v>3018100927.8800001</v>
      </c>
      <c r="E11" s="279">
        <v>1.0232085390236925</v>
      </c>
      <c r="F11" s="279">
        <v>0.10749370731866983</v>
      </c>
      <c r="G11" s="280">
        <v>26405079000</v>
      </c>
      <c r="H11" s="281">
        <v>3497503400</v>
      </c>
      <c r="I11" s="281">
        <v>3596121327.8800001</v>
      </c>
      <c r="J11" s="282">
        <v>1.0281966639060309</v>
      </c>
      <c r="K11" s="282">
        <v>0.13619051576706134</v>
      </c>
    </row>
    <row r="15" spans="1:16">
      <c r="A15" s="154" t="s">
        <v>320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</row>
    <row r="17" spans="1:13">
      <c r="A17" s="529" t="s">
        <v>129</v>
      </c>
      <c r="B17" s="530" t="s">
        <v>319</v>
      </c>
      <c r="C17" s="531"/>
      <c r="D17" s="531"/>
      <c r="E17" s="531"/>
      <c r="F17" s="531"/>
      <c r="G17" s="532"/>
      <c r="H17" s="533" t="s">
        <v>326</v>
      </c>
      <c r="I17" s="534"/>
      <c r="J17" s="534"/>
      <c r="K17" s="534"/>
      <c r="L17" s="534"/>
      <c r="M17" s="535"/>
    </row>
    <row r="18" spans="1:13" ht="37.5">
      <c r="A18" s="529"/>
      <c r="B18" s="143" t="s">
        <v>317</v>
      </c>
      <c r="C18" s="143" t="s">
        <v>318</v>
      </c>
      <c r="D18" s="143" t="s">
        <v>2</v>
      </c>
      <c r="E18" s="143" t="s">
        <v>324</v>
      </c>
      <c r="F18" s="143" t="s">
        <v>321</v>
      </c>
      <c r="G18" s="143" t="s">
        <v>323</v>
      </c>
      <c r="H18" s="138" t="s">
        <v>317</v>
      </c>
      <c r="I18" s="138" t="s">
        <v>318</v>
      </c>
      <c r="J18" s="138" t="s">
        <v>2</v>
      </c>
      <c r="K18" s="138" t="s">
        <v>324</v>
      </c>
      <c r="L18" s="138" t="s">
        <v>321</v>
      </c>
      <c r="M18" s="138" t="s">
        <v>323</v>
      </c>
    </row>
    <row r="19" spans="1:13">
      <c r="A19" s="145" t="s">
        <v>3</v>
      </c>
      <c r="B19" s="148">
        <f>B7</f>
        <v>10800000000</v>
      </c>
      <c r="C19" s="149">
        <f>SUM('Tong hop (TH)'!C8:C10)</f>
        <v>2700000000</v>
      </c>
      <c r="D19" s="139">
        <f>SUM('Tong hop (TH)'!E8:E10)</f>
        <v>0</v>
      </c>
      <c r="E19" s="139">
        <f>SUM('Tong hop (TH)'!E5:E10)</f>
        <v>0</v>
      </c>
      <c r="F19" s="151">
        <f>D19/C19</f>
        <v>0</v>
      </c>
      <c r="G19" s="151">
        <f>E19/B19</f>
        <v>0</v>
      </c>
      <c r="H19" s="149">
        <f>G7</f>
        <v>10800000000</v>
      </c>
      <c r="I19" s="139">
        <f>SUM('Tong hop (TH)'!C40:C42)</f>
        <v>2700000000</v>
      </c>
      <c r="J19" s="139">
        <f>SUM('Tong hop (TH)'!E40:E42)</f>
        <v>0</v>
      </c>
      <c r="K19" s="139">
        <f>SUM('Tong hop (TH)'!E37:E42)</f>
        <v>0</v>
      </c>
      <c r="L19" s="151">
        <f>J19/I19</f>
        <v>0</v>
      </c>
      <c r="M19" s="151">
        <f>K19/H19</f>
        <v>0</v>
      </c>
    </row>
    <row r="20" spans="1:13">
      <c r="A20" s="145" t="s">
        <v>4</v>
      </c>
      <c r="B20" s="148">
        <f>B8</f>
        <v>0</v>
      </c>
      <c r="C20" s="149">
        <f>SUM('Tong hop (TH)'!F8:F10)</f>
        <v>0</v>
      </c>
      <c r="D20" s="139">
        <f>SUM('Tong hop (TH)'!H8:H10)</f>
        <v>0</v>
      </c>
      <c r="E20" s="139">
        <f>SUM('Tong hop (TH)'!H5:H10)</f>
        <v>0</v>
      </c>
      <c r="F20" s="151" t="e">
        <f>D20/C20</f>
        <v>#DIV/0!</v>
      </c>
      <c r="G20" s="151" t="e">
        <f>E20/B20</f>
        <v>#DIV/0!</v>
      </c>
      <c r="H20" s="149">
        <f>G8</f>
        <v>10000000000</v>
      </c>
      <c r="I20" s="139">
        <f>SUM('Tong hop (TH)'!F40:F42)</f>
        <v>2337756500</v>
      </c>
      <c r="J20" s="139">
        <f>SUM('Tong hop (TH)'!H40:H42)</f>
        <v>0</v>
      </c>
      <c r="K20" s="139">
        <f>SUM('Tong hop (TH)'!H37:H42)</f>
        <v>0</v>
      </c>
      <c r="L20" s="151">
        <f>J20/I20</f>
        <v>0</v>
      </c>
      <c r="M20" s="151">
        <f>K20/H20</f>
        <v>0</v>
      </c>
    </row>
    <row r="21" spans="1:13">
      <c r="A21" s="145" t="s">
        <v>329</v>
      </c>
      <c r="B21" s="148">
        <f>B9</f>
        <v>0</v>
      </c>
      <c r="C21" s="149">
        <f>SUM('Tong hop (TH)'!I8:I10)</f>
        <v>0</v>
      </c>
      <c r="D21" s="139">
        <f>SUM('Tong hop (TH)'!K8:K10)</f>
        <v>0</v>
      </c>
      <c r="E21" s="139">
        <f>SUM('Tong hop (TH)'!K5:K10)</f>
        <v>0</v>
      </c>
      <c r="F21" s="151" t="e">
        <f>D21/C21</f>
        <v>#DIV/0!</v>
      </c>
      <c r="G21" s="151" t="e">
        <f>E21/B21</f>
        <v>#DIV/0!</v>
      </c>
      <c r="H21" s="149">
        <f>G9</f>
        <v>9000000000</v>
      </c>
      <c r="I21" s="139">
        <f>SUM('Tong hop (TH)'!I40:I42)</f>
        <v>1087590800</v>
      </c>
      <c r="J21" s="139">
        <f>SUM('Tong hop (TH)'!K40:K42)</f>
        <v>0</v>
      </c>
      <c r="K21" s="139">
        <f>SUM('Tong hop (TH)'!K37:K42)</f>
        <v>0</v>
      </c>
      <c r="L21" s="151">
        <f>J21/I21</f>
        <v>0</v>
      </c>
      <c r="M21" s="151">
        <f>K21/H21</f>
        <v>0</v>
      </c>
    </row>
    <row r="22" spans="1:13">
      <c r="A22" s="144" t="s">
        <v>313</v>
      </c>
      <c r="B22" s="146">
        <f>SUM(B19:B21)</f>
        <v>10800000000</v>
      </c>
      <c r="C22" s="146">
        <f>SUM(C19:C21)</f>
        <v>2700000000</v>
      </c>
      <c r="D22" s="146">
        <f>SUM(D19:D21)</f>
        <v>0</v>
      </c>
      <c r="E22" s="146">
        <f>SUM(E19:E21)</f>
        <v>0</v>
      </c>
      <c r="F22" s="152">
        <f>D22/C22</f>
        <v>0</v>
      </c>
      <c r="G22" s="152">
        <f>E22/B22</f>
        <v>0</v>
      </c>
      <c r="H22" s="147">
        <f>SUM(H19:H21)</f>
        <v>29800000000</v>
      </c>
      <c r="I22" s="150">
        <f>SUM(I19:I21)</f>
        <v>6125347300</v>
      </c>
      <c r="J22" s="150">
        <f>SUM(J19:J21)</f>
        <v>0</v>
      </c>
      <c r="K22" s="150">
        <f>SUM(K19:K21)</f>
        <v>0</v>
      </c>
      <c r="L22" s="153">
        <f>J22/I22</f>
        <v>0</v>
      </c>
      <c r="M22" s="153">
        <f>K22/H22</f>
        <v>0</v>
      </c>
    </row>
    <row r="23" spans="1:13">
      <c r="J23" s="165"/>
    </row>
    <row r="24" spans="1:13">
      <c r="J24" s="166"/>
    </row>
    <row r="25" spans="1:13">
      <c r="A25" s="154" t="s">
        <v>325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</row>
    <row r="27" spans="1:13">
      <c r="A27" s="529" t="s">
        <v>129</v>
      </c>
      <c r="B27" s="530" t="s">
        <v>319</v>
      </c>
      <c r="C27" s="531"/>
      <c r="D27" s="531"/>
      <c r="E27" s="531"/>
      <c r="F27" s="531"/>
      <c r="G27" s="532"/>
      <c r="H27" s="533" t="s">
        <v>326</v>
      </c>
      <c r="I27" s="534"/>
      <c r="J27" s="534"/>
      <c r="K27" s="534"/>
      <c r="L27" s="534"/>
      <c r="M27" s="535"/>
    </row>
    <row r="28" spans="1:13" ht="37.5">
      <c r="A28" s="529"/>
      <c r="B28" s="143" t="s">
        <v>317</v>
      </c>
      <c r="C28" s="143" t="s">
        <v>318</v>
      </c>
      <c r="D28" s="143" t="s">
        <v>2</v>
      </c>
      <c r="E28" s="143" t="s">
        <v>324</v>
      </c>
      <c r="F28" s="143" t="s">
        <v>321</v>
      </c>
      <c r="G28" s="143" t="s">
        <v>323</v>
      </c>
      <c r="H28" s="138" t="s">
        <v>317</v>
      </c>
      <c r="I28" s="138" t="s">
        <v>318</v>
      </c>
      <c r="J28" s="138" t="s">
        <v>2</v>
      </c>
      <c r="K28" s="138" t="s">
        <v>324</v>
      </c>
      <c r="L28" s="138" t="s">
        <v>321</v>
      </c>
      <c r="M28" s="138" t="s">
        <v>323</v>
      </c>
    </row>
    <row r="29" spans="1:13">
      <c r="A29" s="145" t="s">
        <v>3</v>
      </c>
      <c r="B29" s="148">
        <f>B7</f>
        <v>10800000000</v>
      </c>
      <c r="C29" s="149">
        <f>SUM('Tong hop (TH)'!C11:C13)</f>
        <v>2700000000</v>
      </c>
      <c r="D29" s="139">
        <f>SUM('Tong hop (TH)'!E11:E13)</f>
        <v>0</v>
      </c>
      <c r="E29" s="139">
        <f>SUM('Tong hop (TH)'!E5:E13)</f>
        <v>0</v>
      </c>
      <c r="F29" s="151">
        <f>D29/C29</f>
        <v>0</v>
      </c>
      <c r="G29" s="151">
        <f>E29/B29</f>
        <v>0</v>
      </c>
      <c r="H29" s="149">
        <f>G7</f>
        <v>10800000000</v>
      </c>
      <c r="I29" s="139">
        <f>SUM('Tong hop (TH)'!C43:C45)</f>
        <v>2700000000</v>
      </c>
      <c r="J29" s="139">
        <f>SUM('Tong hop (TH)'!E43:E45)</f>
        <v>0</v>
      </c>
      <c r="K29" s="139">
        <f>SUM('Tong hop (TH)'!E37:E45)</f>
        <v>0</v>
      </c>
      <c r="L29" s="151">
        <f>J29/I29</f>
        <v>0</v>
      </c>
      <c r="M29" s="151">
        <f>K29/H29</f>
        <v>0</v>
      </c>
    </row>
    <row r="30" spans="1:13">
      <c r="A30" s="145" t="s">
        <v>4</v>
      </c>
      <c r="B30" s="148">
        <f>B8</f>
        <v>0</v>
      </c>
      <c r="C30" s="149">
        <f>SUM('Tong hop (TH)'!F11:F13)</f>
        <v>0</v>
      </c>
      <c r="D30" s="139">
        <f>SUM('Tong hop (TH)'!H11:H13)</f>
        <v>0</v>
      </c>
      <c r="E30" s="139">
        <f>SUM('Tong hop (TH)'!H5:H13)</f>
        <v>0</v>
      </c>
      <c r="F30" s="151" t="e">
        <f>D30/C30</f>
        <v>#DIV/0!</v>
      </c>
      <c r="G30" s="151" t="e">
        <f>E30/B30</f>
        <v>#DIV/0!</v>
      </c>
      <c r="H30" s="149">
        <f>G8</f>
        <v>10000000000</v>
      </c>
      <c r="I30" s="139">
        <f>SUM('Tong hop (TH)'!F43:F45)</f>
        <v>2243824400</v>
      </c>
      <c r="J30" s="139">
        <f>SUM('Tong hop (TH)'!H43:H45)</f>
        <v>0</v>
      </c>
      <c r="K30" s="139">
        <f>SUM('Tong hop (TH)'!H37:H45)</f>
        <v>0</v>
      </c>
      <c r="L30" s="151">
        <f>J30/I30</f>
        <v>0</v>
      </c>
      <c r="M30" s="151">
        <f>K30/H30</f>
        <v>0</v>
      </c>
    </row>
    <row r="31" spans="1:13">
      <c r="A31" s="145" t="s">
        <v>329</v>
      </c>
      <c r="B31" s="148">
        <f>B9</f>
        <v>0</v>
      </c>
      <c r="C31" s="149">
        <f>SUM('Tong hop (TH)'!I11:I13)</f>
        <v>0</v>
      </c>
      <c r="D31" s="139">
        <f>SUM('Tong hop (TH)'!K11:K13)</f>
        <v>0</v>
      </c>
      <c r="E31" s="139">
        <f>SUM('Tong hop (TH)'!K5:K13)</f>
        <v>0</v>
      </c>
      <c r="F31" s="151" t="e">
        <f>D31/C31</f>
        <v>#DIV/0!</v>
      </c>
      <c r="G31" s="151" t="e">
        <f>E31/B31</f>
        <v>#DIV/0!</v>
      </c>
      <c r="H31" s="149">
        <f>G9</f>
        <v>9000000000</v>
      </c>
      <c r="I31" s="139">
        <f>SUM('Tong hop (TH)'!I43:I45)</f>
        <v>3043373030</v>
      </c>
      <c r="J31" s="139">
        <f>SUM('Tong hop (TH)'!K43:K45)</f>
        <v>0</v>
      </c>
      <c r="K31" s="139">
        <f>SUM('Tong hop (TH)'!K37:K45)</f>
        <v>0</v>
      </c>
      <c r="L31" s="151">
        <f>J31/I31</f>
        <v>0</v>
      </c>
      <c r="M31" s="151">
        <f>K31/H31</f>
        <v>0</v>
      </c>
    </row>
    <row r="32" spans="1:13">
      <c r="A32" s="144" t="s">
        <v>313</v>
      </c>
      <c r="B32" s="146">
        <f>SUM(B29:B31)</f>
        <v>10800000000</v>
      </c>
      <c r="C32" s="146">
        <f>SUM(C29:C31)</f>
        <v>2700000000</v>
      </c>
      <c r="D32" s="146">
        <f>SUM(D29:D31)</f>
        <v>0</v>
      </c>
      <c r="E32" s="146">
        <f>SUM(E29:E31)</f>
        <v>0</v>
      </c>
      <c r="F32" s="152">
        <f>D32/C32</f>
        <v>0</v>
      </c>
      <c r="G32" s="152">
        <f>E32/B32</f>
        <v>0</v>
      </c>
      <c r="H32" s="147">
        <f>SUM(H29:H31)</f>
        <v>29800000000</v>
      </c>
      <c r="I32" s="150">
        <f>SUM(I29:I31)</f>
        <v>7987197430</v>
      </c>
      <c r="J32" s="150">
        <f>SUM(J29:J31)</f>
        <v>0</v>
      </c>
      <c r="K32" s="150">
        <f>SUM(K29:K31)</f>
        <v>0</v>
      </c>
      <c r="L32" s="153">
        <f>J32/I32</f>
        <v>0</v>
      </c>
      <c r="M32" s="153">
        <f>K32/H32</f>
        <v>0</v>
      </c>
    </row>
    <row r="35" spans="1:13">
      <c r="A35" s="154" t="s">
        <v>327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</row>
    <row r="37" spans="1:13">
      <c r="A37" s="529" t="s">
        <v>129</v>
      </c>
      <c r="B37" s="530" t="s">
        <v>319</v>
      </c>
      <c r="C37" s="531"/>
      <c r="D37" s="531"/>
      <c r="E37" s="531"/>
      <c r="F37" s="531"/>
      <c r="G37" s="532"/>
      <c r="H37" s="533" t="s">
        <v>326</v>
      </c>
      <c r="I37" s="534"/>
      <c r="J37" s="534"/>
      <c r="K37" s="534"/>
      <c r="L37" s="534"/>
      <c r="M37" s="535"/>
    </row>
    <row r="38" spans="1:13" ht="37.5">
      <c r="A38" s="529"/>
      <c r="B38" s="143" t="s">
        <v>317</v>
      </c>
      <c r="C38" s="143" t="s">
        <v>318</v>
      </c>
      <c r="D38" s="143" t="s">
        <v>2</v>
      </c>
      <c r="E38" s="143" t="s">
        <v>324</v>
      </c>
      <c r="F38" s="143" t="s">
        <v>321</v>
      </c>
      <c r="G38" s="143" t="s">
        <v>323</v>
      </c>
      <c r="H38" s="138" t="s">
        <v>317</v>
      </c>
      <c r="I38" s="138" t="s">
        <v>318</v>
      </c>
      <c r="J38" s="138" t="s">
        <v>2</v>
      </c>
      <c r="K38" s="138" t="s">
        <v>324</v>
      </c>
      <c r="L38" s="138" t="s">
        <v>321</v>
      </c>
      <c r="M38" s="138" t="s">
        <v>323</v>
      </c>
    </row>
    <row r="39" spans="1:13">
      <c r="A39" s="145" t="s">
        <v>3</v>
      </c>
      <c r="B39" s="148">
        <f>B7</f>
        <v>10800000000</v>
      </c>
      <c r="C39" s="149">
        <f>SUM('Tong hop (TH)'!C14:C16)</f>
        <v>2700000000</v>
      </c>
      <c r="D39" s="139">
        <f>SUM('Tong hop (TH)'!E14:E16)</f>
        <v>0</v>
      </c>
      <c r="E39" s="139">
        <f>E29+D39</f>
        <v>0</v>
      </c>
      <c r="F39" s="151">
        <f>D39/C39</f>
        <v>0</v>
      </c>
      <c r="G39" s="151">
        <f>E39/B39</f>
        <v>0</v>
      </c>
      <c r="H39" s="149">
        <f>G7</f>
        <v>10800000000</v>
      </c>
      <c r="I39" s="139">
        <f>SUM('Tong hop (TH)'!C46:C48)</f>
        <v>2700000000</v>
      </c>
      <c r="J39" s="139">
        <f>SUM('Tong hop (TH)'!E46:E48)</f>
        <v>0</v>
      </c>
      <c r="K39" s="139">
        <f>K29+J39</f>
        <v>0</v>
      </c>
      <c r="L39" s="151">
        <f>J39/I39</f>
        <v>0</v>
      </c>
      <c r="M39" s="151">
        <f>K39/H39</f>
        <v>0</v>
      </c>
    </row>
    <row r="40" spans="1:13">
      <c r="A40" s="145" t="s">
        <v>4</v>
      </c>
      <c r="B40" s="148">
        <f>B8</f>
        <v>0</v>
      </c>
      <c r="C40" s="149">
        <f>SUM('Tong hop (TH)'!F14:F16)</f>
        <v>0</v>
      </c>
      <c r="D40" s="139">
        <f>SUM('Tong hop (TH)'!H14:H16)</f>
        <v>0</v>
      </c>
      <c r="E40" s="139">
        <f>E30+D40</f>
        <v>0</v>
      </c>
      <c r="F40" s="151" t="e">
        <f>D40/C40</f>
        <v>#DIV/0!</v>
      </c>
      <c r="G40" s="151" t="e">
        <f>E40/B40</f>
        <v>#DIV/0!</v>
      </c>
      <c r="H40" s="149">
        <f>G8</f>
        <v>10000000000</v>
      </c>
      <c r="I40" s="139">
        <f>SUM('Tong hop (TH)'!F46:F48)</f>
        <v>4595846600</v>
      </c>
      <c r="J40" s="139">
        <f>SUM('Tong hop (TH)'!H46:H48)</f>
        <v>0</v>
      </c>
      <c r="K40" s="139">
        <f>K30+J40</f>
        <v>0</v>
      </c>
      <c r="L40" s="151">
        <f>J40/I40</f>
        <v>0</v>
      </c>
      <c r="M40" s="151">
        <f>K40/H40</f>
        <v>0</v>
      </c>
    </row>
    <row r="41" spans="1:13">
      <c r="A41" s="145" t="s">
        <v>329</v>
      </c>
      <c r="B41" s="148">
        <f>B9</f>
        <v>0</v>
      </c>
      <c r="C41" s="149">
        <f>SUM('Tong hop (TH)'!I14:I16)</f>
        <v>0</v>
      </c>
      <c r="D41" s="139">
        <f>SUM('Tong hop (TH)'!K14:K16)</f>
        <v>0</v>
      </c>
      <c r="E41" s="139">
        <f>E31+D41</f>
        <v>0</v>
      </c>
      <c r="F41" s="151" t="e">
        <f>D41/C41</f>
        <v>#DIV/0!</v>
      </c>
      <c r="G41" s="151" t="e">
        <f>E41/B41</f>
        <v>#DIV/0!</v>
      </c>
      <c r="H41" s="149">
        <f>G9</f>
        <v>9000000000</v>
      </c>
      <c r="I41" s="139">
        <f>SUM('Tong hop (TH)'!I46:I48)</f>
        <v>4820750000</v>
      </c>
      <c r="J41" s="139">
        <f>SUM('Tong hop (TH)'!K46:K48)</f>
        <v>0</v>
      </c>
      <c r="K41" s="139">
        <f>K31+J41</f>
        <v>0</v>
      </c>
      <c r="L41" s="151">
        <f>J41/I41</f>
        <v>0</v>
      </c>
      <c r="M41" s="151">
        <f>K41/H41</f>
        <v>0</v>
      </c>
    </row>
    <row r="42" spans="1:13">
      <c r="A42" s="144" t="s">
        <v>313</v>
      </c>
      <c r="B42" s="146">
        <f>SUM(B39:B41)</f>
        <v>10800000000</v>
      </c>
      <c r="C42" s="146">
        <f>SUM(C39:C41)</f>
        <v>2700000000</v>
      </c>
      <c r="D42" s="146">
        <f>SUM(D39:D41)</f>
        <v>0</v>
      </c>
      <c r="E42" s="146">
        <f>SUM(E39:E41)</f>
        <v>0</v>
      </c>
      <c r="F42" s="152">
        <f>D42/B42</f>
        <v>0</v>
      </c>
      <c r="G42" s="152">
        <f>E42/B42</f>
        <v>0</v>
      </c>
      <c r="H42" s="147">
        <f>SUM(H39:H41)</f>
        <v>29800000000</v>
      </c>
      <c r="I42" s="150">
        <f>SUM(I39:I41)</f>
        <v>12116596600</v>
      </c>
      <c r="J42" s="150">
        <f>SUM(J39:J41)</f>
        <v>0</v>
      </c>
      <c r="K42" s="150">
        <f>SUM(K39:K41)</f>
        <v>0</v>
      </c>
      <c r="L42" s="153">
        <f>J42/I42</f>
        <v>0</v>
      </c>
      <c r="M42" s="153">
        <f>K42/H42</f>
        <v>0</v>
      </c>
    </row>
  </sheetData>
  <mergeCells count="12">
    <mergeCell ref="B5:F5"/>
    <mergeCell ref="G5:K5"/>
    <mergeCell ref="A5:A6"/>
    <mergeCell ref="A17:A18"/>
    <mergeCell ref="B17:G17"/>
    <mergeCell ref="H17:M17"/>
    <mergeCell ref="A27:A28"/>
    <mergeCell ref="B27:G27"/>
    <mergeCell ref="H27:M27"/>
    <mergeCell ref="A37:A38"/>
    <mergeCell ref="B37:G37"/>
    <mergeCell ref="H37:M3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Du lieu</vt:lpstr>
      <vt:lpstr>README</vt:lpstr>
      <vt:lpstr>BieuDo</vt:lpstr>
      <vt:lpstr>BieuDo_v2</vt:lpstr>
      <vt:lpstr>BC_Quy</vt:lpstr>
      <vt:lpstr>Tong hop (TH)</vt:lpstr>
      <vt:lpstr>TH_2026</vt:lpstr>
      <vt:lpstr>TH theo khach hang</vt:lpstr>
      <vt:lpstr>Thuc te theo thang</vt:lpstr>
      <vt:lpstr>KH hieu chinh</vt:lpstr>
      <vt:lpstr>Vtiger</vt:lpstr>
      <vt:lpstr>HD_Thucte</vt:lpstr>
      <vt:lpstr>DT_Thucte</vt:lpstr>
      <vt:lpstr>KH DT_HD da ky</vt:lpstr>
      <vt:lpstr>KH_Nam_Hieuchinh</vt:lpstr>
      <vt:lpstr>KH_CoHoi</vt:lpstr>
      <vt:lpstr>BaoCaoQuy</vt:lpstr>
    </vt:vector>
  </TitlesOfParts>
  <Company>CUSC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dnloan</dc:creator>
  <cp:lastModifiedBy>Windows User</cp:lastModifiedBy>
  <cp:lastPrinted>2025-07-01T01:29:00Z</cp:lastPrinted>
  <dcterms:created xsi:type="dcterms:W3CDTF">2011-08-11T07:04:13Z</dcterms:created>
  <dcterms:modified xsi:type="dcterms:W3CDTF">2026-02-24T08:38:28Z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ca12feaa-3361-4529-a22f-86051cdac1dc</vt:lpwstr>
  </property>
</Properties>
</file>